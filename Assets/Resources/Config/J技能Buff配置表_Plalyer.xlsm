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WorkSpace base\Design\Excel\"/>
    </mc:Choice>
  </mc:AlternateContent>
  <bookViews>
    <workbookView xWindow="240" yWindow="105" windowWidth="14805" windowHeight="8010"/>
  </bookViews>
  <sheets>
    <sheet name="PlayerSkillData" sheetId="4" r:id="rId1"/>
    <sheet name="PlayerBuffData" sheetId="5" r:id="rId2"/>
    <sheet name="BuffGroup" sheetId="6" r:id="rId3"/>
    <sheet name="PlayerModifyDefine" sheetId="2" r:id="rId4"/>
    <sheet name="技能多选" sheetId="7" r:id="rId5"/>
    <sheet name="Buff多选" sheetId="8" r:id="rId6"/>
    <sheet name="SkillNotes" sheetId="11" r:id="rId7"/>
    <sheet name="BuffNotes" sheetId="12" r:id="rId8"/>
  </sheets>
  <definedNames>
    <definedName name="_xlnm._FilterDatabase" localSheetId="0" hidden="1">PlayerSkillData!$A$10:$ET$382</definedName>
  </definedNames>
  <calcPr calcId="152511"/>
</workbook>
</file>

<file path=xl/calcChain.xml><?xml version="1.0" encoding="utf-8"?>
<calcChain xmlns="http://schemas.openxmlformats.org/spreadsheetml/2006/main">
  <c r="I18" i="5" l="1"/>
  <c r="G18" i="5"/>
  <c r="I17" i="5"/>
  <c r="G17" i="5"/>
  <c r="H288" i="4" l="1"/>
  <c r="I112" i="5" l="1"/>
  <c r="G112" i="5"/>
  <c r="H287" i="4" l="1"/>
  <c r="H286" i="4"/>
  <c r="H285" i="4"/>
  <c r="H284" i="4"/>
  <c r="I128" i="5" l="1"/>
  <c r="G128" i="5"/>
  <c r="I127" i="5"/>
  <c r="G127" i="5"/>
  <c r="I126" i="5"/>
  <c r="G126" i="5"/>
  <c r="I125" i="5"/>
  <c r="G125" i="5"/>
  <c r="A5" i="4" l="1"/>
  <c r="I106" i="5" l="1"/>
  <c r="G106" i="5"/>
  <c r="H273" i="4" l="1"/>
  <c r="I104" i="5" l="1"/>
  <c r="I105" i="5"/>
  <c r="I103" i="5"/>
  <c r="G104" i="5"/>
  <c r="G105" i="5"/>
  <c r="G103" i="5"/>
  <c r="G90" i="5"/>
  <c r="H272" i="4" l="1"/>
  <c r="H271" i="4" l="1"/>
  <c r="H270" i="4"/>
  <c r="H269" i="4"/>
  <c r="H268" i="4"/>
  <c r="H267" i="4"/>
  <c r="H266" i="4"/>
  <c r="H265" i="4"/>
  <c r="H264" i="4"/>
  <c r="H263" i="4"/>
  <c r="H262" i="4"/>
  <c r="G54" i="5" l="1"/>
  <c r="G45" i="5"/>
  <c r="G46" i="5"/>
  <c r="G47" i="5"/>
  <c r="G48" i="5"/>
  <c r="G41" i="5"/>
  <c r="G42" i="5"/>
  <c r="G43" i="5"/>
  <c r="G44" i="5"/>
  <c r="I13" i="5" l="1"/>
  <c r="G13" i="5"/>
  <c r="I48" i="5" l="1"/>
  <c r="I47" i="5"/>
  <c r="I11" i="5" l="1"/>
  <c r="I12" i="5"/>
  <c r="I21" i="5"/>
  <c r="I22" i="5"/>
  <c r="I23" i="5"/>
  <c r="I24" i="5"/>
  <c r="I25" i="5"/>
  <c r="I26" i="5"/>
  <c r="I27" i="5"/>
  <c r="I28" i="5"/>
  <c r="I29" i="5"/>
  <c r="I30" i="5"/>
  <c r="I31" i="5"/>
  <c r="I32" i="5"/>
  <c r="I33" i="5"/>
  <c r="I34" i="5"/>
  <c r="I35" i="5"/>
  <c r="I36" i="5"/>
  <c r="I37" i="5"/>
  <c r="I38" i="5"/>
  <c r="I39" i="5"/>
  <c r="I40" i="5"/>
  <c r="I41" i="5"/>
  <c r="I42" i="5"/>
  <c r="I43" i="5"/>
  <c r="I44" i="5"/>
  <c r="I45" i="5"/>
  <c r="I46" i="5"/>
  <c r="I65" i="5"/>
  <c r="I66" i="5"/>
  <c r="I67" i="5"/>
  <c r="I68" i="5"/>
  <c r="I69" i="5"/>
  <c r="I70" i="5"/>
  <c r="I71" i="5"/>
  <c r="I72" i="5"/>
  <c r="I73" i="5"/>
  <c r="I74" i="5"/>
  <c r="I75" i="5"/>
  <c r="I76" i="5"/>
  <c r="I77" i="5"/>
  <c r="I78" i="5"/>
  <c r="I79" i="5"/>
  <c r="I80" i="5"/>
  <c r="I81" i="5"/>
  <c r="I82" i="5"/>
  <c r="I83" i="5"/>
  <c r="I84" i="5"/>
  <c r="I85" i="5"/>
  <c r="I86" i="5"/>
  <c r="I87" i="5"/>
  <c r="I88" i="5"/>
  <c r="I89" i="5"/>
  <c r="I90" i="5"/>
  <c r="I91" i="5"/>
  <c r="I102" i="5"/>
  <c r="I118" i="5"/>
  <c r="I119" i="5"/>
  <c r="I120" i="5"/>
  <c r="I121" i="5"/>
  <c r="I122" i="5"/>
  <c r="I123" i="5"/>
  <c r="I124" i="5"/>
  <c r="I10" i="5"/>
  <c r="G11" i="5"/>
  <c r="G12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65" i="5"/>
  <c r="G66" i="5"/>
  <c r="G67" i="5"/>
  <c r="G68" i="5"/>
  <c r="G69" i="5"/>
  <c r="G70" i="5"/>
  <c r="G71" i="5"/>
  <c r="G72" i="5"/>
  <c r="G73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118" i="5"/>
  <c r="G119" i="5"/>
  <c r="G120" i="5"/>
  <c r="G121" i="5"/>
  <c r="G122" i="5"/>
  <c r="G123" i="5"/>
  <c r="G124" i="5"/>
  <c r="G10" i="5"/>
  <c r="H213" i="4" l="1"/>
  <c r="H212" i="4" l="1"/>
  <c r="H211" i="4" l="1"/>
  <c r="H210" i="4" l="1"/>
  <c r="H209" i="4" l="1"/>
  <c r="H208" i="4"/>
  <c r="H207" i="4"/>
  <c r="H206" i="4"/>
  <c r="H205" i="4"/>
  <c r="H204" i="4"/>
  <c r="H203" i="4" l="1"/>
  <c r="H202" i="4"/>
  <c r="H197" i="4" l="1"/>
  <c r="H198" i="4"/>
  <c r="H199" i="4"/>
  <c r="H200" i="4"/>
  <c r="H201" i="4"/>
  <c r="H196" i="4" l="1"/>
  <c r="H412" i="4" l="1"/>
  <c r="H411" i="4" l="1"/>
  <c r="H410" i="4"/>
  <c r="H409" i="4" l="1"/>
  <c r="A2" i="8" l="1"/>
  <c r="A3" i="8" s="1"/>
  <c r="A4" i="8" s="1"/>
  <c r="A5" i="8" s="1"/>
  <c r="A6" i="8" s="1"/>
  <c r="A7" i="8" s="1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A31" i="8" s="1"/>
  <c r="A32" i="8" s="1"/>
  <c r="H408" i="4" l="1"/>
  <c r="A2" i="7" l="1"/>
  <c r="A3" i="7" s="1"/>
  <c r="A4" i="7" s="1"/>
  <c r="A5" i="7" s="1"/>
  <c r="A6" i="7" s="1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6" i="7" s="1"/>
  <c r="A27" i="7" s="1"/>
  <c r="A28" i="7" s="1"/>
  <c r="A29" i="7" s="1"/>
  <c r="A30" i="7" s="1"/>
  <c r="A31" i="7" s="1"/>
  <c r="A32" i="7" s="1"/>
  <c r="A5" i="5" l="1"/>
</calcChain>
</file>

<file path=xl/comments1.xml><?xml version="1.0" encoding="utf-8"?>
<comments xmlns="http://schemas.openxmlformats.org/spreadsheetml/2006/main">
  <authors>
    <author>刘阳</author>
    <author>作者</author>
    <author>admin</author>
    <author>余衡鈞</author>
  </authors>
  <commentList>
    <comment ref="E5" authorId="0" shapeId="0">
      <text>
        <r>
          <rPr>
            <b/>
            <sz val="9"/>
            <color indexed="81"/>
            <rFont val="宋体"/>
            <family val="3"/>
            <charset val="134"/>
          </rPr>
          <t>刘阳:</t>
        </r>
        <r>
          <rPr>
            <sz val="9"/>
            <color indexed="81"/>
            <rFont val="宋体"/>
            <family val="3"/>
            <charset val="134"/>
          </rPr>
          <t xml:space="preserve">
每个英雄最多100个技能，从00到99，从英雄IDX100+4900到+4999</t>
        </r>
      </text>
    </comment>
    <comment ref="G5" authorId="0" shapeId="0">
      <text>
        <r>
          <rPr>
            <b/>
            <sz val="9"/>
            <color indexed="81"/>
            <rFont val="宋体"/>
            <family val="3"/>
            <charset val="134"/>
          </rPr>
          <t>刘阳:</t>
        </r>
        <r>
          <rPr>
            <sz val="9"/>
            <color indexed="81"/>
            <rFont val="宋体"/>
            <family val="3"/>
            <charset val="134"/>
          </rPr>
          <t xml:space="preserve">
预留</t>
        </r>
      </text>
    </comment>
    <comment ref="M5" authorId="0" shapeId="0">
      <text>
        <r>
          <rPr>
            <b/>
            <sz val="9"/>
            <color indexed="81"/>
            <rFont val="宋体"/>
            <family val="3"/>
            <charset val="134"/>
          </rPr>
          <t>刘阳:</t>
        </r>
        <r>
          <rPr>
            <sz val="9"/>
            <color indexed="81"/>
            <rFont val="宋体"/>
            <family val="3"/>
            <charset val="134"/>
          </rPr>
          <t xml:space="preserve">
在 条件检查_Skill 里定义</t>
        </r>
      </text>
    </comment>
    <comment ref="N5" authorId="0" shapeId="0">
      <text>
        <r>
          <rPr>
            <b/>
            <sz val="9"/>
            <color indexed="81"/>
            <rFont val="宋体"/>
            <family val="3"/>
            <charset val="134"/>
          </rPr>
          <t>刘阳:</t>
        </r>
        <r>
          <rPr>
            <sz val="9"/>
            <color indexed="81"/>
            <rFont val="宋体"/>
            <family val="3"/>
            <charset val="134"/>
          </rPr>
          <t xml:space="preserve">
在 条件检查_Skill 里定义</t>
        </r>
      </text>
    </comment>
    <comment ref="P5" authorId="0" shapeId="0">
      <text>
        <r>
          <rPr>
            <b/>
            <sz val="9"/>
            <color indexed="81"/>
            <rFont val="宋体"/>
            <family val="3"/>
            <charset val="134"/>
          </rPr>
          <t>刘阳:
1=暂时不用</t>
        </r>
        <r>
          <rPr>
            <sz val="9"/>
            <color indexed="81"/>
            <rFont val="宋体"/>
            <family val="3"/>
            <charset val="134"/>
          </rPr>
          <t xml:space="preserve">
2=主动技能
4=被动技能
8=触发技能
16=BUFF技能
32=属性集技能
</t>
        </r>
      </text>
    </comment>
    <comment ref="Q5" authorId="0" shapeId="0">
      <text>
        <r>
          <rPr>
            <b/>
            <sz val="9"/>
            <color indexed="81"/>
            <rFont val="宋体"/>
            <family val="3"/>
            <charset val="134"/>
          </rPr>
          <t>刘阳:</t>
        </r>
        <r>
          <rPr>
            <sz val="9"/>
            <color indexed="81"/>
            <rFont val="宋体"/>
            <family val="3"/>
            <charset val="134"/>
          </rPr>
          <t xml:space="preserve">
技能属性
1=效果阶段产生消耗
2=范围效果使用目标坐标
4=范围效果包含自身
8=范围效果填充排除列表
16=触发共CD
32=触发后移附BUFF
64=触发后减少BUFF层数
128=触发后产生触发事件
256=产生技能施放事件
512=子弹产生周期效果
1024=子弹产生命中效果
2048=子弹命中不移除
4096=子弹产生事件
8192=子弹出生在目标点
16384=溅射异火效果
32765=产生结算事件
65536=使用时可以移动
131072=使用时人会被怪物阻挡
</t>
        </r>
      </text>
    </comment>
    <comment ref="R5" authorId="0" shapeId="0">
      <text>
        <r>
          <rPr>
            <b/>
            <sz val="9"/>
            <color indexed="81"/>
            <rFont val="宋体"/>
            <family val="3"/>
            <charset val="134"/>
          </rPr>
          <t>刘阳:</t>
        </r>
        <r>
          <rPr>
            <sz val="9"/>
            <color indexed="81"/>
            <rFont val="宋体"/>
            <family val="3"/>
            <charset val="134"/>
          </rPr>
          <t xml:space="preserve">
技能升级用，一个技能由若干个技能组成，则都要写最初那个，保证升级一起升级
</t>
        </r>
      </text>
    </comment>
    <comment ref="S5" authorId="0" shapeId="0">
      <text>
        <r>
          <rPr>
            <b/>
            <sz val="9"/>
            <color indexed="81"/>
            <rFont val="宋体"/>
            <family val="3"/>
            <charset val="134"/>
          </rPr>
          <t>刘阳:</t>
        </r>
        <r>
          <rPr>
            <sz val="9"/>
            <color indexed="81"/>
            <rFont val="宋体"/>
            <family val="3"/>
            <charset val="134"/>
          </rPr>
          <t xml:space="preserve">
配置该技能属于哪个或者哪几个技能组，用于产生触发消息</t>
        </r>
      </text>
    </comment>
    <comment ref="U5" authorId="0" shapeId="0">
      <text>
        <r>
          <rPr>
            <b/>
            <sz val="9"/>
            <color indexed="81"/>
            <rFont val="宋体"/>
            <family val="3"/>
            <charset val="134"/>
          </rPr>
          <t>刘阳:</t>
        </r>
        <r>
          <rPr>
            <sz val="9"/>
            <color indexed="81"/>
            <rFont val="宋体"/>
            <family val="3"/>
            <charset val="134"/>
          </rPr>
          <t xml:space="preserve">
1=技能
2=BUFF
3=造成伤害（任意技能伤害，触发检查里不选消息类型，触发消息写0（或者检查消息类型，但是用效果类型里的ID），dataid写技能ID）
4=造成治疗（任意技能治疗，，触发检查里不选消息类型，触发消息写0，dataid写技能ID）
5=受到伤害（同上，一般用于反伤，加盾）
6=受到治疗（同上）
7=承受伤害（结算后）
8=造成伤害（结算后）考虑移除
9=触发事件（循环触发，消息类型一般是0，dataID是上一个触发的技能）
10=驱散事件（等补充）
11=子弹事件（后面都是子弹）
12=施法合并事件（技能开始立刻合并一些值，尽量不做触发，参考104的3技能）
13=效果合并事件（技能效果阶段立刻作用于目标之前立刻合并一些数值，此时有目标列表，可以通过目标数量来判断）
1,2,11使用消息类型里各自对应的类别，其他的使用效果类型的参数，还有一些更特殊的特殊说明</t>
        </r>
      </text>
    </comment>
    <comment ref="V5" authorId="0" shapeId="0">
      <text>
        <r>
          <rPr>
            <b/>
            <sz val="9"/>
            <color indexed="81"/>
            <rFont val="宋体"/>
            <family val="3"/>
            <charset val="134"/>
          </rPr>
          <t>刘阳:</t>
        </r>
        <r>
          <rPr>
            <sz val="9"/>
            <color indexed="81"/>
            <rFont val="宋体"/>
            <family val="3"/>
            <charset val="134"/>
          </rPr>
          <t xml:space="preserve">
1=不检查ID
2=检查ID==
4=检查ID在技能组
8=检查ID在BUFF组
1024=不检查消息类型
2048=检查消息类型==
4096=检查消息类型&amp;（消息类型满足（消息类型和
8192=检查消息类型｜
1048576=不检查消息参数
2097152=检查消息参数&gt;
4194304=检查消息参数&gt;=
8388608=检查消息参数&lt;
16777216=检查消息参数&lt;=
33554432=检查消息参数==
67108864=检查消息参数!==
134217728=检查消息参数&amp;
268435456=检查消息参数|</t>
        </r>
      </text>
    </comment>
    <comment ref="W5" authorId="1" shapeId="0">
      <text>
        <r>
          <rPr>
            <sz val="9"/>
            <color indexed="81"/>
            <rFont val="宋体"/>
            <family val="3"/>
            <charset val="134"/>
          </rPr>
          <t xml:space="preserve">作者:
//技能事件
TriggerNotify_SkillStart = 1 &lt;&lt; 0, //技能开始
TriggerNotify_SkillBreak = 1 &lt;&lt; 2, //技能打断
TriggerNotify_SkillMove  = 1 &lt;&lt; 3,  //技能位移开始
TriggerNotify_SkillArrived = 1 &lt;&lt; 4, //技能位移达到
TriggerNotify_SkillCast = 1 &lt;&lt; 5, //蓄力技能的阶段
//Buff事件
TriggerNotify_BuffAdd  = 1 &lt;&lt; 0, //Buff添加
TriggerNotify_BuffEnd  = 1 &lt;&lt; 1, //Buff结束
TriggerNotify_BuffDispel = 1 &lt;&lt; 2, //Buff驱散
TriggerNotify_BuffStacks = 1 &lt;&lt; 3, //Buff叠加
//效果事件
TriggerNotify_Damage  = 1 &lt;&lt; 0, //伤害
TriggerNotify_Heal   = 1 &lt;&lt; 1, //治疗
TriggerNotify_DOT   = 1 &lt;&lt; 2, //DOT
TriggerNotify_HOT   = 1 &lt;&lt; 3, //HOT
TriggerNotify_Hit   = 1 &lt;&lt; 4, //命中
TriggerNotify_Crit   = 1 &lt;&lt; 5, //暴击
TriggerNotify_Kill   = 1 &lt;&lt; 6, //击杀
TriggerNotify_Miss   = 1 &lt;&lt; 7, //打断
TriggerNotify_Immunity  = 1 &lt;&lt; 8,  //免疫
TriggerNotify_Buff   = 1 &lt;&lt; 9, //增益状态
TriggerNotify_Debuff  = 1 &lt;&lt; 10, //减益效果
TriggerNotify_DispelBuff = 1 &lt;&lt; 11, //驱散增益
TriggerNotify_DispelDebuff = 1 &lt;&lt; 12, //驱散减益
TriggerNotify_NearDeath  = 1 &lt;&lt; 13, //濒死
TriggerNotify_Absorbs  = 1 &lt;&lt; 14, //吸收
TriggerNotify_RecoverHp  = 1 &lt;&lt; 15, //回血
TriggerNotify_RecoverMp  = 1 &lt;&lt; 16, //回蓝
TriggerNotify_RecoverEb  = 1 &lt;&lt; 17, //回怒
//子弹事件
TriggerNotify_BulletEffect = 1 &lt;&lt; 0, //子弹周期事件
TriggerNotify_BulletHit  = 1 &lt;&lt; 1, //子弹命中人物事件
TriggerNotify_BulletDead = 1 &lt;&lt; 2, //子弹死亡事件
TriggerNotify_AttackStage = 1 &lt;&lt; 3, //子弹事件（不知道是啥）
TriggerNotify_BullerHitEnv = 1 &lt;&lt; 4, //子弹命中环境事件
</t>
        </r>
      </text>
    </comment>
    <comment ref="X5" authorId="0" shapeId="0">
      <text>
        <r>
          <rPr>
            <b/>
            <sz val="9"/>
            <color indexed="81"/>
            <rFont val="宋体"/>
            <family val="3"/>
            <charset val="134"/>
          </rPr>
          <t>刘阳:</t>
        </r>
        <r>
          <rPr>
            <sz val="9"/>
            <color indexed="81"/>
            <rFont val="宋体"/>
            <family val="3"/>
            <charset val="134"/>
          </rPr>
          <t xml:space="preserve">
如果是要检查技能触发就填技能ID，技能组就填技能组ID，buff就填buffID</t>
        </r>
      </text>
    </comment>
    <comment ref="Y5" authorId="0" shapeId="0">
      <text>
        <r>
          <rPr>
            <b/>
            <sz val="9"/>
            <color indexed="81"/>
            <rFont val="宋体"/>
            <family val="3"/>
            <charset val="134"/>
          </rPr>
          <t>刘阳:</t>
        </r>
        <r>
          <rPr>
            <sz val="9"/>
            <color indexed="81"/>
            <rFont val="宋体"/>
            <family val="3"/>
            <charset val="134"/>
          </rPr>
          <t xml:space="preserve">
如果buff有层数则此处填写层数</t>
        </r>
      </text>
    </comment>
    <comment ref="Z5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刘阳:
1000=1=触发几率100%
</t>
        </r>
      </text>
    </comment>
    <comment ref="AB5" authorId="0" shapeId="0">
      <text>
        <r>
          <rPr>
            <b/>
            <sz val="9"/>
            <color indexed="81"/>
            <rFont val="宋体"/>
            <family val="3"/>
            <charset val="134"/>
          </rPr>
          <t>刘阳:</t>
        </r>
        <r>
          <rPr>
            <sz val="9"/>
            <color indexed="81"/>
            <rFont val="宋体"/>
            <family val="3"/>
            <charset val="134"/>
          </rPr>
          <t xml:space="preserve">
//主动技能    
SkillSpell_Branch = 10001, //技能帧    
SkillSpell_Sing = 10002, //吟唱    
参数1：吟唱动作，参数2：吟唱时间
SkillSpell_Channel = 10003, //引导    
SkillSpell_Dash = 10004, //冲锋   
参数1速度，单位m/s，参数2加速度可正负，单位m/s，
效果时间是开始移动的时间，技能时间是总计冲的时间
SkillSpell_Charger = 10005, //蓄力
参数1蓄力间隔，参数2最大蓄力次数    
skillspell_XXXXX = 10006   //采集
GSkillSpellLogic_Teleportation = 10007, //瞬移
SkillSpell_AimAt = 10008      //始终看着某一点
SkillSpell_AttackQueue = 10009, //攻击队列
参数1：目标数量  最少1个
参数2：自动瞄准范围 单位分米（球半径）
参数3：自动瞄准类型  0全部，1仅正面
//被动技能    
SkillSpell_Eot = 20001, //DOT/HOT    
SkillSpell_Stand = 20002, //静止/移动  
参数1是否静止，参数2效果时间，参数3首次效果时间  
SkillSpell_AValue = 20003, //属性集（永久无条件修正）
GSkillSpellLogic_Condition = 20004  //满足第一条件则做一次某事，之后满足第二条件则重置
参数1：第一条件，检查组的一个ID，
参数2：第二条件，检查组的一个ID。  
//触发技能    
SkillSpell_Trigger = 30001, //触发    
SkillSpell_Shield = 30002, //护盾    
SkillSpell_Effect = 30003, //修正    
效果逻辑参数，并非技能逻辑参数
参数1：类型，1是通常，参数2基础，参数3百分比
参数1：2代表距离近加成，参数2：最近距离（再近也不修正了），参数3，最近的加成百分比的百分号前面的数
参数1：3代表距离远加成，其他跟2一样
SkillSpell_Calculation = 30004, //结算    
SkillSpell_TriggerScript = 30005, //脚本 
被动脚本技能
SkillSpell_TriggerSkill = 30006, //服务器触发技能</t>
        </r>
      </text>
    </comment>
    <comment ref="AG5" authorId="0" shapeId="0">
      <text>
        <r>
          <rPr>
            <b/>
            <sz val="9"/>
            <color indexed="81"/>
            <rFont val="宋体"/>
            <family val="3"/>
            <charset val="134"/>
          </rPr>
          <t>刘阳:</t>
        </r>
        <r>
          <rPr>
            <sz val="9"/>
            <color indexed="81"/>
            <rFont val="宋体"/>
            <family val="3"/>
            <charset val="134"/>
          </rPr>
          <t xml:space="preserve">
SkillLauncher_Direct = 1, //直接伤害帧
SkillLauncher_Bullet = 2, //单发子弹
SkillLauncher_Barrage = 3, //扇形弹幕
参数1位置分散米数x10，如果是原地分散则直接写，如果是往朝向位置偏移再分散，写朝向偏移米数X10再乘以10000再加上分散的米数X10，参数2子弹数量，参数3间隔角度
</t>
        </r>
      </text>
    </comment>
    <comment ref="AH5" authorId="0" shapeId="0">
      <text>
        <r>
          <rPr>
            <b/>
            <sz val="9"/>
            <color indexed="81"/>
            <rFont val="宋体"/>
            <family val="3"/>
            <charset val="134"/>
          </rPr>
          <t>刘阳:</t>
        </r>
        <r>
          <rPr>
            <sz val="9"/>
            <color indexed="81"/>
            <rFont val="宋体"/>
            <family val="3"/>
            <charset val="134"/>
          </rPr>
          <t xml:space="preserve">
该子弹的轨迹，在导弹轨迹表里定义，如果是从1-25随机1个，则是10025，如果是10-25则填100025
</t>
        </r>
      </text>
    </comment>
    <comment ref="AI5" authorId="0" shapeId="0">
      <text>
        <r>
          <rPr>
            <b/>
            <sz val="9"/>
            <color indexed="81"/>
            <rFont val="宋体"/>
            <family val="3"/>
            <charset val="134"/>
          </rPr>
          <t>刘阳:</t>
        </r>
        <r>
          <rPr>
            <sz val="9"/>
            <color indexed="81"/>
            <rFont val="宋体"/>
            <family val="3"/>
            <charset val="134"/>
          </rPr>
          <t xml:space="preserve">
上升阶段时间占全程时间的百分比的百分号前面的数，例如20%填20</t>
        </r>
      </text>
    </comment>
    <comment ref="AJ5" authorId="0" shapeId="0">
      <text>
        <r>
          <rPr>
            <b/>
            <sz val="9"/>
            <color indexed="81"/>
            <rFont val="宋体"/>
            <family val="3"/>
            <charset val="134"/>
          </rPr>
          <t>刘阳:</t>
        </r>
        <r>
          <rPr>
            <sz val="9"/>
            <color indexed="81"/>
            <rFont val="宋体"/>
            <family val="3"/>
            <charset val="134"/>
          </rPr>
          <t xml:space="preserve">
下降阶段时间占全程时间的百分比的百分号前面的数，例如20%填20</t>
        </r>
      </text>
    </comment>
    <comment ref="AL5" authorId="0" shapeId="0">
      <text>
        <r>
          <rPr>
            <b/>
            <sz val="9"/>
            <color indexed="81"/>
            <rFont val="宋体"/>
            <family val="3"/>
            <charset val="134"/>
          </rPr>
          <t>刘阳:</t>
        </r>
        <r>
          <rPr>
            <sz val="9"/>
            <color indexed="81"/>
            <rFont val="宋体"/>
            <family val="3"/>
            <charset val="134"/>
          </rPr>
          <t xml:space="preserve">
  Projectile_Track = 1,   //追踪子弹
 （追踪人或者目标点）
  Projectile_Parabola = 2,  //抛物线子弹
  Projectile_Trap = 3,   //陷阱子弹
  Projectile_Missile = 4,   //导弹类子弹，有着发射、飞行和攻击3个阶段的位置曲线
Projectile = 5         //5:直线子弹</t>
        </r>
      </text>
    </comment>
    <comment ref="AM5" authorId="0" shapeId="0">
      <text>
        <r>
          <rPr>
            <b/>
            <sz val="9"/>
            <color indexed="81"/>
            <rFont val="宋体"/>
            <family val="3"/>
            <charset val="134"/>
          </rPr>
          <t>刘阳:</t>
        </r>
        <r>
          <rPr>
            <sz val="9"/>
            <color indexed="81"/>
            <rFont val="宋体"/>
            <family val="3"/>
            <charset val="134"/>
          </rPr>
          <t xml:space="preserve">
子弹会在目标点为圆心的圆内分散命中，此处填半径，单位米数X10</t>
        </r>
      </text>
    </comment>
    <comment ref="AN5" authorId="2" shapeId="0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每次发射的子弹个数，填写0也至少发射一个子弹。
</t>
        </r>
      </text>
    </comment>
    <comment ref="AP5" authorId="0" shapeId="0">
      <text>
        <r>
          <rPr>
            <b/>
            <sz val="9"/>
            <color indexed="81"/>
            <rFont val="宋体"/>
            <family val="3"/>
            <charset val="134"/>
          </rPr>
          <t>刘阳:</t>
        </r>
        <r>
          <rPr>
            <sz val="9"/>
            <color indexed="81"/>
            <rFont val="宋体"/>
            <family val="3"/>
            <charset val="134"/>
          </rPr>
          <t xml:space="preserve">
子弹生命，毫秒</t>
        </r>
      </text>
    </comment>
    <comment ref="AQ5" authorId="0" shapeId="0">
      <text>
        <r>
          <rPr>
            <b/>
            <sz val="9"/>
            <color indexed="81"/>
            <rFont val="宋体"/>
            <family val="3"/>
            <charset val="134"/>
          </rPr>
          <t>刘阳:</t>
        </r>
        <r>
          <rPr>
            <sz val="9"/>
            <color indexed="81"/>
            <rFont val="宋体"/>
            <family val="3"/>
            <charset val="134"/>
          </rPr>
          <t xml:space="preserve">
每100毫秒移动的距离乘以10，单位米</t>
        </r>
      </text>
    </comment>
    <comment ref="AR5" authorId="0" shapeId="0">
      <text>
        <r>
          <rPr>
            <b/>
            <sz val="9"/>
            <color indexed="81"/>
            <rFont val="宋体"/>
            <family val="3"/>
            <charset val="134"/>
          </rPr>
          <t>刘阳:
子弹周期产生效果，</t>
        </r>
        <r>
          <rPr>
            <sz val="9"/>
            <color indexed="81"/>
            <rFont val="宋体"/>
            <family val="3"/>
            <charset val="134"/>
          </rPr>
          <t>多长时间产生一次效果
如果不是周期效果则没用</t>
        </r>
      </text>
    </comment>
    <comment ref="AS5" authorId="0" shapeId="0">
      <text>
        <r>
          <rPr>
            <b/>
            <sz val="9"/>
            <color indexed="81"/>
            <rFont val="宋体"/>
            <family val="3"/>
            <charset val="134"/>
          </rPr>
          <t>刘阳:
子弹周期产生效果，</t>
        </r>
        <r>
          <rPr>
            <sz val="9"/>
            <color indexed="81"/>
            <rFont val="宋体"/>
            <family val="3"/>
            <charset val="134"/>
          </rPr>
          <t>多长时间产生一次效果
如果不是周期效果则没用</t>
        </r>
      </text>
    </comment>
    <comment ref="AT5" authorId="0" shapeId="0">
      <text>
        <r>
          <rPr>
            <b/>
            <sz val="9"/>
            <color indexed="81"/>
            <rFont val="宋体"/>
            <family val="3"/>
            <charset val="134"/>
          </rPr>
          <t>刘阳:</t>
        </r>
        <r>
          <rPr>
            <sz val="9"/>
            <color indexed="81"/>
            <rFont val="宋体"/>
            <family val="3"/>
            <charset val="134"/>
          </rPr>
          <t xml:space="preserve">
总共命中的目标数量。多次效果加起来最多这么多人</t>
        </r>
      </text>
    </comment>
    <comment ref="BA5" authorId="0" shapeId="0">
      <text>
        <r>
          <rPr>
            <b/>
            <sz val="9"/>
            <color indexed="81"/>
            <rFont val="宋体"/>
            <family val="3"/>
            <charset val="134"/>
          </rPr>
          <t>刘阳:</t>
        </r>
        <r>
          <rPr>
            <sz val="9"/>
            <color indexed="81"/>
            <rFont val="宋体"/>
            <family val="3"/>
            <charset val="134"/>
          </rPr>
          <t xml:space="preserve">
废弃，已无代码</t>
        </r>
      </text>
    </comment>
    <comment ref="BB5" authorId="0" shapeId="0">
      <text>
        <r>
          <rPr>
            <b/>
            <sz val="9"/>
            <color indexed="81"/>
            <rFont val="宋体"/>
            <family val="3"/>
            <charset val="134"/>
          </rPr>
          <t>刘阳:</t>
        </r>
        <r>
          <rPr>
            <sz val="9"/>
            <color indexed="81"/>
            <rFont val="宋体"/>
            <family val="3"/>
            <charset val="134"/>
          </rPr>
          <t xml:space="preserve">
该技能多少毫秒后可以被技能打断</t>
        </r>
      </text>
    </comment>
    <comment ref="BC5" authorId="0" shapeId="0">
      <text>
        <r>
          <rPr>
            <b/>
            <sz val="9"/>
            <color indexed="81"/>
            <rFont val="宋体"/>
            <family val="3"/>
            <charset val="134"/>
          </rPr>
          <t>刘阳:</t>
        </r>
        <r>
          <rPr>
            <sz val="9"/>
            <color indexed="81"/>
            <rFont val="宋体"/>
            <family val="3"/>
            <charset val="134"/>
          </rPr>
          <t xml:space="preserve">
技能多少毫秒放完</t>
        </r>
      </text>
    </comment>
    <comment ref="BD5" authorId="0" shapeId="0">
      <text>
        <r>
          <rPr>
            <b/>
            <sz val="9"/>
            <color indexed="81"/>
            <rFont val="宋体"/>
            <family val="3"/>
            <charset val="134"/>
          </rPr>
          <t>刘阳:</t>
        </r>
        <r>
          <rPr>
            <sz val="9"/>
            <color indexed="81"/>
            <rFont val="宋体"/>
            <family val="3"/>
            <charset val="134"/>
          </rPr>
          <t xml:space="preserve">
仅用于主动技能，产生第一次效果是技能开始后的多少毫秒，如果是子弹，则是第一颗子弹是技能开始后多少毫秒发出</t>
        </r>
      </text>
    </comment>
    <comment ref="BE5" authorId="0" shapeId="0">
      <text>
        <r>
          <rPr>
            <b/>
            <sz val="9"/>
            <color indexed="81"/>
            <rFont val="宋体"/>
            <family val="3"/>
            <charset val="134"/>
          </rPr>
          <t>刘阳:</t>
        </r>
        <r>
          <rPr>
            <sz val="9"/>
            <color indexed="81"/>
            <rFont val="宋体"/>
            <family val="3"/>
            <charset val="134"/>
          </rPr>
          <t xml:space="preserve">
如果是直接伤害则此处是每隔多长时间产生一次效果，如果是子弹则是每隔多长时间发出一颗子弹。</t>
        </r>
      </text>
    </comment>
    <comment ref="BF5" authorId="0" shapeId="0">
      <text>
        <r>
          <rPr>
            <b/>
            <sz val="9"/>
            <color indexed="81"/>
            <rFont val="宋体"/>
            <family val="3"/>
            <charset val="134"/>
          </rPr>
          <t>刘阳:</t>
        </r>
        <r>
          <rPr>
            <sz val="9"/>
            <color indexed="81"/>
            <rFont val="宋体"/>
            <family val="3"/>
            <charset val="134"/>
          </rPr>
          <t xml:space="preserve">
如果是技能
-1 = 无限次
0 = 不生效
1-X = 1-X次效果次数 
如果是子弹，则是产生多少个子弹
</t>
        </r>
      </text>
    </comment>
    <comment ref="BG5" authorId="0" shapeId="0">
      <text>
        <r>
          <rPr>
            <b/>
            <sz val="9"/>
            <color indexed="81"/>
            <rFont val="宋体"/>
            <family val="3"/>
            <charset val="134"/>
          </rPr>
          <t>刘阳:</t>
        </r>
        <r>
          <rPr>
            <sz val="9"/>
            <color indexed="81"/>
            <rFont val="宋体"/>
            <family val="3"/>
            <charset val="134"/>
          </rPr>
          <t xml:space="preserve">
1 用于效果事件的触发检查
2 用于客户端的伤害治疗数字的显示，伤害数字要选伤害，治疗要选治疗</t>
        </r>
      </text>
    </comment>
    <comment ref="BH5" authorId="0" shapeId="0">
      <text>
        <r>
          <rPr>
            <b/>
            <sz val="9"/>
            <color indexed="81"/>
            <rFont val="宋体"/>
            <family val="3"/>
            <charset val="134"/>
          </rPr>
          <t>刘阳:</t>
        </r>
        <r>
          <rPr>
            <sz val="9"/>
            <color indexed="81"/>
            <rFont val="宋体"/>
            <family val="3"/>
            <charset val="134"/>
          </rPr>
          <t xml:space="preserve">
  SkillEffect_Damage = 1, //伤害
  无参数
  SkillEffect_Heal = 2,   //治疗
  SkillEffect_Lua = 3,   //脚本
  SkillEffect_AddBuff = 4,  //AddBuff
  参数：buffid，参数2：等级，参数3：层数
  SkillEffect_RemoveBuff = 5, //RemoveBuff   不产生事件，等于GM指令
  SkillEffect_Dispel = 6,  //驱散   产生事件，驱散判定
  SkillEffect_Taunt = 7,   //嘲讽
  SkillEffect_Repel = 8,   //击退/拉拽
  SkillEffect_Relive = 9,  //复活
  SkillEffect_Recover = 10,  //恢复
  SkillEffect_CDReduce = 11, //技能加减CD
  参数1：cd组ID（被减的CD组）
  参数2：减数CD组ID
  参数3：0是减CD，1是加CD
  SkillEffect_Loot = 12,   //拾取掉落物;
  SkillEffect_RecoverEP = 13,   // 改变能量;
  参数1，能量ID，-1和0就是不生效
  参数2，修正的加减值，0是不改变，加减不超过上下限。
  参数3，修正能量的指定值，0是改成0，-1是不改变，1-X就是改成1-X(不超过上下限）
  SkillEffect_DispelByGroup = 14  按组驱散
  参数1：组ID，参数2：驱散个数，参数3：驱散层数
  GSkillEffect_Shield = 15 
  参数1 参数类型   参数2 set值   参数3 修正值
  </t>
        </r>
      </text>
    </comment>
    <comment ref="BI5" authorId="0" shapeId="0">
      <text>
        <r>
          <rPr>
            <b/>
            <sz val="9"/>
            <color indexed="81"/>
            <rFont val="宋体"/>
            <family val="3"/>
            <charset val="134"/>
          </rPr>
          <t>刘阳:</t>
        </r>
        <r>
          <rPr>
            <sz val="9"/>
            <color indexed="81"/>
            <rFont val="宋体"/>
            <family val="3"/>
            <charset val="134"/>
          </rPr>
          <t xml:space="preserve">
（修正技能的伤害时候，例如104的3技能）效果参数1是0，效果参数2是增加伤害的绝对数值，效果参数3是百分比， 伤害 = 最终伤害*120% + 50 的情况下，参数2配50， 参数3配20</t>
        </r>
      </text>
    </comment>
    <comment ref="BL5" authorId="0" shapeId="0">
      <text>
        <r>
          <rPr>
            <b/>
            <sz val="9"/>
            <color indexed="81"/>
            <rFont val="宋体"/>
            <family val="3"/>
            <charset val="134"/>
          </rPr>
          <t>刘阳:</t>
        </r>
        <r>
          <rPr>
            <sz val="9"/>
            <color indexed="81"/>
            <rFont val="宋体"/>
            <family val="3"/>
            <charset val="134"/>
          </rPr>
          <t xml:space="preserve">
命中去掉了，所有技能和buff都必定命中</t>
        </r>
      </text>
    </comment>
    <comment ref="BM5" authorId="0" shapeId="0">
      <text>
        <r>
          <rPr>
            <b/>
            <sz val="9"/>
            <color indexed="81"/>
            <rFont val="宋体"/>
            <family val="3"/>
            <charset val="134"/>
          </rPr>
          <t>刘阳:</t>
        </r>
        <r>
          <rPr>
            <sz val="9"/>
            <color indexed="81"/>
            <rFont val="宋体"/>
            <family val="3"/>
            <charset val="134"/>
          </rPr>
          <t xml:space="preserve">
  SkillEffectTransfrom_Caster_AValue = 1,  //施法属性集
  SkillEffectTransfrom_Target_AValue = 2,   //目标属性集
  SkillEffectTransfrom_Caster_Param = 3,   //施法参数集
  SkillEffectTransfrom_Target_Param = 4,   //目标参数集
  SkillEffectTransfrom_Trigger_Value = 5,   //触发效果值
  SkillEffectTransform_Caster_Script = 6   //施法脚本转换
  根据脚本把玩家的一个属性和参数换成技能效果固定值。
  SkillEffectTransform_Target_Script = 7   //目标脚本转换
  根据脚本把目标的一个属性和参数换成技能效果固定值。
</t>
        </r>
      </text>
    </comment>
    <comment ref="BP5" authorId="0" shapeId="0">
      <text>
        <r>
          <rPr>
            <b/>
            <sz val="9"/>
            <color indexed="81"/>
            <rFont val="宋体"/>
            <family val="3"/>
            <charset val="134"/>
          </rPr>
          <t>刘阳:</t>
        </r>
        <r>
          <rPr>
            <sz val="9"/>
            <color indexed="81"/>
            <rFont val="宋体"/>
            <family val="3"/>
            <charset val="134"/>
          </rPr>
          <t xml:space="preserve">
技能最远要打多远。如果是子弹，则走子弹速度，时间，伤害帧形状等算最远能打到多元，触发技能此处如果填0则不检查，填大于0则要检查触发消息的位置和该技能释放者之间的距离，不通过就不触发。</t>
        </r>
      </text>
    </comment>
    <comment ref="BQ5" authorId="0" shapeId="0">
      <text>
        <r>
          <rPr>
            <b/>
            <sz val="9"/>
            <color indexed="81"/>
            <rFont val="宋体"/>
            <family val="3"/>
            <charset val="134"/>
          </rPr>
          <t>刘阳:</t>
        </r>
        <r>
          <rPr>
            <sz val="9"/>
            <color indexed="81"/>
            <rFont val="宋体"/>
            <family val="3"/>
            <charset val="134"/>
          </rPr>
          <t xml:space="preserve">
一般用于近战追击，默认0，跟技能属性中的移动释放冲突</t>
        </r>
      </text>
    </comment>
    <comment ref="BR5" authorId="0" shapeId="0">
      <text>
        <r>
          <rPr>
            <b/>
            <sz val="9"/>
            <color indexed="81"/>
            <rFont val="宋体"/>
            <family val="3"/>
            <charset val="134"/>
          </rPr>
          <t>刘阳:</t>
        </r>
        <r>
          <rPr>
            <sz val="9"/>
            <color indexed="81"/>
            <rFont val="宋体"/>
            <family val="3"/>
            <charset val="134"/>
          </rPr>
          <t xml:space="preserve">
  SkillArea_Singleton = 1, //单体
  SkillArea_Sphere = 2, //球形范围
  参数1：半径，参数2：向前的偏移
  SkillArea_Sector = 3, //扇形范围
  参数1：最近边距自己的距离，参数2：半径，参数3：弧度
  SkillArea_Ring = 4, //环形范围（圆柱）
  参数1：内径，参数2：外径，参数3，偏移量
  SkillArea_Rect = 5, //矩形范围 
  参数1：最近边距自己的距离，参数2：最远边距自己的距离，参   数3：宽度</t>
        </r>
      </text>
    </comment>
    <comment ref="BS5" authorId="0" shapeId="0">
      <text>
        <r>
          <rPr>
            <b/>
            <sz val="9"/>
            <color indexed="81"/>
            <rFont val="宋体"/>
            <family val="3"/>
            <charset val="134"/>
          </rPr>
          <t>刘阳:</t>
        </r>
        <r>
          <rPr>
            <sz val="9"/>
            <color indexed="81"/>
            <rFont val="宋体"/>
            <family val="3"/>
            <charset val="134"/>
          </rPr>
          <t xml:space="preserve">
此处3个参数的单位是米/10</t>
        </r>
      </text>
    </comment>
    <comment ref="BV5" authorId="0" shapeId="0">
      <text>
        <r>
          <rPr>
            <b/>
            <sz val="9"/>
            <color indexed="81"/>
            <rFont val="宋体"/>
            <family val="3"/>
            <charset val="134"/>
          </rPr>
          <t>刘阳:</t>
        </r>
        <r>
          <rPr>
            <sz val="9"/>
            <color indexed="81"/>
            <rFont val="宋体"/>
            <family val="3"/>
            <charset val="134"/>
          </rPr>
          <t xml:space="preserve">
去条件检查_skill里定义
2 检查队友和自己
3 检查非队友
5 检查声望友好
6 检查声望敌对
7 检查声望敌对</t>
        </r>
      </text>
    </comment>
    <comment ref="BW5" authorId="0" shapeId="0">
      <text>
        <r>
          <rPr>
            <b/>
            <sz val="9"/>
            <color indexed="81"/>
            <rFont val="宋体"/>
            <family val="3"/>
            <charset val="134"/>
          </rPr>
          <t>刘阳:</t>
        </r>
        <r>
          <rPr>
            <sz val="9"/>
            <color indexed="81"/>
            <rFont val="宋体"/>
            <family val="3"/>
            <charset val="134"/>
          </rPr>
          <t xml:space="preserve">
AreaFilter_Null = 0,
AreaFilter_MinHp = 1, //最低血量</t>
        </r>
      </text>
    </comment>
    <comment ref="BX5" authorId="0" shapeId="0">
      <text>
        <r>
          <rPr>
            <b/>
            <sz val="9"/>
            <color indexed="81"/>
            <rFont val="宋体"/>
            <family val="3"/>
            <charset val="134"/>
          </rPr>
          <t>刘阳:</t>
        </r>
        <r>
          <rPr>
            <sz val="9"/>
            <color indexed="81"/>
            <rFont val="宋体"/>
            <family val="3"/>
            <charset val="134"/>
          </rPr>
          <t xml:space="preserve">
单次效果影响多少个目标</t>
        </r>
      </text>
    </comment>
    <comment ref="BZ5" authorId="0" shapeId="0">
      <text>
        <r>
          <rPr>
            <b/>
            <sz val="9"/>
            <color indexed="81"/>
            <rFont val="宋体"/>
            <family val="3"/>
            <charset val="134"/>
          </rPr>
          <t>刘阳:</t>
        </r>
        <r>
          <rPr>
            <sz val="9"/>
            <color indexed="81"/>
            <rFont val="宋体"/>
            <family val="3"/>
            <charset val="134"/>
          </rPr>
          <t xml:space="preserve">
在CD组表里定义，不要填0，填-1代表无cd，如果是一个例如每XX秒最多触发一次的被动触发技能，则此处也要填该触发技能的CD组
</t>
        </r>
      </text>
    </comment>
    <comment ref="CA5" authorId="0" shapeId="0">
      <text>
        <r>
          <rPr>
            <b/>
            <sz val="9"/>
            <color indexed="81"/>
            <rFont val="宋体"/>
            <family val="3"/>
            <charset val="134"/>
          </rPr>
          <t>刘阳:</t>
        </r>
        <r>
          <rPr>
            <sz val="9"/>
            <color indexed="81"/>
            <rFont val="宋体"/>
            <family val="3"/>
            <charset val="134"/>
          </rPr>
          <t xml:space="preserve">
如果CD组配了某ID，再配上CD时间，等于把这次放技能的时间修改成CD时间配的值
，该CD组本身时间不变</t>
        </r>
      </text>
    </comment>
    <comment ref="CB5" authorId="0" shapeId="0">
      <text>
        <r>
          <rPr>
            <b/>
            <sz val="9"/>
            <color indexed="81"/>
            <rFont val="宋体"/>
            <family val="3"/>
            <charset val="134"/>
          </rPr>
          <t>刘阳:</t>
        </r>
        <r>
          <rPr>
            <sz val="9"/>
            <color indexed="81"/>
            <rFont val="宋体"/>
            <family val="3"/>
            <charset val="134"/>
          </rPr>
          <t xml:space="preserve">
1 = 血量
2 = MP（暂时不用）
3 = 能量1
4 = 能量2</t>
        </r>
      </text>
    </comment>
    <comment ref="CC5" authorId="0" shapeId="0">
      <text>
        <r>
          <rPr>
            <b/>
            <sz val="9"/>
            <color indexed="81"/>
            <rFont val="宋体"/>
            <family val="3"/>
            <charset val="134"/>
          </rPr>
          <t>刘阳:</t>
        </r>
        <r>
          <rPr>
            <sz val="9"/>
            <color indexed="81"/>
            <rFont val="宋体"/>
            <family val="3"/>
            <charset val="134"/>
          </rPr>
          <t xml:space="preserve">
消耗多少值就写多少值，-1为全消耗光</t>
        </r>
      </text>
    </comment>
    <comment ref="CG5" authorId="0" shapeId="0">
      <text>
        <r>
          <rPr>
            <b/>
            <sz val="9"/>
            <color indexed="81"/>
            <rFont val="宋体"/>
            <family val="3"/>
            <charset val="134"/>
          </rPr>
          <t>刘阳:</t>
        </r>
        <r>
          <rPr>
            <sz val="9"/>
            <color indexed="81"/>
            <rFont val="宋体"/>
            <family val="3"/>
            <charset val="134"/>
          </rPr>
          <t xml:space="preserve">
DisType_None = -1         无击退效果
DisType_Sphere = 0        相关圆心位移（以自身或者某一点为圆心击退或者拉拽）
DisType_Self = 1          相对源坐标位移（子弹的是生效的瞬间的坐标，施法者就是施法者）
DisType_Caster = 2        相对施法者位移</t>
        </r>
      </text>
    </comment>
    <comment ref="CH5" authorId="0" shapeId="0">
      <text>
        <r>
          <rPr>
            <b/>
            <sz val="9"/>
            <color indexed="81"/>
            <rFont val="宋体"/>
            <family val="3"/>
            <charset val="134"/>
          </rPr>
          <t>刘阳:</t>
        </r>
        <r>
          <rPr>
            <sz val="9"/>
            <color indexed="81"/>
            <rFont val="宋体"/>
            <family val="3"/>
            <charset val="134"/>
          </rPr>
          <t xml:space="preserve">
暂时不用</t>
        </r>
      </text>
    </comment>
    <comment ref="CI5" authorId="0" shapeId="0">
      <text>
        <r>
          <rPr>
            <b/>
            <sz val="9"/>
            <color indexed="81"/>
            <rFont val="宋体"/>
            <family val="3"/>
            <charset val="134"/>
          </rPr>
          <t>刘阳:</t>
        </r>
        <r>
          <rPr>
            <sz val="9"/>
            <color indexed="81"/>
            <rFont val="宋体"/>
            <family val="3"/>
            <charset val="134"/>
          </rPr>
          <t xml:space="preserve">
暂时不用</t>
        </r>
      </text>
    </comment>
    <comment ref="CJ5" authorId="0" shapeId="0">
      <text>
        <r>
          <rPr>
            <b/>
            <sz val="9"/>
            <color indexed="81"/>
            <rFont val="宋体"/>
            <family val="3"/>
            <charset val="134"/>
          </rPr>
          <t>刘阳:</t>
        </r>
        <r>
          <rPr>
            <sz val="9"/>
            <color indexed="81"/>
            <rFont val="宋体"/>
            <family val="3"/>
            <charset val="134"/>
          </rPr>
          <t xml:space="preserve">
被击退者对应动画
0 = 小击退
1 = 大击退</t>
        </r>
      </text>
    </comment>
    <comment ref="CK5" authorId="0" shapeId="0">
      <text>
        <r>
          <rPr>
            <b/>
            <sz val="9"/>
            <color indexed="81"/>
            <rFont val="宋体"/>
            <family val="3"/>
            <charset val="134"/>
          </rPr>
          <t>刘阳:</t>
        </r>
        <r>
          <rPr>
            <sz val="9"/>
            <color indexed="81"/>
            <rFont val="宋体"/>
            <family val="3"/>
            <charset val="134"/>
          </rPr>
          <t xml:space="preserve">
1 = 击退
2 = 拉拽
3 = 拉拽到距离施法者（子弹或者人）百分比位置（在移动距离里配0.5就是拉到中间位置）
101 = 高级击退（boss用，无法闪避）
102 = 高级拉拽（boss用，无法闪避）</t>
        </r>
      </text>
    </comment>
    <comment ref="CL5" authorId="0" shapeId="0">
      <text>
        <r>
          <rPr>
            <b/>
            <sz val="9"/>
            <color indexed="81"/>
            <rFont val="宋体"/>
            <family val="3"/>
            <charset val="134"/>
          </rPr>
          <t>刘阳:</t>
        </r>
        <r>
          <rPr>
            <sz val="9"/>
            <color indexed="81"/>
            <rFont val="宋体"/>
            <family val="3"/>
            <charset val="134"/>
          </rPr>
          <t xml:space="preserve">
移动距离为绝对距离
保险距离为相对距离
用哪个另外一个配-1或者0
</t>
        </r>
      </text>
    </comment>
    <comment ref="CM5" authorId="0" shapeId="0">
      <text>
        <r>
          <rPr>
            <b/>
            <sz val="9"/>
            <color indexed="81"/>
            <rFont val="宋体"/>
            <family val="3"/>
            <charset val="134"/>
          </rPr>
          <t>刘阳:</t>
        </r>
        <r>
          <rPr>
            <sz val="9"/>
            <color indexed="81"/>
            <rFont val="宋体"/>
            <family val="3"/>
            <charset val="134"/>
          </rPr>
          <t xml:space="preserve">
拉拽效果：到目标点之间的缓冲距离。Eg填1即为到离我一米处。
击退效果：击退到最远的目标点与基准点的距离。Eg填12即为将所有怪打到距离我12米处。</t>
        </r>
      </text>
    </comment>
    <comment ref="CN5" authorId="0" shapeId="0">
      <text>
        <r>
          <rPr>
            <b/>
            <sz val="9"/>
            <color indexed="81"/>
            <rFont val="宋体"/>
            <family val="3"/>
            <charset val="134"/>
          </rPr>
          <t>刘阳:</t>
        </r>
        <r>
          <rPr>
            <sz val="9"/>
            <color indexed="81"/>
            <rFont val="宋体"/>
            <family val="3"/>
            <charset val="134"/>
          </rPr>
          <t xml:space="preserve">
从起点到终点的所用时间</t>
        </r>
      </text>
    </comment>
    <comment ref="CO5" authorId="0" shapeId="0">
      <text>
        <r>
          <rPr>
            <b/>
            <sz val="9"/>
            <color indexed="81"/>
            <rFont val="宋体"/>
            <family val="3"/>
            <charset val="134"/>
          </rPr>
          <t>刘阳:</t>
        </r>
        <r>
          <rPr>
            <sz val="9"/>
            <color indexed="81"/>
            <rFont val="宋体"/>
            <family val="3"/>
            <charset val="134"/>
          </rPr>
          <t xml:space="preserve">
击退动画时间，击退时间大于位移时间</t>
        </r>
      </text>
    </comment>
    <comment ref="CQ5" authorId="0" shapeId="0">
      <text>
        <r>
          <rPr>
            <b/>
            <sz val="9"/>
            <color indexed="81"/>
            <rFont val="宋体"/>
            <family val="3"/>
            <charset val="134"/>
          </rPr>
          <t>刘阳:</t>
        </r>
        <r>
          <rPr>
            <sz val="9"/>
            <color indexed="81"/>
            <rFont val="宋体"/>
            <family val="3"/>
            <charset val="134"/>
          </rPr>
          <t xml:space="preserve">
使用技能时候位移距离</t>
        </r>
      </text>
    </comment>
    <comment ref="CR5" authorId="0" shapeId="0">
      <text>
        <r>
          <rPr>
            <b/>
            <sz val="9"/>
            <color indexed="81"/>
            <rFont val="宋体"/>
            <family val="3"/>
            <charset val="134"/>
          </rPr>
          <t>刘阳:</t>
        </r>
        <r>
          <rPr>
            <sz val="9"/>
            <color indexed="81"/>
            <rFont val="宋体"/>
            <family val="3"/>
            <charset val="134"/>
          </rPr>
          <t xml:space="preserve">
使用技能时位移方向，0向前，1向后</t>
        </r>
      </text>
    </comment>
    <comment ref="CS5" authorId="0" shapeId="0">
      <text>
        <r>
          <rPr>
            <b/>
            <sz val="9"/>
            <color indexed="81"/>
            <rFont val="宋体"/>
            <family val="3"/>
            <charset val="134"/>
          </rPr>
          <t>刘阳:</t>
        </r>
        <r>
          <rPr>
            <sz val="9"/>
            <color indexed="81"/>
            <rFont val="宋体"/>
            <family val="3"/>
            <charset val="134"/>
          </rPr>
          <t xml:space="preserve">
目前此列和后面的1列只用于怪物，以后可能扩展到人物技能，单位毫秒
</t>
        </r>
      </text>
    </comment>
    <comment ref="CT5" authorId="0" shapeId="0">
      <text>
        <r>
          <rPr>
            <b/>
            <sz val="9"/>
            <color indexed="81"/>
            <rFont val="宋体"/>
            <family val="3"/>
            <charset val="134"/>
          </rPr>
          <t>刘阳:</t>
        </r>
        <r>
          <rPr>
            <sz val="9"/>
            <color indexed="81"/>
            <rFont val="宋体"/>
            <family val="3"/>
            <charset val="134"/>
          </rPr>
          <t xml:space="preserve">
单位毫秒</t>
        </r>
      </text>
    </comment>
    <comment ref="CV5" authorId="0" shapeId="0">
      <text>
        <r>
          <rPr>
            <b/>
            <sz val="9"/>
            <color indexed="81"/>
            <rFont val="宋体"/>
            <family val="3"/>
            <charset val="134"/>
          </rPr>
          <t>刘阳:</t>
        </r>
        <r>
          <rPr>
            <sz val="9"/>
            <color indexed="81"/>
            <rFont val="宋体"/>
            <family val="3"/>
            <charset val="134"/>
          </rPr>
          <t xml:space="preserve">
去动画表里找</t>
        </r>
      </text>
    </comment>
    <comment ref="CW5" authorId="0" shapeId="0">
      <text>
        <r>
          <rPr>
            <b/>
            <sz val="9"/>
            <color indexed="81"/>
            <rFont val="宋体"/>
            <family val="3"/>
            <charset val="134"/>
          </rPr>
          <t>刘阳:</t>
        </r>
        <r>
          <rPr>
            <sz val="9"/>
            <color indexed="81"/>
            <rFont val="宋体"/>
            <family val="3"/>
            <charset val="134"/>
          </rPr>
          <t xml:space="preserve">
去武器定义表里找</t>
        </r>
      </text>
    </comment>
    <comment ref="CX5" authorId="0" shapeId="0">
      <text>
        <r>
          <rPr>
            <b/>
            <sz val="9"/>
            <color indexed="81"/>
            <rFont val="宋体"/>
            <family val="3"/>
            <charset val="134"/>
          </rPr>
          <t>刘阳:</t>
        </r>
        <r>
          <rPr>
            <sz val="9"/>
            <color indexed="81"/>
            <rFont val="宋体"/>
            <family val="3"/>
            <charset val="134"/>
          </rPr>
          <t xml:space="preserve">
在客户端战斗表现中定义</t>
        </r>
      </text>
    </comment>
    <comment ref="CY5" authorId="0" shapeId="0">
      <text>
        <r>
          <rPr>
            <b/>
            <sz val="9"/>
            <color indexed="81"/>
            <rFont val="宋体"/>
            <family val="3"/>
            <charset val="134"/>
          </rPr>
          <t>刘阳:</t>
        </r>
        <r>
          <rPr>
            <sz val="9"/>
            <color indexed="81"/>
            <rFont val="宋体"/>
            <family val="3"/>
            <charset val="134"/>
          </rPr>
          <t xml:space="preserve">
如果战斗表现为-1，则填写0，如果不为-1，则填写具体的数字</t>
        </r>
      </text>
    </comment>
    <comment ref="CZ5" authorId="0" shapeId="0">
      <text>
        <r>
          <rPr>
            <b/>
            <sz val="9"/>
            <color indexed="81"/>
            <rFont val="宋体"/>
            <family val="3"/>
            <charset val="134"/>
          </rPr>
          <t>刘阳:</t>
        </r>
        <r>
          <rPr>
            <sz val="9"/>
            <color indexed="81"/>
            <rFont val="宋体"/>
            <family val="3"/>
            <charset val="134"/>
          </rPr>
          <t xml:space="preserve">
硬直等级
1为普攻
2为技能
3为入场技
10为大招</t>
        </r>
      </text>
    </comment>
    <comment ref="DC5" authorId="0" shapeId="0">
      <text>
        <r>
          <rPr>
            <b/>
            <sz val="9"/>
            <color indexed="81"/>
            <rFont val="宋体"/>
            <family val="3"/>
            <charset val="134"/>
          </rPr>
          <t>刘阳:
技能释放前选释放点的模式
PreSkillMode_None,        0                  //无  
PreSkillMode_Avatar,      1                  //对人释放
PreSkillMode_ChooseWithinRange,  2           //选人头
PreSkillMode_LeftStick,  3                   //选择玩家左摇杆方向
PreSkillMode_Special,     4                  //特殊辅助瞄准规则
PreSkillMode_RightStick,    5                //选择玩家右摇杆方向</t>
        </r>
      </text>
    </comment>
    <comment ref="DD5" authorId="0" shapeId="0">
      <text>
        <r>
          <rPr>
            <b/>
            <sz val="9"/>
            <color indexed="81"/>
            <rFont val="宋体"/>
            <family val="3"/>
            <charset val="134"/>
          </rPr>
          <t>刘阳:</t>
        </r>
        <r>
          <rPr>
            <sz val="9"/>
            <color indexed="81"/>
            <rFont val="宋体"/>
            <family val="3"/>
            <charset val="134"/>
          </rPr>
          <t xml:space="preserve">
0、默认值（配了会不生效）
1、基本辅助（基于位置）【选敌人，90-180-360按距离选择4个敌人】
2、选择血量最少的队友【选队友，短按则选血量最少的x名（人数在范围目标数量里配置）】
3。瞬移技能（瞬移到子弹位置）</t>
        </r>
      </text>
    </comment>
    <comment ref="DE5" authorId="3" shapeId="0">
      <text>
        <r>
          <rPr>
            <b/>
            <sz val="9"/>
            <color indexed="81"/>
            <rFont val="宋体"/>
            <family val="3"/>
            <charset val="134"/>
          </rPr>
          <t>余衡鈞:</t>
        </r>
        <r>
          <rPr>
            <sz val="9"/>
            <color indexed="81"/>
            <rFont val="宋体"/>
            <family val="3"/>
            <charset val="134"/>
          </rPr>
          <t xml:space="preserve">
0:（默认）看（镜头也会转向目标）一般敌对选
1:不看（镜头不会变，目标会替换）一般队友选</t>
        </r>
      </text>
    </comment>
    <comment ref="DF5" authorId="0" shapeId="0">
      <text>
        <r>
          <rPr>
            <b/>
            <sz val="9"/>
            <color indexed="81"/>
            <rFont val="宋体"/>
            <family val="3"/>
            <charset val="134"/>
          </rPr>
          <t>刘阳:</t>
        </r>
        <r>
          <rPr>
            <sz val="9"/>
            <color indexed="81"/>
            <rFont val="宋体"/>
            <family val="3"/>
            <charset val="134"/>
          </rPr>
          <t xml:space="preserve">
在技能释放方式表中定义，0代表没有这个特效</t>
        </r>
      </text>
    </comment>
    <comment ref="DG5" authorId="0" shapeId="0">
      <text>
        <r>
          <rPr>
            <b/>
            <sz val="9"/>
            <color indexed="81"/>
            <rFont val="宋体"/>
            <family val="3"/>
            <charset val="134"/>
          </rPr>
          <t>刘阳:</t>
        </r>
        <r>
          <rPr>
            <sz val="9"/>
            <color indexed="81"/>
            <rFont val="宋体"/>
            <family val="3"/>
            <charset val="134"/>
          </rPr>
          <t xml:space="preserve">
填导弹轨迹表表里的ID，分散子弹要填配的一个基准曲线
现在默认是-1为无，序号从0开始。</t>
        </r>
      </text>
    </comment>
    <comment ref="DL5" authorId="0" shapeId="0">
      <text>
        <r>
          <rPr>
            <b/>
            <sz val="9"/>
            <color indexed="81"/>
            <rFont val="宋体"/>
            <family val="3"/>
            <charset val="134"/>
          </rPr>
          <t>刘阳:</t>
        </r>
        <r>
          <rPr>
            <sz val="9"/>
            <color indexed="81"/>
            <rFont val="宋体"/>
            <family val="3"/>
            <charset val="134"/>
          </rPr>
          <t xml:space="preserve">
如果想使用按1个按键自动放几连击，必须把连招的技能都放在同一个技能组里，此处填写的ID尽量有意义
</t>
        </r>
      </text>
    </comment>
    <comment ref="DM5" authorId="0" shapeId="0">
      <text>
        <r>
          <rPr>
            <b/>
            <sz val="9"/>
            <color indexed="81"/>
            <rFont val="宋体"/>
            <family val="3"/>
            <charset val="134"/>
          </rPr>
          <t>刘阳:</t>
        </r>
        <r>
          <rPr>
            <sz val="9"/>
            <color indexed="81"/>
            <rFont val="宋体"/>
            <family val="3"/>
            <charset val="134"/>
          </rPr>
          <t xml:space="preserve">
同一个技能组内的不同技能在连招时候的顺序，从小到大</t>
        </r>
      </text>
    </comment>
    <comment ref="DO5" authorId="0" shapeId="0">
      <text>
        <r>
          <rPr>
            <b/>
            <sz val="9"/>
            <color indexed="81"/>
            <rFont val="宋体"/>
            <family val="3"/>
            <charset val="134"/>
          </rPr>
          <t>刘阳:</t>
        </r>
        <r>
          <rPr>
            <sz val="9"/>
            <color indexed="81"/>
            <rFont val="宋体"/>
            <family val="3"/>
            <charset val="134"/>
          </rPr>
          <t xml:space="preserve">
Skill_Clt_Spell_Succ = 1      
 //客户端施法成功
Skill_Srv_Spell_Succ = 2       
//服务器施法成功
Skill_Srv_Spell_Failed = 4  
//服务器施法失败
Skill_Srv_Hit = 8      
//服务器施法命中</t>
        </r>
      </text>
    </comment>
    <comment ref="DP5" authorId="0" shapeId="0">
      <text>
        <r>
          <rPr>
            <b/>
            <sz val="9"/>
            <color indexed="81"/>
            <rFont val="宋体"/>
            <family val="3"/>
            <charset val="134"/>
          </rPr>
          <t>刘阳:</t>
        </r>
        <r>
          <rPr>
            <sz val="9"/>
            <color indexed="81"/>
            <rFont val="宋体"/>
            <family val="3"/>
            <charset val="134"/>
          </rPr>
          <t xml:space="preserve">
Skill_Clt_Spell_Succ = 1      
 //客户端施法成功
Skill_Srv_Spell_Succ = 2       
//服务器施法成功
Skill_Srv_Spell_Failed = 4  
//服务器施法失败
Skill_Srv_Hit = 8      
//服务器施法命中</t>
        </r>
      </text>
    </comment>
    <comment ref="DQ5" authorId="0" shapeId="0">
      <text>
        <r>
          <rPr>
            <b/>
            <sz val="9"/>
            <color indexed="81"/>
            <rFont val="宋体"/>
            <family val="3"/>
            <charset val="134"/>
          </rPr>
          <t>刘阳:</t>
        </r>
        <r>
          <rPr>
            <sz val="9"/>
            <color indexed="81"/>
            <rFont val="宋体"/>
            <family val="3"/>
            <charset val="134"/>
          </rPr>
          <t xml:space="preserve">
响应哪些技能的事件（一定是父技能）</t>
        </r>
      </text>
    </comment>
    <comment ref="DR5" authorId="0" shapeId="0">
      <text>
        <r>
          <rPr>
            <b/>
            <sz val="9"/>
            <color indexed="81"/>
            <rFont val="宋体"/>
            <family val="3"/>
            <charset val="134"/>
          </rPr>
          <t>刘阳:</t>
        </r>
        <r>
          <rPr>
            <sz val="9"/>
            <color indexed="81"/>
            <rFont val="宋体"/>
            <family val="3"/>
            <charset val="134"/>
          </rPr>
          <t xml:space="preserve">
把当前的skillID替换成哪个ID（一定是租技能）</t>
        </r>
      </text>
    </comment>
    <comment ref="DS5" authorId="0" shapeId="0">
      <text>
        <r>
          <rPr>
            <b/>
            <sz val="9"/>
            <color indexed="81"/>
            <rFont val="宋体"/>
            <family val="3"/>
            <charset val="134"/>
          </rPr>
          <t>刘阳: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  <comment ref="EA5" authorId="0" shapeId="0">
      <text>
        <r>
          <rPr>
            <b/>
            <sz val="9"/>
            <color indexed="81"/>
            <rFont val="宋体"/>
            <family val="3"/>
            <charset val="134"/>
          </rPr>
          <t>刘阳:</t>
        </r>
        <r>
          <rPr>
            <sz val="9"/>
            <color indexed="81"/>
            <rFont val="宋体"/>
            <family val="3"/>
            <charset val="134"/>
          </rPr>
          <t xml:space="preserve">
怪物技能无此列数据</t>
        </r>
      </text>
    </comment>
    <comment ref="W6" authorId="1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***触发类型为其它效果时***
1=伤害
2=治疗
4=DOT
8=HOT
16=命中
32=暴击
64=击杀
128=未命中
256=免疫
512=增益状态
1024=减益效果
2048=驱散增益
4096=驱散减益
8192=濒死
16384=吸收
32768=回血
65536=回蓝
131072=回怒
</t>
        </r>
      </text>
    </comment>
    <comment ref="E8" authorId="0" shapeId="0">
      <text>
        <r>
          <rPr>
            <b/>
            <sz val="9"/>
            <color indexed="81"/>
            <rFont val="宋体"/>
            <family val="3"/>
            <charset val="134"/>
          </rPr>
          <t>刘阳:</t>
        </r>
        <r>
          <rPr>
            <sz val="9"/>
            <color indexed="81"/>
            <rFont val="宋体"/>
            <family val="3"/>
            <charset val="134"/>
          </rPr>
          <t xml:space="preserve">
怪物从50000开始
PVE英雄技能从5001开始，每个英雄100技能
PVP英雄技能从15001开始，每个英雄100个技能</t>
        </r>
      </text>
    </comment>
  </commentList>
</comments>
</file>

<file path=xl/comments2.xml><?xml version="1.0" encoding="utf-8"?>
<comments xmlns="http://schemas.openxmlformats.org/spreadsheetml/2006/main">
  <authors>
    <author>刘阳</author>
  </authors>
  <commentList>
    <comment ref="L5" authorId="0" shapeId="0">
      <text>
        <r>
          <rPr>
            <b/>
            <sz val="9"/>
            <color indexed="81"/>
            <rFont val="宋体"/>
            <family val="3"/>
            <charset val="134"/>
          </rPr>
          <t>刘阳:</t>
        </r>
        <r>
          <rPr>
            <sz val="9"/>
            <color indexed="81"/>
            <rFont val="宋体"/>
            <family val="3"/>
            <charset val="134"/>
          </rPr>
          <t xml:space="preserve">
立即参与计算属性集一般不用（少数用于判断即死等）
参与计算战斗属性集一般不用）少数用于流血等）</t>
        </r>
      </text>
    </comment>
  </commentList>
</comments>
</file>

<file path=xl/sharedStrings.xml><?xml version="1.0" encoding="utf-8"?>
<sst xmlns="http://schemas.openxmlformats.org/spreadsheetml/2006/main" count="5535" uniqueCount="1206">
  <si>
    <t>MSV_TarCheck</t>
  </si>
  <si>
    <t>MSV_BaseSkillID</t>
  </si>
  <si>
    <t>MSV_TriggerDataID</t>
  </si>
  <si>
    <t>MSV_TriggerValue</t>
  </si>
  <si>
    <t>MSV_TriggerProbability</t>
  </si>
  <si>
    <t>MSV_Range</t>
  </si>
  <si>
    <t>MSV_LockTime</t>
  </si>
  <si>
    <t>MSV_LastTime</t>
  </si>
  <si>
    <t>MSV_EffectTime</t>
  </si>
  <si>
    <t>MSV_EffectCount</t>
  </si>
  <si>
    <t>MSV_CDGroup</t>
  </si>
  <si>
    <t>MSV_CDTime</t>
  </si>
  <si>
    <t>MSV_CostType1</t>
  </si>
  <si>
    <t>MSV_CostValue1</t>
  </si>
  <si>
    <t>MSV_CostType2</t>
  </si>
  <si>
    <t>MSV_CostValue2</t>
  </si>
  <si>
    <t>MSV_LauncherParam1</t>
  </si>
  <si>
    <t>MSV_LauncherParam2</t>
  </si>
  <si>
    <t>MSV_LauncherParam3</t>
  </si>
  <si>
    <t>MSV_ProjectileLogic</t>
  </si>
  <si>
    <t>MSV_ProjectileTime</t>
  </si>
  <si>
    <t>MSV_ProjectileSpeed</t>
  </si>
  <si>
    <t>MSV_ProjectileEffectTime</t>
  </si>
  <si>
    <t>MSV_ProjectileEffectCount</t>
  </si>
  <si>
    <t>MSV_ProjectileParam1</t>
  </si>
  <si>
    <t>MSV_ProjectileParam2</t>
  </si>
  <si>
    <t>MSV_ProjectileParam3</t>
  </si>
  <si>
    <t>MSV_ProjectileEffectID</t>
  </si>
  <si>
    <t>MSV_ProjectileDieEffectID</t>
  </si>
  <si>
    <t>MSV_AreaLogic</t>
  </si>
  <si>
    <t>MSV_AreaTarCheck</t>
  </si>
  <si>
    <t>MSV_AreaTarCnt</t>
  </si>
  <si>
    <t>MSV_AreaParam1</t>
  </si>
  <si>
    <t>MSV_AreaParam2</t>
  </si>
  <si>
    <t>MSV_AreaParam3</t>
  </si>
  <si>
    <t>MSV_EffectParam1</t>
  </si>
  <si>
    <t>MSV_EffectParam2</t>
  </si>
  <si>
    <t>MSV_EffectParam3</t>
  </si>
  <si>
    <t>MSV_EffectTransform</t>
  </si>
  <si>
    <t>MSV_AnimID</t>
  </si>
  <si>
    <t>int32</t>
  </si>
  <si>
    <t>ValueLogic</t>
  </si>
  <si>
    <t>逻辑参数1</t>
  </si>
  <si>
    <t>逻辑参数2</t>
  </si>
  <si>
    <t>逻辑参数3</t>
  </si>
  <si>
    <t>自身检查</t>
  </si>
  <si>
    <t>目标检查</t>
  </si>
  <si>
    <t>CD组</t>
  </si>
  <si>
    <t>CD时间</t>
  </si>
  <si>
    <t>消耗类型1</t>
  </si>
  <si>
    <t>消耗值1</t>
  </si>
  <si>
    <t>消耗类型2</t>
  </si>
  <si>
    <t>消耗值2</t>
  </si>
  <si>
    <t>技能持续时间</t>
  </si>
  <si>
    <t>效果参数1</t>
  </si>
  <si>
    <t>效果参数2</t>
  </si>
  <si>
    <t>效果参数3</t>
  </si>
  <si>
    <t>效果转换</t>
  </si>
  <si>
    <t>目标类型</t>
  </si>
  <si>
    <t>发射参数1</t>
  </si>
  <si>
    <t>发射参数2</t>
  </si>
  <si>
    <t>发射参数3</t>
  </si>
  <si>
    <t>范围逻辑</t>
  </si>
  <si>
    <t>范围目标数量</t>
  </si>
  <si>
    <t>范围参数1</t>
  </si>
  <si>
    <t>范围参数2</t>
  </si>
  <si>
    <t>范围参数3</t>
  </si>
  <si>
    <t>子弹逻辑</t>
  </si>
  <si>
    <t>子弹持续时间</t>
  </si>
  <si>
    <t>子弹速度</t>
  </si>
  <si>
    <t>子弹效果时间</t>
  </si>
  <si>
    <t>子弹参数1</t>
  </si>
  <si>
    <t>子弹参数2</t>
  </si>
  <si>
    <t>子弹参数3</t>
  </si>
  <si>
    <t>子弹特效ID</t>
  </si>
  <si>
    <t>触发消息</t>
  </si>
  <si>
    <t>触发DataID</t>
  </si>
  <si>
    <t>触发Value</t>
  </si>
  <si>
    <t>触发几率</t>
  </si>
  <si>
    <t>技能动画</t>
  </si>
  <si>
    <t>MBV_BuffCleanUp</t>
  </si>
  <si>
    <t>Buff清除组</t>
  </si>
  <si>
    <t>MBV_BuffCleanUpGroup</t>
  </si>
  <si>
    <t>Buff状态</t>
  </si>
  <si>
    <t>MBV_BuffState</t>
  </si>
  <si>
    <t>角色属性集</t>
  </si>
  <si>
    <t>MBV_AttrValue</t>
  </si>
  <si>
    <t>叠加层数</t>
  </si>
  <si>
    <t>MBV_LayerCnt</t>
  </si>
  <si>
    <t>持续时间</t>
  </si>
  <si>
    <t>Buff技能</t>
  </si>
  <si>
    <t>MBV_BuffSkill</t>
  </si>
  <si>
    <t>Buff技能等级</t>
  </si>
  <si>
    <t>MBV_BuffSkillLv</t>
  </si>
  <si>
    <t>Buff技能参数</t>
  </si>
  <si>
    <t>MBV_BuffSkillUserData</t>
  </si>
  <si>
    <t>Buff逻辑</t>
  </si>
  <si>
    <t>MBV_BuffLogic</t>
  </si>
  <si>
    <t>MBV_BuffLogicParam1</t>
  </si>
  <si>
    <t>Buff逻辑参数2</t>
  </si>
  <si>
    <t>MBV_BuffLogicParam2</t>
  </si>
  <si>
    <t>Buff逻辑参数3</t>
  </si>
  <si>
    <t>MBV_BuffLogicParam3</t>
  </si>
  <si>
    <t>特效ID</t>
  </si>
  <si>
    <t>MBV_EffectID</t>
  </si>
  <si>
    <t>特效材质</t>
  </si>
  <si>
    <t>MBV_EffectSurface</t>
  </si>
  <si>
    <t>生成特效ID</t>
  </si>
  <si>
    <t>MBV_EffectAddID</t>
  </si>
  <si>
    <t>生成特效持续时间</t>
  </si>
  <si>
    <t>MBV_EffectAddTime</t>
  </si>
  <si>
    <t>消失特效ID</t>
  </si>
  <si>
    <t>MBV_EffectRemoveID</t>
  </si>
  <si>
    <t>MBV_EffectRemoveTime</t>
  </si>
  <si>
    <t>Name字典</t>
  </si>
  <si>
    <t>Tips字典</t>
  </si>
  <si>
    <t>描述</t>
    <phoneticPr fontId="1" type="noConversion"/>
  </si>
  <si>
    <t>属性名称</t>
    <phoneticPr fontId="1" type="noConversion"/>
  </si>
  <si>
    <t>属性类型</t>
    <phoneticPr fontId="1" type="noConversion"/>
  </si>
  <si>
    <t>分类(技能/Buff)</t>
    <phoneticPr fontId="1" type="noConversion"/>
  </si>
  <si>
    <t>修正逻辑</t>
    <phoneticPr fontId="1" type="noConversion"/>
  </si>
  <si>
    <t>SkillID</t>
    <phoneticPr fontId="1" type="noConversion"/>
  </si>
  <si>
    <t>Des</t>
    <phoneticPr fontId="1" type="noConversion"/>
  </si>
  <si>
    <t>int32</t>
    <phoneticPr fontId="1" type="noConversion"/>
  </si>
  <si>
    <t>char</t>
    <phoneticPr fontId="1" type="noConversion"/>
  </si>
  <si>
    <t>BuffID</t>
    <phoneticPr fontId="1" type="noConversion"/>
  </si>
  <si>
    <t>int32</t>
    <phoneticPr fontId="1" type="noConversion"/>
  </si>
  <si>
    <t>消失特效持续时间</t>
    <phoneticPr fontId="1" type="noConversion"/>
  </si>
  <si>
    <t>ID</t>
    <phoneticPr fontId="1" type="noConversion"/>
  </si>
  <si>
    <t>技能ID</t>
    <phoneticPr fontId="1" type="noConversion"/>
  </si>
  <si>
    <t>唯一ID</t>
    <phoneticPr fontId="1" type="noConversion"/>
  </si>
  <si>
    <t>ValueName</t>
    <phoneticPr fontId="1" type="noConversion"/>
  </si>
  <si>
    <t>ValueClass</t>
    <phoneticPr fontId="1" type="noConversion"/>
  </si>
  <si>
    <t>ValueType</t>
    <phoneticPr fontId="1" type="noConversion"/>
  </si>
  <si>
    <t>技能类型</t>
    <phoneticPr fontId="1" type="noConversion"/>
  </si>
  <si>
    <t>技能属性</t>
    <phoneticPr fontId="1" type="noConversion"/>
  </si>
  <si>
    <t>MSV_SkillType</t>
    <phoneticPr fontId="1" type="noConversion"/>
  </si>
  <si>
    <t>MSV_SkillAttr</t>
    <phoneticPr fontId="1" type="noConversion"/>
  </si>
  <si>
    <t>Buff类型</t>
    <phoneticPr fontId="1" type="noConversion"/>
  </si>
  <si>
    <t>Buff移除</t>
    <phoneticPr fontId="1" type="noConversion"/>
  </si>
  <si>
    <t>Buff免疫</t>
    <phoneticPr fontId="1" type="noConversion"/>
  </si>
  <si>
    <t>Buff清除</t>
    <phoneticPr fontId="1" type="noConversion"/>
  </si>
  <si>
    <t>*</t>
  </si>
  <si>
    <t>*</t>
    <phoneticPr fontId="1" type="noConversion"/>
  </si>
  <si>
    <t>*</t>
    <phoneticPr fontId="1" type="noConversion"/>
  </si>
  <si>
    <t>Tips字典ID</t>
    <phoneticPr fontId="1" type="noConversion"/>
  </si>
  <si>
    <t>MBV_Tips</t>
    <phoneticPr fontId="1" type="noConversion"/>
  </si>
  <si>
    <t>MBV_NameID</t>
    <phoneticPr fontId="1" type="noConversion"/>
  </si>
  <si>
    <t>Name字典ID</t>
    <phoneticPr fontId="1" type="noConversion"/>
  </si>
  <si>
    <t>MBV_Name</t>
    <phoneticPr fontId="1" type="noConversion"/>
  </si>
  <si>
    <t>*</t>
    <phoneticPr fontId="1" type="noConversion"/>
  </si>
  <si>
    <t>服务器</t>
    <phoneticPr fontId="1" type="noConversion"/>
  </si>
  <si>
    <t>客户端</t>
    <phoneticPr fontId="1" type="noConversion"/>
  </si>
  <si>
    <t>名称字典</t>
    <phoneticPr fontId="1" type="noConversion"/>
  </si>
  <si>
    <t>说明字典</t>
    <phoneticPr fontId="1" type="noConversion"/>
  </si>
  <si>
    <t>SkillNameID</t>
    <phoneticPr fontId="1" type="noConversion"/>
  </si>
  <si>
    <t>技能名ID</t>
    <phoneticPr fontId="1" type="noConversion"/>
  </si>
  <si>
    <t>MBV_TipsID</t>
    <phoneticPr fontId="1" type="noConversion"/>
  </si>
  <si>
    <t>服务器</t>
  </si>
  <si>
    <t>客户端</t>
  </si>
  <si>
    <t>技能名字典</t>
  </si>
  <si>
    <t>ID段为1-49999</t>
    <phoneticPr fontId="1" type="noConversion"/>
  </si>
  <si>
    <t>MSV_SpellLogic</t>
    <phoneticPr fontId="1" type="noConversion"/>
  </si>
  <si>
    <t>技能逻辑</t>
    <phoneticPr fontId="1" type="noConversion"/>
  </si>
  <si>
    <t>MSV_SpellParam1</t>
    <phoneticPr fontId="1" type="noConversion"/>
  </si>
  <si>
    <t>MSV_SpellParam2</t>
    <phoneticPr fontId="1" type="noConversion"/>
  </si>
  <si>
    <t>MSV_SpellParam3</t>
    <phoneticPr fontId="1" type="noConversion"/>
  </si>
  <si>
    <t>MSV_BeatBackType</t>
  </si>
  <si>
    <t>MSV_BeatBackDir</t>
  </si>
  <si>
    <t>MSV_BeatBackOffsetDis</t>
  </si>
  <si>
    <t>MSV_BeatBackFixedDis</t>
  </si>
  <si>
    <t>MSV_BeatBackMoveTime</t>
  </si>
  <si>
    <t>MSV_BeatBackLifeTime</t>
  </si>
  <si>
    <t>MSV_EffectBeatBack</t>
    <phoneticPr fontId="1" type="noConversion"/>
  </si>
  <si>
    <t>击退效果</t>
    <phoneticPr fontId="1" type="noConversion"/>
  </si>
  <si>
    <t>击退类型</t>
    <phoneticPr fontId="1" type="noConversion"/>
  </si>
  <si>
    <t>击退方向</t>
    <phoneticPr fontId="1" type="noConversion"/>
  </si>
  <si>
    <t>移动距离</t>
    <phoneticPr fontId="1" type="noConversion"/>
  </si>
  <si>
    <t>保险距离</t>
    <phoneticPr fontId="1" type="noConversion"/>
  </si>
  <si>
    <t>位移时间</t>
    <phoneticPr fontId="1" type="noConversion"/>
  </si>
  <si>
    <t>击退时间</t>
    <phoneticPr fontId="1" type="noConversion"/>
  </si>
  <si>
    <t>MSV_SrcCheck</t>
    <phoneticPr fontId="1" type="noConversion"/>
  </si>
  <si>
    <t>MSV_BeaBackSrcCond</t>
    <phoneticPr fontId="1" type="noConversion"/>
  </si>
  <si>
    <t>MSV_BeatBackTarCond</t>
    <phoneticPr fontId="1" type="noConversion"/>
  </si>
  <si>
    <t>值</t>
    <phoneticPr fontId="1" type="noConversion"/>
  </si>
  <si>
    <t>技能类型选项</t>
    <phoneticPr fontId="1" type="noConversion"/>
  </si>
  <si>
    <t>2=主动技能</t>
  </si>
  <si>
    <t>16=BUFF技能</t>
  </si>
  <si>
    <t>技能属性</t>
    <phoneticPr fontId="1" type="noConversion"/>
  </si>
  <si>
    <t>1=效果阶段产生消耗</t>
  </si>
  <si>
    <t>2=范围效果使用目标坐标</t>
  </si>
  <si>
    <t>4=范围效果包含自身</t>
  </si>
  <si>
    <t>8=范围效果填充排除列表</t>
  </si>
  <si>
    <t>16=触发共CD</t>
  </si>
  <si>
    <t>32=触发后移附BUFF</t>
  </si>
  <si>
    <t>128=触发后产生触发事件</t>
  </si>
  <si>
    <t>256=产生技能施放事件</t>
  </si>
  <si>
    <t>512=子弹产生周期效果</t>
  </si>
  <si>
    <t>1024=子弹产生命中效果</t>
  </si>
  <si>
    <t>2048=子弹命中不移除</t>
  </si>
  <si>
    <t>4096=子弹产生事件</t>
  </si>
  <si>
    <t>8192=子弹出生在目标点</t>
  </si>
  <si>
    <t>f32</t>
  </si>
  <si>
    <t>char</t>
  </si>
  <si>
    <t>1=计算命中</t>
  </si>
  <si>
    <t>效果结算</t>
    <phoneticPr fontId="1" type="noConversion"/>
  </si>
  <si>
    <t>效果结算</t>
    <phoneticPr fontId="1" type="noConversion"/>
  </si>
  <si>
    <t>MSV_EffectCalculation</t>
    <phoneticPr fontId="1" type="noConversion"/>
  </si>
  <si>
    <t>目标类型</t>
    <phoneticPr fontId="1" type="noConversion"/>
  </si>
  <si>
    <t>MSV_TarType</t>
    <phoneticPr fontId="1" type="noConversion"/>
  </si>
  <si>
    <t>1=对自已使用</t>
  </si>
  <si>
    <t>发射逻辑</t>
    <phoneticPr fontId="1" type="noConversion"/>
  </si>
  <si>
    <t>MSV_LauncherLogic</t>
    <phoneticPr fontId="1" type="noConversion"/>
  </si>
  <si>
    <t>1=不检查ID</t>
  </si>
  <si>
    <t>2=检查ID==</t>
  </si>
  <si>
    <t>1024=不检查消息类型</t>
  </si>
  <si>
    <t>2048=检查消息类型==</t>
  </si>
  <si>
    <t>4096=检查消息类型&amp;</t>
  </si>
  <si>
    <t>8192=检查消息类型｜</t>
  </si>
  <si>
    <t>1048576=不检查消息参数</t>
  </si>
  <si>
    <t>2097152=检查消息参数&gt;</t>
  </si>
  <si>
    <t>4194304=检查消息参数&gt;=</t>
  </si>
  <si>
    <t>8388608=检查消息参数&lt;</t>
  </si>
  <si>
    <t>16777216=检查消息参数&lt;=</t>
  </si>
  <si>
    <t>33554432=检查消息参数==</t>
  </si>
  <si>
    <t>67108864=检查消息参数!==</t>
  </si>
  <si>
    <t>134217728=检查消息参数&amp;</t>
  </si>
  <si>
    <t>268435456=检查消息参数|</t>
  </si>
  <si>
    <t>触发检查</t>
    <phoneticPr fontId="1" type="noConversion"/>
  </si>
  <si>
    <t>触发类型</t>
    <phoneticPr fontId="1" type="noConversion"/>
  </si>
  <si>
    <t>MSV_TriggerType</t>
    <phoneticPr fontId="1" type="noConversion"/>
  </si>
  <si>
    <t>触发检查</t>
    <phoneticPr fontId="1" type="noConversion"/>
  </si>
  <si>
    <t>MSV_TriggerCheck</t>
    <phoneticPr fontId="1" type="noConversion"/>
  </si>
  <si>
    <t>MSV_TriggerNotify</t>
    <phoneticPr fontId="1" type="noConversion"/>
  </si>
  <si>
    <t>子弹飞行1特效ID</t>
    <phoneticPr fontId="1" type="noConversion"/>
  </si>
  <si>
    <t>子弹飞行2特效ID</t>
    <phoneticPr fontId="1" type="noConversion"/>
  </si>
  <si>
    <t>MSV_ProjectileFly1EffectID</t>
    <phoneticPr fontId="1" type="noConversion"/>
  </si>
  <si>
    <t>MSV_ProjectileFly2EffectID</t>
    <phoneticPr fontId="1" type="noConversion"/>
  </si>
  <si>
    <t>击退自身条件</t>
  </si>
  <si>
    <t>击退目标条件</t>
  </si>
  <si>
    <t>MSV_SkillMoveDir</t>
  </si>
  <si>
    <t>技能位移距离</t>
    <phoneticPr fontId="1" type="noConversion"/>
  </si>
  <si>
    <t>技能位移方向</t>
    <phoneticPr fontId="1" type="noConversion"/>
  </si>
  <si>
    <t>1号普攻1</t>
  </si>
  <si>
    <t>1号普攻2</t>
  </si>
  <si>
    <t>1号普攻3</t>
  </si>
  <si>
    <t>1号技能1冲刺</t>
  </si>
  <si>
    <t>1号技能1嘲讽</t>
  </si>
  <si>
    <t>1号技能3增益</t>
  </si>
  <si>
    <t>1号技能3蓄力</t>
  </si>
  <si>
    <t>2号被动静止加攻击</t>
  </si>
  <si>
    <t>2号普攻</t>
  </si>
  <si>
    <t>2号被动移动加防御</t>
  </si>
  <si>
    <t>2号技能1</t>
  </si>
  <si>
    <t>MBV_BuffType</t>
  </si>
  <si>
    <t>MBV_BuffAttr</t>
  </si>
  <si>
    <t>MBV_BuffRemove</t>
  </si>
  <si>
    <t>MBV_BuffInummue</t>
  </si>
  <si>
    <t>1号技能3增益蓄力1</t>
  </si>
  <si>
    <t>1号技能3增益蓄力2</t>
  </si>
  <si>
    <t>1号技能3增益蓄力3</t>
  </si>
  <si>
    <t>2号被动加攻</t>
  </si>
  <si>
    <t>2号被动加防</t>
  </si>
  <si>
    <t>2号技能2触发</t>
  </si>
  <si>
    <t>3号技能1</t>
  </si>
  <si>
    <t>3号技能1伤害</t>
  </si>
  <si>
    <t>3号技能1治疗</t>
  </si>
  <si>
    <t>3号技能1持续治疗</t>
  </si>
  <si>
    <t>3号技能2单体治疗</t>
  </si>
  <si>
    <t>怪物闪避</t>
    <phoneticPr fontId="1" type="noConversion"/>
  </si>
  <si>
    <t>MBV_IconID</t>
    <phoneticPr fontId="1" type="noConversion"/>
  </si>
  <si>
    <t>BUFF属性</t>
    <phoneticPr fontId="1" type="noConversion"/>
  </si>
  <si>
    <t>BUFF状态</t>
    <phoneticPr fontId="1" type="noConversion"/>
  </si>
  <si>
    <t>BUFF类型</t>
    <phoneticPr fontId="1" type="noConversion"/>
  </si>
  <si>
    <t>BUFF移除</t>
    <phoneticPr fontId="1" type="noConversion"/>
  </si>
  <si>
    <t>1=系统Buff</t>
    <phoneticPr fontId="1" type="noConversion"/>
  </si>
  <si>
    <t>2=模版Buff</t>
    <phoneticPr fontId="1" type="noConversion"/>
  </si>
  <si>
    <t>4=公共Buff（不区分施放者）</t>
    <phoneticPr fontId="1" type="noConversion"/>
  </si>
  <si>
    <t>8=增益Buff</t>
    <phoneticPr fontId="1" type="noConversion"/>
  </si>
  <si>
    <t>16=减益Buff</t>
    <phoneticPr fontId="1" type="noConversion"/>
  </si>
  <si>
    <t>32=技能附加Buff</t>
    <phoneticPr fontId="1" type="noConversion"/>
  </si>
  <si>
    <t>64=光环Buff</t>
    <phoneticPr fontId="1" type="noConversion"/>
  </si>
  <si>
    <t>1=同步客户端</t>
    <phoneticPr fontId="1" type="noConversion"/>
  </si>
  <si>
    <t>2=可替换</t>
    <phoneticPr fontId="1" type="noConversion"/>
  </si>
  <si>
    <t>4=可叠加</t>
    <phoneticPr fontId="1" type="noConversion"/>
  </si>
  <si>
    <t>8=叠加增加持续时间</t>
    <phoneticPr fontId="1" type="noConversion"/>
  </si>
  <si>
    <t>16=叠加重置持续时间</t>
    <phoneticPr fontId="1" type="noConversion"/>
  </si>
  <si>
    <t>32=叠加使用持续时间, 到时移除一层</t>
    <phoneticPr fontId="1" type="noConversion"/>
  </si>
  <si>
    <t>64=叠加属性集当前层</t>
    <phoneticPr fontId="1" type="noConversion"/>
  </si>
  <si>
    <t>128=叠加属性集所有层</t>
    <phoneticPr fontId="1" type="noConversion"/>
  </si>
  <si>
    <t>512=TICK下线计时</t>
    <phoneticPr fontId="1" type="noConversion"/>
  </si>
  <si>
    <t>1024=可取消</t>
    <phoneticPr fontId="1" type="noConversion"/>
  </si>
  <si>
    <t>2048=可驱散</t>
    <phoneticPr fontId="1" type="noConversion"/>
  </si>
  <si>
    <t>4096=参与计算属性集</t>
    <phoneticPr fontId="1" type="noConversion"/>
  </si>
  <si>
    <t>8192=立即计算属性集</t>
    <phoneticPr fontId="1" type="noConversion"/>
  </si>
  <si>
    <t>16384=产生添加消息</t>
    <phoneticPr fontId="1" type="noConversion"/>
  </si>
  <si>
    <t>32768=产生结束消息</t>
    <phoneticPr fontId="1" type="noConversion"/>
  </si>
  <si>
    <t>65536=产生驱散消息</t>
    <phoneticPr fontId="1" type="noConversion"/>
  </si>
  <si>
    <t>131072=产生叠加消息</t>
    <phoneticPr fontId="1" type="noConversion"/>
  </si>
  <si>
    <t>1=下线则移除</t>
    <phoneticPr fontId="1" type="noConversion"/>
  </si>
  <si>
    <t>4=死亡则移除</t>
    <phoneticPr fontId="1" type="noConversion"/>
  </si>
  <si>
    <t>8=攻击则移除</t>
    <phoneticPr fontId="1" type="noConversion"/>
  </si>
  <si>
    <t>16=受击则移除</t>
    <phoneticPr fontId="1" type="noConversion"/>
  </si>
  <si>
    <t>32=施法则移除</t>
    <phoneticPr fontId="1" type="noConversion"/>
  </si>
  <si>
    <t>64=进战则移除</t>
    <phoneticPr fontId="1" type="noConversion"/>
  </si>
  <si>
    <t>128=脱战则移除</t>
    <phoneticPr fontId="1" type="noConversion"/>
  </si>
  <si>
    <t>524288=脚本调用添加Buff</t>
    <phoneticPr fontId="1" type="noConversion"/>
  </si>
  <si>
    <t>1048576=脚本调用叠加Buff</t>
    <phoneticPr fontId="1" type="noConversion"/>
  </si>
  <si>
    <t>2097152=脚本调用驱散Buff</t>
    <phoneticPr fontId="1" type="noConversion"/>
  </si>
  <si>
    <t>4194304=脚本调用移除Buff</t>
    <phoneticPr fontId="1" type="noConversion"/>
  </si>
  <si>
    <t>1号怪物普攻</t>
    <phoneticPr fontId="1" type="noConversion"/>
  </si>
  <si>
    <t>2号怪物普攻</t>
  </si>
  <si>
    <t>2号怪物普攻</t>
    <phoneticPr fontId="1" type="noConversion"/>
  </si>
  <si>
    <t>3号怪物普攻</t>
  </si>
  <si>
    <t>3号怪物普攻</t>
    <phoneticPr fontId="1" type="noConversion"/>
  </si>
  <si>
    <t>3号技能3</t>
  </si>
  <si>
    <t>3号技能2群体治疗buff</t>
    <phoneticPr fontId="1" type="noConversion"/>
  </si>
  <si>
    <t>3号技能3自身强化buff</t>
    <phoneticPr fontId="1" type="noConversion"/>
  </si>
  <si>
    <t>1=伤害</t>
    <phoneticPr fontId="1" type="noConversion"/>
  </si>
  <si>
    <t>2=治疗</t>
    <phoneticPr fontId="1" type="noConversion"/>
  </si>
  <si>
    <t>4=dot</t>
    <phoneticPr fontId="1" type="noConversion"/>
  </si>
  <si>
    <t>8=hot</t>
    <phoneticPr fontId="1" type="noConversion"/>
  </si>
  <si>
    <t>16=命中</t>
    <phoneticPr fontId="1" type="noConversion"/>
  </si>
  <si>
    <t>效果类型</t>
    <phoneticPr fontId="1" type="noConversion"/>
  </si>
  <si>
    <t>1号技能怪物1冲刺</t>
    <phoneticPr fontId="1" type="noConversion"/>
  </si>
  <si>
    <t>3号被动加暴击</t>
  </si>
  <si>
    <t>3号普攻</t>
  </si>
  <si>
    <t>3号技能2群体治疗生效</t>
  </si>
  <si>
    <t>MSV_EffectType</t>
    <phoneticPr fontId="1" type="noConversion"/>
  </si>
  <si>
    <t>2=计算攻击</t>
    <phoneticPr fontId="1" type="noConversion"/>
  </si>
  <si>
    <t>4=计算护甲</t>
    <phoneticPr fontId="1" type="noConversion"/>
  </si>
  <si>
    <t>8=计算暴击</t>
    <phoneticPr fontId="1" type="noConversion"/>
  </si>
  <si>
    <t>16=计算伤增/伤减</t>
    <phoneticPr fontId="1" type="noConversion"/>
  </si>
  <si>
    <t>32=暴击</t>
    <phoneticPr fontId="1" type="noConversion"/>
  </si>
  <si>
    <t>最大效果次数</t>
    <phoneticPr fontId="1" type="noConversion"/>
  </si>
  <si>
    <t>子弹命中目标数量</t>
    <phoneticPr fontId="1" type="noConversion"/>
  </si>
  <si>
    <t>64=击杀</t>
    <phoneticPr fontId="1" type="noConversion"/>
  </si>
  <si>
    <t>256=免疫</t>
    <phoneticPr fontId="1" type="noConversion"/>
  </si>
  <si>
    <t>512=增益状态</t>
    <phoneticPr fontId="1" type="noConversion"/>
  </si>
  <si>
    <t>1024=减益效果</t>
    <phoneticPr fontId="1" type="noConversion"/>
  </si>
  <si>
    <t>2048=驱散增益</t>
    <phoneticPr fontId="1" type="noConversion"/>
  </si>
  <si>
    <t>4096=驱散减益</t>
    <phoneticPr fontId="1" type="noConversion"/>
  </si>
  <si>
    <t>8192=濒死</t>
    <phoneticPr fontId="1" type="noConversion"/>
  </si>
  <si>
    <t>16384=吸收</t>
    <phoneticPr fontId="1" type="noConversion"/>
  </si>
  <si>
    <t>32768=回血</t>
    <phoneticPr fontId="1" type="noConversion"/>
  </si>
  <si>
    <t>65536=回蓝</t>
    <phoneticPr fontId="1" type="noConversion"/>
  </si>
  <si>
    <t>32=计算附加/吸收</t>
    <phoneticPr fontId="1" type="noConversion"/>
  </si>
  <si>
    <t>64=计算治疗/承受治疗</t>
    <phoneticPr fontId="1" type="noConversion"/>
  </si>
  <si>
    <t>128=计算特殊效果</t>
    <phoneticPr fontId="1" type="noConversion"/>
  </si>
  <si>
    <t>104号被动按时获得能量</t>
    <phoneticPr fontId="1" type="noConversion"/>
  </si>
  <si>
    <t>104号1技能瞬移到飞刀位置</t>
    <phoneticPr fontId="1" type="noConversion"/>
  </si>
  <si>
    <t>104号普攻1段</t>
    <phoneticPr fontId="1" type="noConversion"/>
  </si>
  <si>
    <t>104号普攻2段</t>
  </si>
  <si>
    <t>104号普攻3段</t>
  </si>
  <si>
    <t>武器ID</t>
    <phoneticPr fontId="1" type="noConversion"/>
  </si>
  <si>
    <t>MSV_WeaponID</t>
    <phoneticPr fontId="1" type="noConversion"/>
  </si>
  <si>
    <t>技能打断时间</t>
    <phoneticPr fontId="1" type="noConversion"/>
  </si>
  <si>
    <t>翻滚打断时间</t>
    <phoneticPr fontId="1" type="noConversion"/>
  </si>
  <si>
    <t>MSV_DodgeTime</t>
    <phoneticPr fontId="1" type="noConversion"/>
  </si>
  <si>
    <t>104号技能1技能扔朝向飞刀</t>
    <phoneticPr fontId="1" type="noConversion"/>
  </si>
  <si>
    <t>104号2技能扔指定目标飞刀</t>
    <phoneticPr fontId="1" type="noConversion"/>
  </si>
  <si>
    <t>32=服务器技能</t>
    <phoneticPr fontId="1" type="noConversion"/>
  </si>
  <si>
    <t>1=模板技能</t>
    <phoneticPr fontId="1" type="noConversion"/>
  </si>
  <si>
    <t>CD和消耗</t>
    <phoneticPr fontId="1" type="noConversion"/>
  </si>
  <si>
    <t>触发选项</t>
    <phoneticPr fontId="1" type="noConversion"/>
  </si>
  <si>
    <t>自身和目标检查组</t>
    <phoneticPr fontId="1" type="noConversion"/>
  </si>
  <si>
    <t>DesDictID</t>
  </si>
  <si>
    <t>CLT_AimAssistRule</t>
  </si>
  <si>
    <t>CLT_GroupID</t>
  </si>
  <si>
    <t>CLT_GroupOrder</t>
  </si>
  <si>
    <t>CLT_DispatchEvent</t>
  </si>
  <si>
    <t>CLT_HandleEvent</t>
  </si>
  <si>
    <t>CLT_ReplaceRootSkillID</t>
  </si>
  <si>
    <t>CLT_TimeOut</t>
  </si>
  <si>
    <t>辅助瞄准筛选规则</t>
    <phoneticPr fontId="1" type="noConversion"/>
  </si>
  <si>
    <t>同组内顺序</t>
    <phoneticPr fontId="1" type="noConversion"/>
  </si>
  <si>
    <t>发送事件</t>
    <phoneticPr fontId="1" type="noConversion"/>
  </si>
  <si>
    <t>响应事件</t>
    <phoneticPr fontId="1" type="noConversion"/>
  </si>
  <si>
    <t>响应技能</t>
    <phoneticPr fontId="1" type="noConversion"/>
  </si>
  <si>
    <t>更换技能</t>
    <phoneticPr fontId="1" type="noConversion"/>
  </si>
  <si>
    <t>超时时间</t>
    <phoneticPr fontId="1" type="noConversion"/>
  </si>
  <si>
    <t>1号被动提高抗暴</t>
    <phoneticPr fontId="1" type="noConversion"/>
  </si>
  <si>
    <t>1号普攻2</t>
    <phoneticPr fontId="1" type="noConversion"/>
  </si>
  <si>
    <t>1号技能1给自己加buff触发普攻减防</t>
    <phoneticPr fontId="1" type="noConversion"/>
  </si>
  <si>
    <t>1号技能1冲锋，放触发子弹</t>
    <phoneticPr fontId="1" type="noConversion"/>
  </si>
  <si>
    <t>1号技能3增益提高自身攻防移速</t>
    <phoneticPr fontId="1" type="noConversion"/>
  </si>
  <si>
    <t>1号技能3蓄力</t>
    <phoneticPr fontId="1" type="noConversion"/>
  </si>
  <si>
    <t>CLT_AimAssistType</t>
    <phoneticPr fontId="1" type="noConversion"/>
  </si>
  <si>
    <t>int32</t>
    <phoneticPr fontId="1" type="noConversion"/>
  </si>
  <si>
    <t>1号技能1减敌人防御</t>
    <phoneticPr fontId="1" type="noConversion"/>
  </si>
  <si>
    <t>1号技能1上buff减防御</t>
    <phoneticPr fontId="1" type="noConversion"/>
  </si>
  <si>
    <t>所有战斗表现</t>
    <phoneticPr fontId="1" type="noConversion"/>
  </si>
  <si>
    <t>1号技能1buff触发给敌人上减防debuff</t>
    <phoneticPr fontId="1" type="noConversion"/>
  </si>
  <si>
    <t>技能类型，技能属性，父技能，技能组</t>
    <phoneticPr fontId="1" type="noConversion"/>
  </si>
  <si>
    <t>技能分组</t>
    <phoneticPr fontId="1" type="noConversion"/>
  </si>
  <si>
    <t>MSV_SkillGroup</t>
  </si>
  <si>
    <t>技能特效1</t>
    <phoneticPr fontId="1" type="noConversion"/>
  </si>
  <si>
    <t>CLT_EffectID1</t>
    <phoneticPr fontId="1" type="noConversion"/>
  </si>
  <si>
    <t>技能特效2</t>
  </si>
  <si>
    <t>技能特效3</t>
  </si>
  <si>
    <t>技能特效4</t>
  </si>
  <si>
    <t>技能特效5</t>
  </si>
  <si>
    <t>CLT_EffectID2</t>
  </si>
  <si>
    <t>CLT_EffectID3</t>
  </si>
  <si>
    <t>CLT_EffectID4</t>
  </si>
  <si>
    <t>CLT_EffectID5</t>
  </si>
  <si>
    <t>4=检查技能组的开关</t>
    <phoneticPr fontId="1" type="noConversion"/>
  </si>
  <si>
    <t>8=检查ID &amp;技能组（如果触发类型多选了的话就对多选生效）</t>
    <phoneticPr fontId="1" type="noConversion"/>
  </si>
  <si>
    <t>32=检查ID在Buff组</t>
    <phoneticPr fontId="1" type="noConversion"/>
  </si>
  <si>
    <t>2号技能3buff技能给敌人上易伤</t>
    <phoneticPr fontId="1" type="noConversion"/>
  </si>
  <si>
    <t>3号技能2上群体hot</t>
    <phoneticPr fontId="1" type="noConversion"/>
  </si>
  <si>
    <t>2号技能1充能加攻击力buff</t>
    <phoneticPr fontId="1" type="noConversion"/>
  </si>
  <si>
    <t>2号技能3加触发buff</t>
    <phoneticPr fontId="1" type="noConversion"/>
  </si>
  <si>
    <t>2号技能2buff触发给自己加暴击</t>
    <phoneticPr fontId="1" type="noConversion"/>
  </si>
  <si>
    <t>2号技能3buff触发给敌人加易伤</t>
    <phoneticPr fontId="1" type="noConversion"/>
  </si>
  <si>
    <t>效果逻辑</t>
    <phoneticPr fontId="1" type="noConversion"/>
  </si>
  <si>
    <t>MSV_EffectLogic</t>
    <phoneticPr fontId="1" type="noConversion"/>
  </si>
  <si>
    <t>104号2技能瞬移攻击目标1段</t>
    <phoneticPr fontId="1" type="noConversion"/>
  </si>
  <si>
    <t>104号2技能瞬移攻击目标2段</t>
    <phoneticPr fontId="1" type="noConversion"/>
  </si>
  <si>
    <t>104号2技能瞬移攻击目标3段</t>
    <phoneticPr fontId="1" type="noConversion"/>
  </si>
  <si>
    <t>104号2技能瞬移攻击目标4段</t>
    <phoneticPr fontId="1" type="noConversion"/>
  </si>
  <si>
    <t>104号2技能瞬移攻击目标5段</t>
    <phoneticPr fontId="1" type="noConversion"/>
  </si>
  <si>
    <t>104号3技能给自己回豆</t>
    <phoneticPr fontId="1" type="noConversion"/>
  </si>
  <si>
    <t>104号2技能飞刀命中触发</t>
    <phoneticPr fontId="1" type="noConversion"/>
  </si>
  <si>
    <t>2号技能2效果给自己加暴击</t>
    <phoneticPr fontId="1" type="noConversion"/>
  </si>
  <si>
    <t>2号技能3触发</t>
    <phoneticPr fontId="1" type="noConversion"/>
  </si>
  <si>
    <t>102号被动非技能状态20%减伤</t>
  </si>
  <si>
    <t>102号普攻1</t>
  </si>
  <si>
    <t>102号普攻2</t>
  </si>
  <si>
    <t>102号1技能冲刺</t>
  </si>
  <si>
    <t>102号1技能晕眩</t>
  </si>
  <si>
    <t>102号2技能上减速</t>
  </si>
  <si>
    <t>102号3技能建墙</t>
  </si>
  <si>
    <t>103号普攻</t>
  </si>
  <si>
    <t>103号1技能回血</t>
  </si>
  <si>
    <t>103号英雄2技能制造机器人</t>
  </si>
  <si>
    <t>103号英雄3技能引爆机器人</t>
  </si>
  <si>
    <t>103号英雄3技能引爆产生击退</t>
  </si>
  <si>
    <t>101号普攻被动减速</t>
  </si>
  <si>
    <t>101号3技能增益</t>
  </si>
  <si>
    <t>102号1技能晕眩buff</t>
  </si>
  <si>
    <t>102号2技能减速buff</t>
  </si>
  <si>
    <t>103号技能护盾</t>
  </si>
  <si>
    <t>16=检查ID |技能组（有1个生效就算）如果检查技能组触发，则不选2（一般技能组为20）</t>
    <phoneticPr fontId="1" type="noConversion"/>
  </si>
  <si>
    <t>104号3技能下3次技能增伤20%</t>
    <phoneticPr fontId="1" type="noConversion"/>
  </si>
  <si>
    <t>256=切卡则移除</t>
    <phoneticPr fontId="1" type="noConversion"/>
  </si>
  <si>
    <t>MSV_AreaFilter</t>
  </si>
  <si>
    <t>int32</t>
    <phoneticPr fontId="1" type="noConversion"/>
  </si>
  <si>
    <t>技能范围</t>
    <phoneticPr fontId="1" type="noConversion"/>
  </si>
  <si>
    <t>连招组ID</t>
    <phoneticPr fontId="1" type="noConversion"/>
  </si>
  <si>
    <t>MSV_CombatPerformanceID</t>
    <phoneticPr fontId="1" type="noConversion"/>
  </si>
  <si>
    <t>iconpath</t>
  </si>
  <si>
    <t>技能icon</t>
    <phoneticPr fontId="1" type="noConversion"/>
  </si>
  <si>
    <t>16384=施法合并事件</t>
    <phoneticPr fontId="1" type="noConversion"/>
  </si>
  <si>
    <t>32768=效果合并事件</t>
    <phoneticPr fontId="1" type="noConversion"/>
  </si>
  <si>
    <t>103号被动检查致死</t>
  </si>
  <si>
    <t>103号被动干掉机器人</t>
  </si>
  <si>
    <t>103-机器人-治疗光环</t>
  </si>
  <si>
    <t>103-机器人-攻击</t>
  </si>
  <si>
    <t>104号3技能给自己加3层buff</t>
    <phoneticPr fontId="1" type="noConversion"/>
  </si>
  <si>
    <t>104号3技能增伤buff技能</t>
    <phoneticPr fontId="1" type="noConversion"/>
  </si>
  <si>
    <t>104号3技能BUFF触发减1层并且加增伤buff</t>
    <phoneticPr fontId="1" type="noConversion"/>
  </si>
  <si>
    <t>104号3技能的增伤buff</t>
    <phoneticPr fontId="1" type="noConversion"/>
  </si>
  <si>
    <t>（暂时不用）1</t>
    <phoneticPr fontId="1" type="noConversion"/>
  </si>
  <si>
    <t>（暂时不用）2</t>
  </si>
  <si>
    <t>（暂时不用）3</t>
  </si>
  <si>
    <t>（暂时不用）4</t>
  </si>
  <si>
    <t>（暂时不用）5</t>
    <phoneticPr fontId="1" type="noConversion"/>
  </si>
  <si>
    <t>（暂时不用）6</t>
  </si>
  <si>
    <t>（暂时不用）7</t>
  </si>
  <si>
    <t>（暂时不用）8</t>
  </si>
  <si>
    <t>（暂时不用）9</t>
  </si>
  <si>
    <t>（暂时不用）10</t>
  </si>
  <si>
    <t>skill_001</t>
  </si>
  <si>
    <t>skill_001</t>
    <phoneticPr fontId="1" type="noConversion"/>
  </si>
  <si>
    <t>128=打断</t>
    <phoneticPr fontId="1" type="noConversion"/>
  </si>
  <si>
    <t>262144=打断技能</t>
    <phoneticPr fontId="1" type="noConversion"/>
  </si>
  <si>
    <t>524288=可被打断</t>
    <phoneticPr fontId="1" type="noConversion"/>
  </si>
  <si>
    <t>131072=使用时人会被敌人阻挡</t>
    <phoneticPr fontId="1" type="noConversion"/>
  </si>
  <si>
    <t>给自己打个巨额伤害</t>
  </si>
  <si>
    <t>103号被动保护自身buff</t>
  </si>
  <si>
    <t>103号检查机器人buff</t>
  </si>
  <si>
    <t>102号2技能附带伤害</t>
  </si>
  <si>
    <t>262144=叠加自定义数据</t>
    <phoneticPr fontId="1" type="noConversion"/>
  </si>
  <si>
    <t>（暂）给自己回10点血</t>
    <phoneticPr fontId="1" type="noConversion"/>
  </si>
  <si>
    <t>CLT_AimAssistSub</t>
    <phoneticPr fontId="1" type="noConversion"/>
  </si>
  <si>
    <t>MSV_EndureLevel</t>
    <phoneticPr fontId="1" type="noConversion"/>
  </si>
  <si>
    <t>4=被动技能</t>
    <phoneticPr fontId="1" type="noConversion"/>
  </si>
  <si>
    <t>8=触发技能（触发技能效果时间无效）</t>
    <phoneticPr fontId="1" type="noConversion"/>
  </si>
  <si>
    <t>所有大招霸体</t>
    <phoneticPr fontId="1" type="noConversion"/>
  </si>
  <si>
    <t>BUFF免疫</t>
    <phoneticPr fontId="1" type="noConversion"/>
  </si>
  <si>
    <t>1048576=多人效果（效果目标跟多个目标有关联）</t>
    <phoneticPr fontId="1" type="noConversion"/>
  </si>
  <si>
    <t>2097152=霸体状态（霸体标记）</t>
    <phoneticPr fontId="1" type="noConversion"/>
  </si>
  <si>
    <t>4V4测试开场前定身buff</t>
    <phoneticPr fontId="1" type="noConversion"/>
  </si>
  <si>
    <t>4V4测试阵营Abuff</t>
    <phoneticPr fontId="1" type="noConversion"/>
  </si>
  <si>
    <t>4V5测试阵营Bbuff</t>
    <phoneticPr fontId="1" type="noConversion"/>
  </si>
  <si>
    <t>1号技能1子弹死亡触发伤害</t>
    <phoneticPr fontId="1" type="noConversion"/>
  </si>
  <si>
    <t>1号技能2给自己加暴击buff</t>
    <phoneticPr fontId="1" type="noConversion"/>
  </si>
  <si>
    <t>1号技能2加暴击</t>
    <phoneticPr fontId="1" type="noConversion"/>
  </si>
  <si>
    <t>1号入场技buff提高抗暴</t>
    <phoneticPr fontId="1" type="noConversion"/>
  </si>
  <si>
    <t>1号入场技</t>
    <phoneticPr fontId="1" type="noConversion"/>
  </si>
  <si>
    <t>2号入场技</t>
    <phoneticPr fontId="1" type="noConversion"/>
  </si>
  <si>
    <t>2号入场技buff提高攻击</t>
    <phoneticPr fontId="1" type="noConversion"/>
  </si>
  <si>
    <t>3号入场技</t>
    <phoneticPr fontId="1" type="noConversion"/>
  </si>
  <si>
    <t>3号入场技buff提高血量上限</t>
    <phoneticPr fontId="1" type="noConversion"/>
  </si>
  <si>
    <t>101号入场技范围减速</t>
    <phoneticPr fontId="1" type="noConversion"/>
  </si>
  <si>
    <t>102号入场技降低攻击力</t>
    <phoneticPr fontId="1" type="noConversion"/>
  </si>
  <si>
    <t>104号入场技</t>
    <phoneticPr fontId="1" type="noConversion"/>
  </si>
  <si>
    <t>104号入场技提高移动速度</t>
    <phoneticPr fontId="1" type="noConversion"/>
  </si>
  <si>
    <t>*</t>
    <phoneticPr fontId="1" type="noConversion"/>
  </si>
  <si>
    <t>2号技能2读条伤害</t>
    <phoneticPr fontId="1" type="noConversion"/>
  </si>
  <si>
    <t>101号1技能返还CDBUFF</t>
    <phoneticPr fontId="1" type="noConversion"/>
  </si>
  <si>
    <t>101号1技能增伤BUFF</t>
    <phoneticPr fontId="1" type="noConversion"/>
  </si>
  <si>
    <t>102号-被动</t>
    <phoneticPr fontId="1" type="noConversion"/>
  </si>
  <si>
    <t>65536=使用时可以移动（普攻补偿不能配这个）</t>
    <phoneticPr fontId="1" type="noConversion"/>
  </si>
  <si>
    <t>512=闪避则移除</t>
    <phoneticPr fontId="1" type="noConversion"/>
  </si>
  <si>
    <t>技能补偿距离</t>
    <phoneticPr fontId="1" type="noConversion"/>
  </si>
  <si>
    <t>MSV_SlipDis</t>
  </si>
  <si>
    <t>CLT_EventSrcRootSkillID</t>
    <phoneticPr fontId="1" type="noConversion"/>
  </si>
  <si>
    <t>击退</t>
  </si>
  <si>
    <t>抓取</t>
  </si>
  <si>
    <t>晕眩</t>
  </si>
  <si>
    <t>缠绕</t>
  </si>
  <si>
    <t>睡眠</t>
  </si>
  <si>
    <t>定身</t>
  </si>
  <si>
    <t>冰冻</t>
  </si>
  <si>
    <t>嘲讽</t>
  </si>
  <si>
    <t>减速</t>
  </si>
  <si>
    <t>无敌</t>
  </si>
  <si>
    <t>魅惑1</t>
  </si>
  <si>
    <t>魅惑2</t>
  </si>
  <si>
    <t>沉默</t>
  </si>
  <si>
    <t>变羊</t>
  </si>
  <si>
    <t>霸体</t>
  </si>
  <si>
    <t>恐惧</t>
  </si>
  <si>
    <t>禁止使用技能</t>
  </si>
  <si>
    <t>禁止切卡</t>
  </si>
  <si>
    <t>禁止移动</t>
  </si>
  <si>
    <t>禁止闪避</t>
  </si>
  <si>
    <t>服务器接管</t>
  </si>
  <si>
    <t>免疫击退的buff</t>
    <phoneticPr fontId="1" type="noConversion"/>
  </si>
  <si>
    <t>保护的无敌buff</t>
    <phoneticPr fontId="1" type="noConversion"/>
  </si>
  <si>
    <t>102号入场技</t>
  </si>
  <si>
    <t>103号入场技</t>
  </si>
  <si>
    <t>闪避后的无敌buff</t>
    <phoneticPr fontId="1" type="noConversion"/>
  </si>
  <si>
    <t>101-被动-普攻概率减速</t>
    <phoneticPr fontId="1" type="noConversion"/>
  </si>
  <si>
    <t>101-普攻-1</t>
    <phoneticPr fontId="1" type="noConversion"/>
  </si>
  <si>
    <t>10-普攻-2</t>
    <phoneticPr fontId="1" type="noConversion"/>
  </si>
  <si>
    <t>101-普攻-3</t>
    <phoneticPr fontId="1" type="noConversion"/>
  </si>
  <si>
    <t>101-1-翻滚</t>
    <phoneticPr fontId="1" type="noConversion"/>
  </si>
  <si>
    <t>101-1-挂返还冷却BUFF</t>
    <phoneticPr fontId="1" type="noConversion"/>
  </si>
  <si>
    <t>101-1-挂增伤BUFF(潜力)</t>
    <phoneticPr fontId="1" type="noConversion"/>
  </si>
  <si>
    <t>101-1-BUFF增伤(潜力)</t>
    <phoneticPr fontId="1" type="noConversion"/>
  </si>
  <si>
    <t>101-1-BUFF返还CD</t>
    <phoneticPr fontId="1" type="noConversion"/>
  </si>
  <si>
    <t>101-2-轻按</t>
    <phoneticPr fontId="1" type="noConversion"/>
  </si>
  <si>
    <t>101-2-蓄力</t>
    <phoneticPr fontId="1" type="noConversion"/>
  </si>
  <si>
    <t>101-3-范围击退</t>
    <phoneticPr fontId="1" type="noConversion"/>
  </si>
  <si>
    <t>101-3-BUFF加速</t>
    <phoneticPr fontId="1" type="noConversion"/>
  </si>
  <si>
    <t>101-入场技</t>
    <phoneticPr fontId="1" type="noConversion"/>
  </si>
  <si>
    <t>skill_5002</t>
  </si>
  <si>
    <t>skill_5006</t>
  </si>
  <si>
    <t>skill_5102</t>
  </si>
  <si>
    <t>skill_15002</t>
  </si>
  <si>
    <t>skill_15102</t>
  </si>
  <si>
    <t>2号被动触发销毁铁板</t>
    <phoneticPr fontId="1" type="noConversion"/>
  </si>
  <si>
    <t>2号铁板销毁buff</t>
    <phoneticPr fontId="1" type="noConversion"/>
  </si>
  <si>
    <t>中文技能名</t>
    <phoneticPr fontId="1" type="noConversion"/>
  </si>
  <si>
    <t>英文技能名</t>
    <phoneticPr fontId="1" type="noConversion"/>
  </si>
  <si>
    <t>SkillNameCN</t>
    <phoneticPr fontId="1" type="noConversion"/>
  </si>
  <si>
    <t>SkillNameEN</t>
    <phoneticPr fontId="1" type="noConversion"/>
  </si>
  <si>
    <t>107-免疫缠绕</t>
    <phoneticPr fontId="1" type="noConversion"/>
  </si>
  <si>
    <t>107-易伤</t>
    <phoneticPr fontId="1" type="noConversion"/>
  </si>
  <si>
    <t>GroupID</t>
  </si>
  <si>
    <t>buff组ID</t>
    <phoneticPr fontId="1" type="noConversion"/>
  </si>
  <si>
    <t>客户端</t>
    <phoneticPr fontId="1" type="noConversion"/>
  </si>
  <si>
    <t>服务器</t>
    <phoneticPr fontId="1" type="noConversion"/>
  </si>
  <si>
    <t>[新]102-3-墙正面伤害</t>
    <phoneticPr fontId="1" type="noConversion"/>
  </si>
  <si>
    <t>MBV_DurationTime</t>
    <phoneticPr fontId="1" type="noConversion"/>
  </si>
  <si>
    <t>8号技能1技能治疗buff</t>
    <phoneticPr fontId="1" type="noConversion"/>
  </si>
  <si>
    <t>8号被动根据距离加治疗量</t>
  </si>
  <si>
    <t>8号技能1技能--给自己加buff</t>
  </si>
  <si>
    <t>8号技能1技能--buff技能--治疗</t>
  </si>
  <si>
    <t>8号英雄2技能驱散</t>
  </si>
  <si>
    <t>8号英雄3技能引导治疗圈</t>
  </si>
  <si>
    <t>8号入场技</t>
    <phoneticPr fontId="1" type="noConversion"/>
  </si>
  <si>
    <t>8号普攻</t>
    <phoneticPr fontId="1" type="noConversion"/>
  </si>
  <si>
    <t>131072=回怒</t>
    <phoneticPr fontId="1" type="noConversion"/>
  </si>
  <si>
    <t>262144=驱散buff组</t>
    <phoneticPr fontId="1" type="noConversion"/>
  </si>
  <si>
    <t>buff图标</t>
    <phoneticPr fontId="1" type="noConversion"/>
  </si>
  <si>
    <t>buff头顶标记</t>
    <phoneticPr fontId="1" type="noConversion"/>
  </si>
  <si>
    <t>MBV_HeadIconID</t>
    <phoneticPr fontId="1" type="noConversion"/>
  </si>
  <si>
    <t>1000号技能1</t>
  </si>
  <si>
    <t>1000号技能1伤害</t>
  </si>
  <si>
    <t>4194304=不计算障碍物减伤</t>
    <phoneticPr fontId="1" type="noConversion"/>
  </si>
  <si>
    <t>8388608=连续攻击准星扩散</t>
    <phoneticPr fontId="1" type="noConversion"/>
  </si>
  <si>
    <t>瞄准轨迹曲线ID</t>
    <phoneticPr fontId="1" type="noConversion"/>
  </si>
  <si>
    <t>CLT_AimTrajectoryCurve</t>
    <phoneticPr fontId="1" type="noConversion"/>
  </si>
  <si>
    <t>关卡测试_嘲讽</t>
    <phoneticPr fontId="1" type="noConversion"/>
  </si>
  <si>
    <t>子弹死亡特效ID</t>
    <phoneticPr fontId="1" type="noConversion"/>
  </si>
  <si>
    <t>子弹自然消亡特效ID</t>
    <phoneticPr fontId="1" type="noConversion"/>
  </si>
  <si>
    <t>MSV_ProjectileTimeOutEffectID</t>
    <phoneticPr fontId="1" type="noConversion"/>
  </si>
  <si>
    <t>int32</t>
    <phoneticPr fontId="1" type="noConversion"/>
  </si>
  <si>
    <t>*</t>
    <phoneticPr fontId="1" type="noConversion"/>
  </si>
  <si>
    <t>*</t>
    <phoneticPr fontId="1" type="noConversion"/>
  </si>
  <si>
    <t>新测_101-普攻-3</t>
    <phoneticPr fontId="1" type="noConversion"/>
  </si>
  <si>
    <t>新测_102号2技能附带伤害</t>
    <phoneticPr fontId="1" type="noConversion"/>
  </si>
  <si>
    <t>新测_102号2技能上减速</t>
    <phoneticPr fontId="1" type="noConversion"/>
  </si>
  <si>
    <t>描述字典ID</t>
    <phoneticPr fontId="1" type="noConversion"/>
  </si>
  <si>
    <t>skill_15020</t>
  </si>
  <si>
    <t>skill_15030</t>
  </si>
  <si>
    <t>该技能假伤害帧次数</t>
    <phoneticPr fontId="1" type="noConversion"/>
  </si>
  <si>
    <t>MSV_CombatPerformanceTimes</t>
    <phoneticPr fontId="1" type="noConversion"/>
  </si>
  <si>
    <t>新测_2号技能2读条伤害</t>
    <phoneticPr fontId="1" type="noConversion"/>
  </si>
  <si>
    <t>新测_2号技能2读条伤害3</t>
    <phoneticPr fontId="1" type="noConversion"/>
  </si>
  <si>
    <t>*</t>
    <phoneticPr fontId="1" type="noConversion"/>
  </si>
  <si>
    <t>101-3-BUFF加速</t>
    <phoneticPr fontId="1" type="noConversion"/>
  </si>
  <si>
    <t>101-3-BUFF加速</t>
    <phoneticPr fontId="1" type="noConversion"/>
  </si>
  <si>
    <t>101-3-范围击退</t>
    <phoneticPr fontId="1" type="noConversion"/>
  </si>
  <si>
    <t>新测_102号2技能上减速</t>
    <phoneticPr fontId="1" type="noConversion"/>
  </si>
  <si>
    <t>新测_102号2技能附带伤害</t>
    <phoneticPr fontId="1" type="noConversion"/>
  </si>
  <si>
    <t>101-2-蓄力</t>
    <phoneticPr fontId="1" type="noConversion"/>
  </si>
  <si>
    <t>101-2-蓄力</t>
    <phoneticPr fontId="1" type="noConversion"/>
  </si>
  <si>
    <t>101-2-轻按</t>
    <phoneticPr fontId="1" type="noConversion"/>
  </si>
  <si>
    <t>101-2-轻按</t>
    <phoneticPr fontId="1" type="noConversion"/>
  </si>
  <si>
    <t>新测_101-普攻-3</t>
    <phoneticPr fontId="1" type="noConversion"/>
  </si>
  <si>
    <t xml:space="preserve"> </t>
    <phoneticPr fontId="1" type="noConversion"/>
  </si>
  <si>
    <t>新测_10-普攻-2</t>
    <phoneticPr fontId="1" type="noConversion"/>
  </si>
  <si>
    <t>新测_101-普攻-1</t>
    <phoneticPr fontId="1" type="noConversion"/>
  </si>
  <si>
    <t>新测_2号技能2读条伤害</t>
    <phoneticPr fontId="1" type="noConversion"/>
  </si>
  <si>
    <t>新测_2号技能2读条伤害2</t>
    <phoneticPr fontId="1" type="noConversion"/>
  </si>
  <si>
    <t>新测_2号技能2读条伤害1</t>
    <phoneticPr fontId="1" type="noConversion"/>
  </si>
  <si>
    <t>1000号普攻</t>
    <phoneticPr fontId="1" type="noConversion"/>
  </si>
  <si>
    <t>1000号技能2</t>
    <phoneticPr fontId="1" type="noConversion"/>
  </si>
  <si>
    <t>1000号技能3</t>
    <phoneticPr fontId="1" type="noConversion"/>
  </si>
  <si>
    <t>7号普攻</t>
    <phoneticPr fontId="1" type="noConversion"/>
  </si>
  <si>
    <t>*</t>
    <phoneticPr fontId="1" type="noConversion"/>
  </si>
  <si>
    <t>client_skill_data</t>
    <phoneticPr fontId="1" type="noConversion"/>
  </si>
  <si>
    <t>skill_5008</t>
  </si>
  <si>
    <t>skill_5009</t>
  </si>
  <si>
    <t/>
  </si>
  <si>
    <t>skill_5106</t>
  </si>
  <si>
    <t>skill_5107</t>
  </si>
  <si>
    <t>skill_5108</t>
  </si>
  <si>
    <t>skill_5202</t>
  </si>
  <si>
    <t>skill_5203</t>
  </si>
  <si>
    <t>skill_5207</t>
  </si>
  <si>
    <t>skill_5209</t>
  </si>
  <si>
    <t>skill_15010</t>
  </si>
  <si>
    <t>skill_15104</t>
  </si>
  <si>
    <t>skill_15106</t>
  </si>
  <si>
    <t>skill_15107</t>
  </si>
  <si>
    <t>skill_15302</t>
  </si>
  <si>
    <t>skill_15305</t>
  </si>
  <si>
    <t>skill_15307</t>
  </si>
  <si>
    <t>skill_15314</t>
  </si>
  <si>
    <t>通用采集技能</t>
    <phoneticPr fontId="1" type="noConversion"/>
  </si>
  <si>
    <t>*</t>
    <phoneticPr fontId="1" type="noConversion"/>
  </si>
  <si>
    <t>7号技能1发射子弹</t>
    <phoneticPr fontId="1" type="noConversion"/>
  </si>
  <si>
    <t>7号技能1子弹命中触发弹幕子弹</t>
    <phoneticPr fontId="1" type="noConversion"/>
  </si>
  <si>
    <t>7号技能2向指定目标发射追踪飞弹</t>
    <phoneticPr fontId="1" type="noConversion"/>
  </si>
  <si>
    <t>7号技能2提前引爆飞弹</t>
    <phoneticPr fontId="1" type="noConversion"/>
  </si>
  <si>
    <t>7号技能3召唤空袭</t>
    <phoneticPr fontId="1" type="noConversion"/>
  </si>
  <si>
    <t>7号入场技</t>
    <phoneticPr fontId="1" type="noConversion"/>
  </si>
  <si>
    <t>7号技能3召唤空袭炸弹</t>
    <phoneticPr fontId="1" type="noConversion"/>
  </si>
  <si>
    <t>7号技能3召唤空袭周期炸弹</t>
    <phoneticPr fontId="1" type="noConversion"/>
  </si>
  <si>
    <t>关卡脊蛊普攻</t>
  </si>
  <si>
    <t>关卡脊蛊蓄力</t>
  </si>
  <si>
    <t>MSV_SkillDis</t>
    <phoneticPr fontId="1" type="noConversion"/>
  </si>
  <si>
    <t>4V4测试开场前定身buff</t>
  </si>
  <si>
    <t>4V4测试阵营Abuff</t>
  </si>
  <si>
    <t>4V5测试阵营Bbuff</t>
  </si>
  <si>
    <t>1号技能2加暴击</t>
  </si>
  <si>
    <t>1号技能1上buff减防御</t>
  </si>
  <si>
    <t>1号技能1减敌人防御</t>
  </si>
  <si>
    <t>1号入场技buff提高抗暴</t>
  </si>
  <si>
    <t>2号技能3触发</t>
  </si>
  <si>
    <t>2号铁板销毁buff</t>
  </si>
  <si>
    <t>2号技能2效果给自己加暴击</t>
  </si>
  <si>
    <t>2号技能3buff技能给敌人上易伤</t>
  </si>
  <si>
    <t>2号入场技buff提高攻击</t>
  </si>
  <si>
    <t>3号技能2群体治疗buff</t>
  </si>
  <si>
    <t>3号技能3自身强化buff</t>
  </si>
  <si>
    <t>3号入场技buff提高血量上限</t>
  </si>
  <si>
    <t>8号技能1技能治疗buff</t>
  </si>
  <si>
    <t>101号1技能返还CDBUFF</t>
  </si>
  <si>
    <t>101号1技能增伤BUFF</t>
  </si>
  <si>
    <t>101号入场技范围减速</t>
  </si>
  <si>
    <t>102号-被动</t>
  </si>
  <si>
    <t>102号入场技降低攻击力</t>
  </si>
  <si>
    <t>（暂）给自己回10点血</t>
  </si>
  <si>
    <t>104号3技能下3次技能增伤20%</t>
  </si>
  <si>
    <t>104号3技能的增伤buff</t>
  </si>
  <si>
    <t>104号入场技提高移动速度</t>
  </si>
  <si>
    <t>107-免疫缠绕</t>
  </si>
  <si>
    <t>107-易伤</t>
  </si>
  <si>
    <t>闪避后的无敌buff</t>
  </si>
  <si>
    <t>保护的无敌buff</t>
  </si>
  <si>
    <t>免疫击退的buff</t>
  </si>
  <si>
    <t>所有大招霸体</t>
  </si>
  <si>
    <t>关卡测试_嘲讽</t>
  </si>
  <si>
    <t>MSV_CombatWarningID</t>
    <phoneticPr fontId="1" type="noConversion"/>
  </si>
  <si>
    <t>int32</t>
    <phoneticPr fontId="1" type="noConversion"/>
  </si>
  <si>
    <t>战斗预警ID</t>
    <phoneticPr fontId="1" type="noConversion"/>
  </si>
  <si>
    <t>5号入场技能</t>
    <phoneticPr fontId="1" type="noConversion"/>
  </si>
  <si>
    <t>5号被动技能普攻概率回复能量</t>
    <phoneticPr fontId="1" type="noConversion"/>
  </si>
  <si>
    <t>5号普攻第三段</t>
    <phoneticPr fontId="1" type="noConversion"/>
  </si>
  <si>
    <t>5号普攻第二段多次连击</t>
    <phoneticPr fontId="1" type="noConversion"/>
  </si>
  <si>
    <t>关卡狗子怪普攻</t>
  </si>
  <si>
    <t>5号普攻第一段三连击1</t>
    <phoneticPr fontId="1" type="noConversion"/>
  </si>
  <si>
    <t>5号普攻第一段三连击2</t>
    <phoneticPr fontId="1" type="noConversion"/>
  </si>
  <si>
    <t>5号普攻第一段三连击3</t>
    <phoneticPr fontId="1" type="noConversion"/>
  </si>
  <si>
    <t>5号1技能冲刺造成伤害</t>
    <phoneticPr fontId="1" type="noConversion"/>
  </si>
  <si>
    <t>5号1技能触发给敌人加易伤</t>
    <phoneticPr fontId="1" type="noConversion"/>
  </si>
  <si>
    <t>5号1技能触发给自己恢复1点能量</t>
    <phoneticPr fontId="1" type="noConversion"/>
  </si>
  <si>
    <t>5号2技能短按造成伤害</t>
    <phoneticPr fontId="1" type="noConversion"/>
  </si>
  <si>
    <t>5号2技能短按触发恢复3能量</t>
    <phoneticPr fontId="1" type="noConversion"/>
  </si>
  <si>
    <t>5号2技能长按造成伤害</t>
    <phoneticPr fontId="1" type="noConversion"/>
  </si>
  <si>
    <t>5号3技能三连击1</t>
    <phoneticPr fontId="1" type="noConversion"/>
  </si>
  <si>
    <t>5号3技能三连击2</t>
  </si>
  <si>
    <t>5号3技能三连击3</t>
  </si>
  <si>
    <t>1006-普攻-阳明指</t>
  </si>
  <si>
    <t>1006-1-握针</t>
  </si>
  <si>
    <t>握针HOT</t>
  </si>
  <si>
    <t>效果循环时间</t>
    <phoneticPr fontId="1" type="noConversion"/>
  </si>
  <si>
    <t>5号技能1给敌人上易伤</t>
    <phoneticPr fontId="1" type="noConversion"/>
  </si>
  <si>
    <t>5号2技能长按触发加buff</t>
    <phoneticPr fontId="1" type="noConversion"/>
  </si>
  <si>
    <t>5号技能2长按buff持续回复能量</t>
    <phoneticPr fontId="1" type="noConversion"/>
  </si>
  <si>
    <t>5号技能2长按回复能量buff</t>
    <phoneticPr fontId="1" type="noConversion"/>
  </si>
  <si>
    <t>硬直等级（暂时不用了）</t>
    <phoneticPr fontId="1" type="noConversion"/>
  </si>
  <si>
    <t>MSV_SkillMoveStartTime</t>
  </si>
  <si>
    <t>MSV_SkillMoveEndTime</t>
  </si>
  <si>
    <t>位移起始时间</t>
    <phoneticPr fontId="1" type="noConversion"/>
  </si>
  <si>
    <t>位移结束时间</t>
    <phoneticPr fontId="1" type="noConversion"/>
  </si>
  <si>
    <t>关卡测试治疗</t>
  </si>
  <si>
    <t>关卡测试普攻</t>
  </si>
  <si>
    <t>关卡测试_自身范围aoe</t>
  </si>
  <si>
    <t>关卡测试_带嘲讽</t>
  </si>
  <si>
    <t>关卡雪啸虎普攻</t>
  </si>
  <si>
    <t>关卡雪啸虎二连击</t>
  </si>
  <si>
    <t>关卡雪啸虎怒吼</t>
  </si>
  <si>
    <t>关卡脊蛊蓄力起手</t>
  </si>
  <si>
    <t>关卡脊蛊瞬移飞扑</t>
  </si>
  <si>
    <t>关卡脊蛊喷水</t>
  </si>
  <si>
    <t>关卡狗子怪冲锋</t>
  </si>
  <si>
    <t>关卡狗子怪顶撞</t>
  </si>
  <si>
    <t>关卡狗子怪蓄力起手</t>
  </si>
  <si>
    <t>关卡狗子怪蓄力发光</t>
  </si>
  <si>
    <t>关卡狗子怪咆哮</t>
  </si>
  <si>
    <t>关卡狗子怪发光</t>
  </si>
  <si>
    <t>关卡狗子怪左拍击</t>
  </si>
  <si>
    <t>关卡狗子怪右拍击</t>
  </si>
  <si>
    <t>关卡狗子怪蓄力咆哮</t>
  </si>
  <si>
    <t>6号被动免死并且回血</t>
    <phoneticPr fontId="1" type="noConversion"/>
  </si>
  <si>
    <t>关卡菊花兽普攻</t>
  </si>
  <si>
    <t>关卡菊花兽冲锋</t>
  </si>
  <si>
    <t>6号入场技能</t>
    <phoneticPr fontId="1" type="noConversion"/>
  </si>
  <si>
    <t>系统用降低移动速度到1.5米每秒</t>
    <phoneticPr fontId="1" type="noConversion"/>
  </si>
  <si>
    <t>2=离开当前场景则移除</t>
    <phoneticPr fontId="1" type="noConversion"/>
  </si>
  <si>
    <t>6号普攻1</t>
    <phoneticPr fontId="1" type="noConversion"/>
  </si>
  <si>
    <t>6号普攻2</t>
  </si>
  <si>
    <t>6号普攻3</t>
  </si>
  <si>
    <t>6号普攻4</t>
  </si>
  <si>
    <t>6号技能1对前方造成范围伤害</t>
    <phoneticPr fontId="1" type="noConversion"/>
  </si>
  <si>
    <t>6号1技能触发嘲讽</t>
    <phoneticPr fontId="1" type="noConversion"/>
  </si>
  <si>
    <t>6号2技能对友方血量最少的目标加盾</t>
    <phoneticPr fontId="1" type="noConversion"/>
  </si>
  <si>
    <t>6号技能1对前方造成范围伤害并加盾</t>
    <phoneticPr fontId="1" type="noConversion"/>
  </si>
  <si>
    <t>6号3技能给自己加盾，提高护盾加成</t>
    <phoneticPr fontId="1" type="noConversion"/>
  </si>
  <si>
    <t>6号1技能触发给自己加盾</t>
    <phoneticPr fontId="1" type="noConversion"/>
  </si>
  <si>
    <t>6号1技能嘲讽buff</t>
    <phoneticPr fontId="1" type="noConversion"/>
  </si>
  <si>
    <t>6号3技能给自己加提高护盾加成buff</t>
    <phoneticPr fontId="1" type="noConversion"/>
  </si>
  <si>
    <t>6号3技能给自己加盾</t>
    <phoneticPr fontId="1" type="noConversion"/>
  </si>
  <si>
    <t>6号免死被动失效提示</t>
    <phoneticPr fontId="1" type="noConversion"/>
  </si>
  <si>
    <t>6号免死被动触发后增加冷却buff</t>
    <phoneticPr fontId="1" type="noConversion"/>
  </si>
  <si>
    <t>256=不计算护盾</t>
    <phoneticPr fontId="1" type="noConversion"/>
  </si>
  <si>
    <t>buff_u_baoji_01</t>
  </si>
  <si>
    <t>buff_u_baofa_01</t>
  </si>
  <si>
    <t>buff_d_jianfang_01</t>
  </si>
  <si>
    <t>buff_u_kangbao_01</t>
  </si>
  <si>
    <t>buff_u_gongji_01</t>
  </si>
  <si>
    <t>buff_u_fangyu_01</t>
  </si>
  <si>
    <t>buff_u_gongji_02</t>
  </si>
  <si>
    <t>buff_u_baoji_02</t>
  </si>
  <si>
    <t>buff_d_yishang_01</t>
  </si>
  <si>
    <t>buff_u_zhiliao_01</t>
  </si>
  <si>
    <t>buff_u_baofa_02</t>
  </si>
  <si>
    <t>buff_u_xueshangxian_01</t>
  </si>
  <si>
    <t>buff_u_nengliang_01</t>
  </si>
  <si>
    <t>buff_d_jiansu_01</t>
  </si>
  <si>
    <t>buff_u_pugongjiaqiang_01</t>
  </si>
  <si>
    <t>buff_u_jiasu_01</t>
  </si>
  <si>
    <t>buff_u_jianshang_01</t>
  </si>
  <si>
    <t>buff_d_xuanyun_01</t>
  </si>
  <si>
    <t>buff_d_gongji_01</t>
  </si>
  <si>
    <t>buff_u_qianghuajineng_01</t>
  </si>
  <si>
    <t>skill_5403</t>
  </si>
  <si>
    <t>skill_5408</t>
  </si>
  <si>
    <t>skill_5411</t>
  </si>
  <si>
    <t>skill_5415</t>
  </si>
  <si>
    <t>skill_5503</t>
  </si>
  <si>
    <t>skill_5507</t>
  </si>
  <si>
    <t>skill_5510</t>
  </si>
  <si>
    <t>skill_5602</t>
  </si>
  <si>
    <t>skill_5603</t>
  </si>
  <si>
    <t>skill_5605</t>
  </si>
  <si>
    <t>skill_5606</t>
  </si>
  <si>
    <t>skill_5607</t>
  </si>
  <si>
    <t>skill_5702</t>
  </si>
  <si>
    <t>skill_5704</t>
  </si>
  <si>
    <t>skill_5705</t>
  </si>
  <si>
    <t>skill_5707</t>
  </si>
  <si>
    <t>skill_15210</t>
  </si>
  <si>
    <t>skill_15220</t>
  </si>
  <si>
    <t>skill_15230</t>
  </si>
  <si>
    <t>skill_15501</t>
  </si>
  <si>
    <t>skill_15530</t>
  </si>
  <si>
    <t>skill_15601</t>
  </si>
  <si>
    <t>skill_15610</t>
  </si>
  <si>
    <t>skill_15620</t>
  </si>
  <si>
    <t>skill_15630</t>
  </si>
  <si>
    <t>skill_104900</t>
  </si>
  <si>
    <t>skill_104910</t>
  </si>
  <si>
    <t>skill_104920</t>
  </si>
  <si>
    <t>skill_104930</t>
  </si>
  <si>
    <t>//900号测试钝刀</t>
    <phoneticPr fontId="1" type="noConversion"/>
  </si>
  <si>
    <t>1006-普攻-触发叠加清疏</t>
  </si>
  <si>
    <t>1006-被动-清疏治疗</t>
  </si>
  <si>
    <t>1006-被动清疏治疗</t>
  </si>
  <si>
    <t>1006-被动-移除清疏</t>
  </si>
  <si>
    <t>1006-2-清风</t>
  </si>
  <si>
    <t>1006-3-天赐</t>
  </si>
  <si>
    <t>1007-普攻-阳明指</t>
  </si>
  <si>
    <t>1007-普攻-触发叠加行气血</t>
  </si>
  <si>
    <t>1007-被动-附加水月瞬发</t>
  </si>
  <si>
    <t>1007-被动-移除叠加</t>
  </si>
  <si>
    <t>1007-1-长针</t>
  </si>
  <si>
    <t>1007-2-春泥</t>
  </si>
  <si>
    <t>1007-3-水月瞬发</t>
  </si>
  <si>
    <t>1007-3-水月加攻</t>
  </si>
  <si>
    <t>1008-普攻-阳明指</t>
  </si>
  <si>
    <t>1008-被动-叠加加攻击力buff</t>
  </si>
  <si>
    <t>1008-1-提针</t>
  </si>
  <si>
    <t>1008-2-彼针</t>
  </si>
  <si>
    <t>1008-3-利针</t>
  </si>
  <si>
    <t>skill_5511</t>
    <phoneticPr fontId="1" type="noConversion"/>
  </si>
  <si>
    <t>6号3技能提高自己护盾效果</t>
    <phoneticPr fontId="1" type="noConversion"/>
  </si>
  <si>
    <t>关卡测试技能5米圆形陷阱子弹</t>
    <phoneticPr fontId="1" type="noConversion"/>
  </si>
  <si>
    <t>102-3-墙正面伤害</t>
    <phoneticPr fontId="1" type="noConversion"/>
  </si>
  <si>
    <t>关卡测试矩形击退陷阱</t>
    <phoneticPr fontId="1" type="noConversion"/>
  </si>
  <si>
    <t>关卡测试技能5米圆形陷阱持续伤害</t>
    <phoneticPr fontId="1" type="noConversion"/>
  </si>
  <si>
    <t>301号机甲普攻移动射击</t>
    <phoneticPr fontId="1" type="noConversion"/>
  </si>
  <si>
    <t>301号机甲技能3发射火箭炮</t>
    <phoneticPr fontId="1" type="noConversion"/>
  </si>
  <si>
    <t>301号机甲技能2旋转攻击增加CD</t>
    <phoneticPr fontId="1" type="noConversion"/>
  </si>
  <si>
    <t>关卡菊花兽下跳</t>
  </si>
  <si>
    <t>关卡菊花兽上跳</t>
  </si>
  <si>
    <t>关卡菊花兽平跳</t>
  </si>
  <si>
    <t>关卡测试4X10矩形击退</t>
    <phoneticPr fontId="1" type="noConversion"/>
  </si>
  <si>
    <t>301号机甲被动永久霸体攻击防御提高</t>
    <phoneticPr fontId="1" type="noConversion"/>
  </si>
  <si>
    <t>301号机甲技能2加速和强化13技能</t>
    <phoneticPr fontId="1" type="noConversion"/>
  </si>
  <si>
    <t>301号机甲技能1向前跳跃落地伤害</t>
    <phoneticPr fontId="1" type="noConversion"/>
  </si>
  <si>
    <t>301号机甲技能1落地触发范围晕眩</t>
    <phoneticPr fontId="1" type="noConversion"/>
  </si>
  <si>
    <t>301号机甲技能1跳跃强化</t>
    <phoneticPr fontId="1" type="noConversion"/>
  </si>
  <si>
    <t>301号机甲技能1晕眩强化</t>
    <phoneticPr fontId="1" type="noConversion"/>
  </si>
  <si>
    <t>301号机甲技能3子弹数量强化</t>
    <phoneticPr fontId="1" type="noConversion"/>
  </si>
  <si>
    <t>301号机甲技能2旋转攻击并且增加CD</t>
    <phoneticPr fontId="1" type="noConversion"/>
  </si>
  <si>
    <t>关卡菊花怪咆哮</t>
  </si>
  <si>
    <t>升级用父技能</t>
    <phoneticPr fontId="1" type="noConversion"/>
  </si>
  <si>
    <t>301号机甲2技能第二段触发加CD</t>
    <phoneticPr fontId="1" type="noConversion"/>
  </si>
  <si>
    <t>301号机甲1技能范围晕眩</t>
    <phoneticPr fontId="1" type="noConversion"/>
  </si>
  <si>
    <t>301号机甲1技能范围晕眩强化</t>
    <phoneticPr fontId="1" type="noConversion"/>
  </si>
  <si>
    <t>301号机甲2技能加速buff</t>
    <phoneticPr fontId="1" type="noConversion"/>
  </si>
  <si>
    <t>buff_u_jiasu_01</t>
    <phoneticPr fontId="1" type="noConversion"/>
  </si>
  <si>
    <t>301号机甲入场技播动画加霸体</t>
    <phoneticPr fontId="1" type="noConversion"/>
  </si>
  <si>
    <t>skill_002</t>
  </si>
  <si>
    <t>skill_003</t>
  </si>
  <si>
    <t>skill_004</t>
  </si>
  <si>
    <t>skill_005</t>
  </si>
  <si>
    <t>skill_006</t>
  </si>
  <si>
    <t>skill_007</t>
  </si>
  <si>
    <t>skill_008</t>
  </si>
  <si>
    <t>skill_009</t>
  </si>
  <si>
    <t>skill_010</t>
  </si>
  <si>
    <t>skill_011</t>
  </si>
  <si>
    <t>skill_012</t>
  </si>
  <si>
    <t>301号机甲天生霸体</t>
    <phoneticPr fontId="1" type="noConversion"/>
  </si>
  <si>
    <t>106-被动-命中增伤</t>
  </si>
  <si>
    <t>106-普攻-第一段</t>
  </si>
  <si>
    <t>106-普攻-第二段</t>
  </si>
  <si>
    <t>106-普攻-第三段</t>
  </si>
  <si>
    <t>106-1-钩子</t>
  </si>
  <si>
    <t>106-1-触发命中角色</t>
  </si>
  <si>
    <t>106-1-触发命中环境</t>
  </si>
  <si>
    <t>106-1-飞向角色</t>
  </si>
  <si>
    <t>106-1-飞向环境</t>
  </si>
  <si>
    <t>【临时】新测_102号2技能附带伤害</t>
  </si>
  <si>
    <t>新测_102号2技能附带伤害</t>
  </si>
  <si>
    <t>【临时】新测_102号2技能上减速</t>
  </si>
  <si>
    <t>新测_102号2技能上减速</t>
  </si>
  <si>
    <t>106-3发射</t>
  </si>
  <si>
    <t>106-3-减速</t>
  </si>
  <si>
    <t>106-3-回拽</t>
  </si>
  <si>
    <t>106-入场技</t>
  </si>
  <si>
    <t>关卡菊花兽蓄力起手</t>
  </si>
  <si>
    <t>关卡菊花兽蓄力咆哮</t>
  </si>
  <si>
    <t>关卡菊花兽扫尾</t>
  </si>
  <si>
    <t>关卡菊花兽左拍击</t>
  </si>
  <si>
    <t>关卡菊花兽右拍击</t>
  </si>
  <si>
    <t>关卡菊花兽上挑</t>
  </si>
  <si>
    <t>CLT_ReplaceCheck</t>
    <phoneticPr fontId="1" type="noConversion"/>
  </si>
  <si>
    <t>更换技能检查组</t>
    <phoneticPr fontId="1" type="noConversion"/>
  </si>
  <si>
    <t>MSV_FirstEffectTime</t>
    <phoneticPr fontId="1" type="noConversion"/>
  </si>
  <si>
    <t>第一次效果时间</t>
    <phoneticPr fontId="1" type="noConversion"/>
  </si>
  <si>
    <t>子弹第一次效果时间</t>
    <phoneticPr fontId="1" type="noConversion"/>
  </si>
  <si>
    <t>MSV_ProjectileFirstEffectTime</t>
    <phoneticPr fontId="1" type="noConversion"/>
  </si>
  <si>
    <t>5号3技能1豆触发增伤</t>
    <phoneticPr fontId="1" type="noConversion"/>
  </si>
  <si>
    <t>5号3技能3豆触发增伤</t>
  </si>
  <si>
    <t>5号3技能4豆触发增伤</t>
  </si>
  <si>
    <t>5号3技能2豆触发增伤</t>
    <phoneticPr fontId="1" type="noConversion"/>
  </si>
  <si>
    <t>7号被动技能低血量提高攻击力</t>
  </si>
  <si>
    <t>7号被动技能低血量降低攻击力</t>
  </si>
  <si>
    <t>7号增加攻击力20%</t>
  </si>
  <si>
    <t>256=TICK使用持续时间（不配就是无限时间）</t>
    <phoneticPr fontId="1" type="noConversion"/>
  </si>
  <si>
    <t>5号3技能增伤lua</t>
    <phoneticPr fontId="1" type="noConversion"/>
  </si>
  <si>
    <t>5号1豆触发增伤buff</t>
    <phoneticPr fontId="1" type="noConversion"/>
  </si>
  <si>
    <t>5号2豆触发增伤buff</t>
  </si>
  <si>
    <t>5号3豆触发增伤buff</t>
  </si>
  <si>
    <t>5号4豆触发增伤buff</t>
  </si>
  <si>
    <t>64=触发后减少BUFF1层</t>
    <phoneticPr fontId="1" type="noConversion"/>
  </si>
  <si>
    <t>关卡狗子怪连续冲锋</t>
  </si>
  <si>
    <t>关卡菊花兽扫尾发射</t>
  </si>
  <si>
    <t>【临时】103号普攻</t>
  </si>
  <si>
    <t>107-被动-免疫缠绕</t>
  </si>
  <si>
    <t>107-普攻</t>
  </si>
  <si>
    <t>107-1-单体追踪弹</t>
  </si>
  <si>
    <t>107-1-潜力附带击退</t>
  </si>
  <si>
    <t>107-1-附带击退</t>
  </si>
  <si>
    <t>107-2-驱散有利状态</t>
  </si>
  <si>
    <t>107-2-附加易伤</t>
  </si>
  <si>
    <t>107-3-破坏地形</t>
  </si>
  <si>
    <t>107-入场技</t>
  </si>
  <si>
    <t>103-3-治疗圈技能</t>
  </si>
  <si>
    <t>103-3-治疗圈子弹</t>
  </si>
  <si>
    <t>镜头是否看目标</t>
    <phoneticPr fontId="1" type="noConversion"/>
  </si>
  <si>
    <t>技能前置类型</t>
    <phoneticPr fontId="1" type="noConversion"/>
  </si>
  <si>
    <t>103号1技能加盾</t>
  </si>
  <si>
    <t>buff顶替优先级</t>
    <phoneticPr fontId="1" type="noConversion"/>
  </si>
  <si>
    <t>PriorityLevel</t>
  </si>
  <si>
    <t>关卡狗子怪连续冲锋2</t>
  </si>
  <si>
    <t>关卡狗子怪连续冲锋3</t>
  </si>
  <si>
    <t>关卡狗子怪连续冲锋加buff</t>
  </si>
  <si>
    <t>关卡狗子怪连续冲锋2加buff</t>
  </si>
  <si>
    <t>关卡狗子怪连续冲锋自己加buff</t>
  </si>
  <si>
    <t>关卡狗子怪连续冲锋2自己加buff</t>
  </si>
  <si>
    <t>关卡狗子怪连续冲锋加buff</t>
    <phoneticPr fontId="1" type="noConversion"/>
  </si>
  <si>
    <t>关卡狗子怪连续冲锋2加buff</t>
    <phoneticPr fontId="1" type="noConversion"/>
  </si>
  <si>
    <t>关卡狗子怪连续冲锋自己加buff</t>
    <phoneticPr fontId="1" type="noConversion"/>
  </si>
  <si>
    <t>关卡狗子怪连续冲锋2自己加buff</t>
    <phoneticPr fontId="1" type="noConversion"/>
  </si>
  <si>
    <t>关卡菊花兽花召唤</t>
  </si>
  <si>
    <t>关卡菊花兽连续蓄力起手</t>
  </si>
  <si>
    <t>关卡菊花兽连续蓄力咆哮</t>
  </si>
  <si>
    <t>218号被动受到被嘲讽的单位的伤害减少20%</t>
    <phoneticPr fontId="1" type="noConversion"/>
  </si>
  <si>
    <t>218号普攻1</t>
    <phoneticPr fontId="1" type="noConversion"/>
  </si>
  <si>
    <t>skill_001</t>
    <phoneticPr fontId="1" type="noConversion"/>
  </si>
  <si>
    <t>218号技能1单体伤害</t>
    <phoneticPr fontId="1" type="noConversion"/>
  </si>
  <si>
    <t>218号技能1嘲讽</t>
    <phoneticPr fontId="1" type="noConversion"/>
  </si>
  <si>
    <t>218号技能2目标周围伤害</t>
    <phoneticPr fontId="1" type="noConversion"/>
  </si>
  <si>
    <t>218号技能3自身周围群体伤害</t>
    <phoneticPr fontId="1" type="noConversion"/>
  </si>
  <si>
    <t>218号技能3自身减伤</t>
    <phoneticPr fontId="1" type="noConversion"/>
  </si>
  <si>
    <t>218号入场技0.3秒灼烧范围伤害</t>
    <phoneticPr fontId="1" type="noConversion"/>
  </si>
  <si>
    <t>218号普攻2</t>
    <phoneticPr fontId="1" type="noConversion"/>
  </si>
  <si>
    <t xml:space="preserve">219号被动加周围被减速的敌人数的抗暴 </t>
    <phoneticPr fontId="1" type="noConversion"/>
  </si>
  <si>
    <t xml:space="preserve">219号被动加周围被减速的敌人数的抗暴 </t>
  </si>
  <si>
    <t>219号普攻1</t>
    <phoneticPr fontId="1" type="noConversion"/>
  </si>
  <si>
    <t>219号普攻2</t>
    <phoneticPr fontId="1" type="noConversion"/>
  </si>
  <si>
    <t>219号技能1给自己普攻减速buff</t>
    <phoneticPr fontId="1" type="noConversion"/>
  </si>
  <si>
    <t>219号技能2自身驱散</t>
    <phoneticPr fontId="1" type="noConversion"/>
  </si>
  <si>
    <t>219号技能2加自己移动速度</t>
    <phoneticPr fontId="1" type="noConversion"/>
  </si>
  <si>
    <t>219号技能3 队友群体持续治疗</t>
    <phoneticPr fontId="1" type="noConversion"/>
  </si>
  <si>
    <t>219号入场技 敌人范围减速</t>
    <phoneticPr fontId="1" type="noConversion"/>
  </si>
  <si>
    <t>1017被动反弹自身受到伤害的10%</t>
    <phoneticPr fontId="1" type="noConversion"/>
  </si>
  <si>
    <t>1017普攻1</t>
    <phoneticPr fontId="1" type="noConversion"/>
  </si>
  <si>
    <t>1017普攻1附加易伤2%</t>
    <phoneticPr fontId="1" type="noConversion"/>
  </si>
  <si>
    <t>1017技能1目标伤害</t>
    <phoneticPr fontId="1" type="noConversion"/>
  </si>
  <si>
    <t>1017技能1目标处于击倒状态自身获得buff</t>
    <phoneticPr fontId="1" type="noConversion"/>
  </si>
  <si>
    <t xml:space="preserve">1017技能2击倒目标4s </t>
    <phoneticPr fontId="1" type="noConversion"/>
  </si>
  <si>
    <t>1017技能2击倒目标4s</t>
    <phoneticPr fontId="1" type="noConversion"/>
  </si>
  <si>
    <t>1017技能2成功击倒技能1重置cd</t>
    <phoneticPr fontId="1" type="noConversion"/>
  </si>
  <si>
    <t>1017技能3解除所有控制</t>
    <phoneticPr fontId="1" type="noConversion"/>
  </si>
  <si>
    <t>1017技能3期间不会被附加debuff</t>
    <phoneticPr fontId="1" type="noConversion"/>
  </si>
  <si>
    <t>1_jianfang</t>
    <phoneticPr fontId="1" type="noConversion"/>
  </si>
  <si>
    <t>2_baoji+</t>
  </si>
  <si>
    <t>zhiliao</t>
  </si>
  <si>
    <t>jiansu</t>
  </si>
  <si>
    <t>1017被动</t>
    <phoneticPr fontId="1" type="noConversion"/>
  </si>
  <si>
    <t>102_jianshang</t>
  </si>
  <si>
    <t>1017技能2buff</t>
    <phoneticPr fontId="1" type="noConversion"/>
  </si>
  <si>
    <t>攻防各+10%buff,持续20s</t>
    <phoneticPr fontId="1" type="noConversion"/>
  </si>
  <si>
    <t>1017技能3不会被附加debuff</t>
    <phoneticPr fontId="1" type="noConversion"/>
  </si>
  <si>
    <t>303号机甲技能2旋转攻击并且增加CD</t>
  </si>
  <si>
    <t>303号机甲技能3发射火箭炮</t>
  </si>
  <si>
    <t>303号机甲被动永久霸体攻击防御提高</t>
  </si>
  <si>
    <t>303号机甲入场技播动画加霸体</t>
  </si>
  <si>
    <t>303号机甲天生霸体</t>
  </si>
  <si>
    <t>303号机甲普攻三连击1</t>
    <phoneticPr fontId="1" type="noConversion"/>
  </si>
  <si>
    <t>马克技能建墙</t>
  </si>
  <si>
    <t>刘阳:
1=技能
2=BUFF
3=造成伤害（任意技能伤害，触发检查里不选消息类型，触发消息写0（或者检查消息类型，但是用效果类型里的ID），dataid写技能ID）
4=造成治疗（任意技能治疗，，触发检查里不选消息类型，触发消息写0，dataid写技能ID）
5=受到伤害（同上，一般用于反伤，加盾）
6=受到治疗（同上）
7=承受伤害（结算后）
8=造成伤害（结算后）考虑移除
9=触发事件（循环触发，消息类型一般是0，dataID是上一个触发的技能）
10=驱散事件（等补充）
11=子弹事件（后面都是子弹）
12=施法合并事件（技能开始立刻合并一些值，尽量不做触发，参考104的3技能）
13=效果合并事件（技能效果阶段立刻作用于目标之前立刻合并一些数值，此时有目标列表，可以通过目标数量来判断）
1,2,11使用消息类型里各自对应的类别，其他的使用效果类型的参数，还有一些更特殊的特殊说明</t>
    <phoneticPr fontId="1" type="noConversion"/>
  </si>
  <si>
    <t>触发消息</t>
    <phoneticPr fontId="1" type="noConversion"/>
  </si>
  <si>
    <t xml:space="preserve">作者:
//技能事件
TriggerNotify_SkillStart = 1 &lt;&lt; 0, //技能开始
TriggerNotify_SkillBreak = 1 &lt;&lt; 2, //技能打断
TriggerNotify_SkillMove  = 1 &lt;&lt; 3,  //技能位移开始
TriggerNotify_SkillArrived = 1 &lt;&lt; 4, //技能位移达到
TriggerNotify_SkillCast = 1 &lt;&lt; 5, //蓄力技能的阶段
//Buff事件
TriggerNotify_BuffAdd  = 1 &lt;&lt; 0, //Buff添加
TriggerNotify_BuffEnd  = 1 &lt;&lt; 1, //Buff结束
TriggerNotify_BuffDispel = 1 &lt;&lt; 2, //Buff驱散
TriggerNotify_BuffStacks = 1 &lt;&lt; 3, //Buff叠加
//效果事件
TriggerNotify_Damage  = 1 &lt;&lt; 0, //伤害
TriggerNotify_Heal   = 1 &lt;&lt; 1, //治疗
TriggerNotify_DOT   = 1 &lt;&lt; 2, //DOT
TriggerNotify_HOT   = 1 &lt;&lt; 3, //HOT
TriggerNotify_Hit   = 1 &lt;&lt; 4, //命中
TriggerNotify_Crit   = 1 &lt;&lt; 5, //暴击
TriggerNotify_Kill   = 1 &lt;&lt; 6, //击杀
TriggerNotify_Miss   = 1 &lt;&lt; 7, //打断
TriggerNotify_Immunity  = 1 &lt;&lt; 8,  //免疫
TriggerNotify_Buff   = 1 &lt;&lt; 9, //增益状态
TriggerNotify_Debuff  = 1 &lt;&lt; 10, //减益效果
TriggerNotify_DispelBuff = 1 &lt;&lt; 11, //驱散增益
TriggerNotify_DispelDebuff = 1 &lt;&lt; 12, //驱散减益
TriggerNotify_NearDeath  = 1 &lt;&lt; 13, //濒死
TriggerNotify_Absorbs  = 1 &lt;&lt; 14, //吸收
TriggerNotify_RecoverHp  = 1 &lt;&lt; 15, //回血
TriggerNotify_RecoverMp  = 1 &lt;&lt; 16, //回蓝
TriggerNotify_RecoverEb  = 1 &lt;&lt; 17, //回怒
//子弹事件
TriggerNotify_BulletEffect = 1 &lt;&lt; 0, //子弹周期事件
TriggerNotify_BulletHit  = 1 &lt;&lt; 1, //子弹命中人物事件
TriggerNotify_BulletDead = 1 &lt;&lt; 2, //子弹死亡事件
TriggerNotify_AttackStage = 1 &lt;&lt; 3, //子弹事件（不知道是啥）
TriggerNotify_BullerHitEnv = 1 &lt;&lt; 4, //子弹命中环境事件
</t>
    <phoneticPr fontId="1" type="noConversion"/>
  </si>
  <si>
    <t>Buff清除组</t>
    <phoneticPr fontId="1" type="noConversion"/>
  </si>
  <si>
    <t>自身检查</t>
    <phoneticPr fontId="1" type="noConversion"/>
  </si>
  <si>
    <t>此处在T条件检查_Skill中定义
102为基本的释放自身检查（自身处于晕眩等等的受控状态不能放技能）</t>
    <phoneticPr fontId="1" type="noConversion"/>
  </si>
  <si>
    <t>目标检查</t>
    <phoneticPr fontId="1" type="noConversion"/>
  </si>
  <si>
    <t>此处在T条件检查_Skill中定义</t>
    <phoneticPr fontId="1" type="noConversion"/>
  </si>
  <si>
    <t>如果是要检查技能触发就填技能ID，技能组就填技能组ID，buff就填buffID</t>
  </si>
  <si>
    <t>触发DataID</t>
    <phoneticPr fontId="1" type="noConversion"/>
  </si>
  <si>
    <t>如果buff有层数则此处填写层数</t>
  </si>
  <si>
    <t>触发Value</t>
    <phoneticPr fontId="1" type="noConversion"/>
  </si>
  <si>
    <t>//主动技能    
SkillSpell_Branch = 10001, //技能帧    
SkillSpell_Sing = 10002, //吟唱    
参数1：吟唱动作，参数2：吟唱时间
SkillSpell_Channel = 10003, //引导    
SkillSpell_Dash = 10004, //冲锋   
参数1速度，单位m/s，参数2加速度可正负，单位m/s，
效果时间是开始移动的时间，技能时间是总计冲的时间
SkillSpell_Charger = 10005, //蓄力
参数1蓄力间隔，参数2最大蓄力次数    
skillspell_XXXXX = 10006   //采集
GSkillSpellLogic_Teleportation = 10007, //瞬移
SkillSpell_AimAt = 10008      //始终看着某一点
SkillSpell_AttackQueue = 10009, //攻击队列
参数1：目标数量  最少1个
参数2：自动瞄准范围 单位分米（球半径）
参数3：自动瞄准类型  0全部，1仅正面
//被动技能    
SkillSpell_Eot = 20001, //DOT/HOT    
SkillSpell_Stand = 20002, //静止/移动  
参数1是否静止，参数2效果时间，参数3首次效果时间  
SkillSpell_AValue = 20003, //属性集（永久无条件修正）
GSkillSpellLogic_Condition = 20004  //满足第一条件则做一次某事，之后满足第二条件则重置
参数1：第一条件，检查组的一个ID，
参数2：第二条件，检查组的一个ID。  
//触发技能    
SkillSpell_Trigger = 30001, //触发    
SkillSpell_Shield = 30002, //护盾    
SkillSpell_Effect = 30003, //修正    
效果逻辑参数，并非技能逻辑参数
参数1：类型，1是通常，参数2基础，参数3百分比
参数1：2代表距离近加成，参数2：最近距离（再近也不修正了），参数3，最近的加成百分比的百分号前面的数
参数1：3代表距离远加成，其他跟2一样
SkillSpell_Calculation = 30004, //结算   
SkillSpell_TriggerScript = 30005, //脚本 
被动脚本技能
SkillSpell_TriggerSkill = 30006, //服务器触发技能</t>
    <phoneticPr fontId="1" type="noConversion"/>
  </si>
  <si>
    <t>技能逻辑</t>
  </si>
  <si>
    <t>技能范围</t>
  </si>
  <si>
    <t>技能最远要打多远。如果是子弹，则走子弹速度，时间，伤害帧形状等算最远能打到多元，触发技能此处如果填0则不检查，填大于0则要检查触发消息的位置和该技能释放者之间的距离，不通过就不触发。</t>
  </si>
  <si>
    <t>CD组</t>
    <phoneticPr fontId="1" type="noConversion"/>
  </si>
  <si>
    <t>在CD组表里定义，不要填0，填-1代表无cd，如果是一个例如每XX秒最多触发一次的被动触发技能，则此处也要填该触发技能的CD组</t>
  </si>
  <si>
    <t>1 = 血量
2 = MP（暂时不用）
3 = 能量1
4 = 能量2</t>
    <phoneticPr fontId="1" type="noConversion"/>
  </si>
  <si>
    <t>消耗类型1</t>
    <phoneticPr fontId="1" type="noConversion"/>
  </si>
  <si>
    <t>如果CD组配了某ID，再配上CD时间，等于把这次放技能的时间修改成CD时间配的值
，该CD组本身时间不变</t>
    <phoneticPr fontId="1" type="noConversion"/>
  </si>
  <si>
    <t>CD时间</t>
    <phoneticPr fontId="1" type="noConversion"/>
  </si>
  <si>
    <t>消耗多少值就写多少值，-1为全消耗光</t>
    <phoneticPr fontId="1" type="noConversion"/>
  </si>
  <si>
    <t>消耗值1</t>
    <phoneticPr fontId="1" type="noConversion"/>
  </si>
  <si>
    <t>发射逻辑</t>
    <phoneticPr fontId="1" type="noConversion"/>
  </si>
  <si>
    <t>发射参数1</t>
    <phoneticPr fontId="1" type="noConversion"/>
  </si>
  <si>
    <t>该子弹的轨迹，在导弹轨迹表里定义，如果是从1-25随机1个，则是10025，如果是10-25则填100025</t>
    <phoneticPr fontId="1" type="noConversion"/>
  </si>
  <si>
    <t>上升阶段时间占全程时间的百分比的百分号前面的数，例如20%填20</t>
    <phoneticPr fontId="1" type="noConversion"/>
  </si>
  <si>
    <t>下降阶段时间占全程时间的百分比的百分号前面的数，例如20%填20</t>
    <phoneticPr fontId="1" type="noConversion"/>
  </si>
  <si>
    <t xml:space="preserve"> Projectile_Track = 1,   //追踪子弹
 （追踪人或者目标点）
  Projectile_Parabola = 2,  //抛物线子弹
  Projectile_Trap = 3,   //陷阱子弹
  Projectile_Missile = 4,   //导弹类子弹，有着发射、飞行和攻击3个阶段的位置曲线
Projectile = 5         //5:直线子弹</t>
    <phoneticPr fontId="1" type="noConversion"/>
  </si>
  <si>
    <t>子弹逻辑</t>
    <phoneticPr fontId="1" type="noConversion"/>
  </si>
  <si>
    <t>子弹速度</t>
    <phoneticPr fontId="1" type="noConversion"/>
  </si>
  <si>
    <t>子弹周期产生效果，多长时间产生一次效果
如果不是周期效果则没用</t>
    <phoneticPr fontId="1" type="noConversion"/>
  </si>
  <si>
    <t>子弹效果时间</t>
    <phoneticPr fontId="1" type="noConversion"/>
  </si>
  <si>
    <t>子弹第一次效果时间</t>
    <phoneticPr fontId="1" type="noConversion"/>
  </si>
  <si>
    <t>总共命中的目标数量。多次效果加起来最多这么多人</t>
  </si>
  <si>
    <t>子弹命中目标数量</t>
  </si>
  <si>
    <t>子弹会在目标点为圆心的圆内分散命中，此处填半径，单位米数X10</t>
  </si>
  <si>
    <t>每次发射的子弹个数，填写0也至少发射一个子弹。</t>
  </si>
  <si>
    <t>子弹参数1</t>
    <phoneticPr fontId="1" type="noConversion"/>
  </si>
  <si>
    <t xml:space="preserve"> SkillArea_Singleton = 1, //单体
  SkillArea_Sphere = 2, //球形范围
  参数1：半径，参数2：向前的偏移
  SkillArea_Sector = 3, //扇形范围
  参数1：最近边距自己的距离，参数2：半径，参数3：弧度
  SkillArea_Ring = 4, //环形范围（圆柱）
  参数1：内径，参数2：外径，参数3，偏移量
  SkillArea_Rect = 5, //矩形范围 
  参数1：最近边距自己的距离，参数2：最远边距自己的距离，参   数3：宽度</t>
    <phoneticPr fontId="1" type="noConversion"/>
  </si>
  <si>
    <t>范围逻辑</t>
    <phoneticPr fontId="1" type="noConversion"/>
  </si>
  <si>
    <t>去条件检查_skill里定义
2 检查队友和自己
3 检查非队友
5 检查声望友好
6 检查声望敌对
7 检查声望敌对</t>
    <phoneticPr fontId="1" type="noConversion"/>
  </si>
  <si>
    <t>范围目标检查</t>
    <phoneticPr fontId="1" type="noConversion"/>
  </si>
  <si>
    <t>AreaFilter_Null = 0,
AreaFilter_MinHp = 1, //最低血量</t>
    <phoneticPr fontId="1" type="noConversion"/>
  </si>
  <si>
    <t>范围目标筛选</t>
    <phoneticPr fontId="1" type="noConversion"/>
  </si>
  <si>
    <t>单次效果影响多少个目标</t>
    <phoneticPr fontId="1" type="noConversion"/>
  </si>
  <si>
    <t>范围目标数量</t>
    <phoneticPr fontId="1" type="noConversion"/>
  </si>
  <si>
    <t>此处3个参数的单位是米/10</t>
  </si>
  <si>
    <t>范围参数1</t>
    <phoneticPr fontId="1" type="noConversion"/>
  </si>
  <si>
    <t>仅用于主动技能，产生第一次效果是技能开始后的多少毫秒，如果是子弹，则是第一颗子弹是技能开始后多少毫秒发出</t>
  </si>
  <si>
    <t>第一次效果时间</t>
    <phoneticPr fontId="1" type="noConversion"/>
  </si>
  <si>
    <t>如果是直接伤害则此处是每隔多长时间产生一次效果，如果是子弹则是每隔多长时间发出一颗子弹。</t>
    <phoneticPr fontId="1" type="noConversion"/>
  </si>
  <si>
    <t>效果循环时间</t>
    <phoneticPr fontId="1" type="noConversion"/>
  </si>
  <si>
    <t>如果是技能
-1 = 无限次
0 = 不生效
1-X = 1-X次效果次数 
如果是子弹，则是产生多少个子弹</t>
    <phoneticPr fontId="1" type="noConversion"/>
  </si>
  <si>
    <t>最大效果次数</t>
    <phoneticPr fontId="1" type="noConversion"/>
  </si>
  <si>
    <t>用于效果事件的触发检查
用于客户端的伤害治疗数字的显示，伤害数字要选伤害，治疗要选治疗</t>
    <phoneticPr fontId="1" type="noConversion"/>
  </si>
  <si>
    <t xml:space="preserve"> SkillEffect_Damage = 1, //伤害
  无参数
  SkillEffect_Heal = 2,   //治疗
  SkillEffect_Lua = 3,   //脚本
  SkillEffect_AddBuff = 4,  //AddBuff
  参数：buffid，参数2：等级，参数3：层数
  SkillEffect_RemoveBuff = 5, //RemoveBuff   不产生事件，等于GM指令
  SkillEffect_Dispel = 6,  //驱散   产生事件，驱散判定
  SkillEffect_Taunt = 7,   //嘲讽
  SkillEffect_Repel = 8,   //击退/拉拽
  SkillEffect_Relive = 9,  //复活
  SkillEffect_Recover = 10,  //恢复
  SkillEffect_CDReduce = 11, //技能加减CD
  参数1：cd组ID（被减的CD组）
  参数2：减数CD组ID
  参数3：0是减CD，1是加CD
  SkillEffect_Loot = 12,   //拾取掉落物;
  SkillEffect_RecoverEP = 13,   // 改变能量;
  参数1，能量ID，-1和0就是不生效
  参数2，修正的加减值，0是不改变，加减不超过上下限。
  参数3，修正能量的指定值，0是改成0，-1是不改变，1-X就是改成1-X(不超过上下限）
  SkillEffect_DispelByGroup = 14  按组驱散
  参数1：组ID，参数2：驱散个数，参数3：驱散层数
  GSkillEffect_Shield = 15 
  参数1 参数类型   参数2 set值   参数3 修正值
  </t>
    <phoneticPr fontId="1" type="noConversion"/>
  </si>
  <si>
    <t>效果逻辑</t>
    <phoneticPr fontId="1" type="noConversion"/>
  </si>
  <si>
    <t>（修正技能的伤害时候，例如104的3技能）效果参数1是0，效果参数2是增加伤害的绝对数值，效果参数3是百分比， 伤害 = 最终伤害*120% + 50 的情况下，参数2配50， 参数3配20</t>
    <phoneticPr fontId="1" type="noConversion"/>
  </si>
  <si>
    <t>效果参数1</t>
    <phoneticPr fontId="1" type="noConversion"/>
  </si>
  <si>
    <t>效果转换</t>
    <phoneticPr fontId="1" type="noConversion"/>
  </si>
  <si>
    <t>在J技能效果转化中定义</t>
    <phoneticPr fontId="1" type="noConversion"/>
  </si>
  <si>
    <t>DisType_None = -1         无击退效果
DisType_Sphere = 0        相关圆心位移（以自身或者某一点为圆心击退或者拉拽）
DisType_Self = 1          相对源坐标位移（子弹的是生效的瞬间的坐标，施法者就是施法者）
DisType_Caster = 2        相对施法者位移</t>
    <phoneticPr fontId="1" type="noConversion"/>
  </si>
  <si>
    <t>击退效果</t>
    <phoneticPr fontId="1" type="noConversion"/>
  </si>
  <si>
    <t>被击退者对应动画
0 = 小击退
1 = 大击退</t>
    <phoneticPr fontId="1" type="noConversion"/>
  </si>
  <si>
    <t>击退类型</t>
    <phoneticPr fontId="1" type="noConversion"/>
  </si>
  <si>
    <t>1 = 击退
2 = 拉拽
3 = 拉拽到距离施法者（子弹或者人）百分比位置（在移动距离里配0.5就是拉到中间位置）
101 = 高级击退（boss用，无法闪避）
102 = 高级拉拽（boss用，无法闪避）</t>
    <phoneticPr fontId="1" type="noConversion"/>
  </si>
  <si>
    <t>击退方向</t>
    <phoneticPr fontId="1" type="noConversion"/>
  </si>
  <si>
    <t>移动距离</t>
    <phoneticPr fontId="1" type="noConversion"/>
  </si>
  <si>
    <t>移动距离为绝对距离
保险距离为相对距离
用哪个另外一个配-1或者0</t>
    <phoneticPr fontId="1" type="noConversion"/>
  </si>
  <si>
    <t>拉拽效果：到目标点之间的缓冲距离。Eg填1即为到离我一米处。
击退效果：击退到最远的目标点与基准点的距离。Eg填12即为将所有怪打到距离我12米处。</t>
    <phoneticPr fontId="1" type="noConversion"/>
  </si>
  <si>
    <t>保险距离</t>
    <phoneticPr fontId="1" type="noConversion"/>
  </si>
  <si>
    <t>位移时间</t>
  </si>
  <si>
    <t>击退时间</t>
    <phoneticPr fontId="1" type="noConversion"/>
  </si>
  <si>
    <t>从起点到终点的所用时间</t>
  </si>
  <si>
    <t>击退动画时间，击退时间大于位移时间</t>
    <phoneticPr fontId="1" type="noConversion"/>
  </si>
  <si>
    <t>使用技能时位移方向，0向前，1向后</t>
  </si>
  <si>
    <t>技能位移方向</t>
    <phoneticPr fontId="1" type="noConversion"/>
  </si>
  <si>
    <t>如果战斗表现为-1，则填写0，如果不为-1，则填写具体的数字</t>
    <phoneticPr fontId="1" type="noConversion"/>
  </si>
  <si>
    <t>该技能假伤害帧次数</t>
  </si>
  <si>
    <t>技能释放前选释放点的模式
PreSkillMode_None,        0                  //无  
PreSkillMode_Avatar,      1                  //对人释放
PreSkillMode_ChooseWithinRange,  2           //选人头
PreSkillMode_LeftStick,  3                   //选择玩家左摇杆方向
PreSkillMode_Special,     4                  //特殊辅助瞄准规则
PreSkillMode_RightStick,    5                //选择玩家右摇杆方向</t>
    <phoneticPr fontId="1" type="noConversion"/>
  </si>
  <si>
    <t>技能前置类型</t>
    <phoneticPr fontId="1" type="noConversion"/>
  </si>
  <si>
    <t>0、默认值（配了会不生效）
1、基本辅助（基于位置）【选敌人，90-180-360按距离选择4个敌人】
2、选择血量最少的队友【选队友，短按则选血量最少的x名（人数在范围目标数量里配置）】
3。瞬移技能（瞬移到子弹位置）</t>
    <phoneticPr fontId="1" type="noConversion"/>
  </si>
  <si>
    <t>辅助瞄准筛选规则</t>
  </si>
  <si>
    <t>0:（默认）看（镜头也会转向目标）一般敌对选
1:不看（镜头不会变，目标会替换）一般队友选</t>
    <phoneticPr fontId="1" type="noConversion"/>
  </si>
  <si>
    <t>镜头是否看目标</t>
  </si>
  <si>
    <t>辅助瞄准地面（射线）特效</t>
  </si>
  <si>
    <t>如果是0，是正常的圈，非0是特殊的特效</t>
  </si>
  <si>
    <t>填导弹轨迹表表里的ID，分散子弹要填配的一个基准曲线
现在默认是-1为无，序号从0开始。</t>
    <phoneticPr fontId="1" type="noConversion"/>
  </si>
  <si>
    <t>瞄准轨迹曲线ID</t>
    <phoneticPr fontId="1" type="noConversion"/>
  </si>
  <si>
    <t>同一个技能组内的不同技能在连招时候的顺序，从小到大</t>
    <phoneticPr fontId="1" type="noConversion"/>
  </si>
  <si>
    <t>如果想使用按1个按键自动放几连击，必须把连招的技能都放在同一个技能组里，此处填写的ID尽量有意义</t>
    <phoneticPr fontId="1" type="noConversion"/>
  </si>
  <si>
    <t>Skill_Clt_Spell_Succ = 1      
 //客户端施法成功
Skill_Srv_Spell_Succ = 2       
//服务器施法成功
Skill_Srv_Spell_Failed = 4  
//服务器施法失败
Skill_Srv_Hit = 8      
//服务器施法命中</t>
    <phoneticPr fontId="1" type="noConversion"/>
  </si>
  <si>
    <t>响应哪些技能的事件（一定是父技能）</t>
    <phoneticPr fontId="1" type="noConversion"/>
  </si>
  <si>
    <t>发送事件</t>
  </si>
  <si>
    <t>响应时间</t>
    <phoneticPr fontId="1" type="noConversion"/>
  </si>
  <si>
    <t>响应技能</t>
    <phoneticPr fontId="1" type="noConversion"/>
  </si>
  <si>
    <t>更换技能</t>
    <phoneticPr fontId="1" type="noConversion"/>
  </si>
  <si>
    <t>把该按钮上的技能更换成某个技能</t>
    <phoneticPr fontId="1" type="noConversion"/>
  </si>
  <si>
    <t>超时时间</t>
    <phoneticPr fontId="1" type="noConversion"/>
  </si>
  <si>
    <t>连招组ID</t>
  </si>
  <si>
    <t>同组内顺序</t>
    <phoneticPr fontId="1" type="noConversion"/>
  </si>
  <si>
    <t>单位毫秒，超过时间则换回去</t>
    <phoneticPr fontId="1" type="noConversion"/>
  </si>
  <si>
    <t>更换技能检查组</t>
  </si>
  <si>
    <t>马克普攻</t>
  </si>
  <si>
    <t>冉冰普攻</t>
  </si>
  <si>
    <t>琴墨城普攻</t>
  </si>
  <si>
    <t>冉冰治疗</t>
  </si>
  <si>
    <t>马克_自身范围aoe</t>
  </si>
  <si>
    <t>琴墨城_自身范围aoe</t>
  </si>
  <si>
    <t>马克技能建墙蓄力</t>
  </si>
  <si>
    <t>致死时回血</t>
  </si>
  <si>
    <t>新手关测试濒死回血</t>
  </si>
  <si>
    <t>如果更换后的技能跟更换前有关联，更换前的技能已经结束，则检查不通过自动换回去，目前子弹用1001</t>
    <phoneticPr fontId="1" type="noConversion"/>
  </si>
  <si>
    <t>303号机甲技能1旋转攻击</t>
    <phoneticPr fontId="1" type="noConversion"/>
  </si>
  <si>
    <t>303号机甲技能2发射火箭炮</t>
    <phoneticPr fontId="1" type="noConversion"/>
  </si>
  <si>
    <t>16777216=子弹消亡产生效果</t>
  </si>
  <si>
    <t>303号机甲普攻三连击</t>
    <phoneticPr fontId="1" type="noConversion"/>
  </si>
  <si>
    <t>关卡用低血量时回满</t>
    <phoneticPr fontId="1" type="noConversion"/>
  </si>
  <si>
    <t>通用技能</t>
    <phoneticPr fontId="1" type="noConversion"/>
  </si>
  <si>
    <t>卡牌技能</t>
    <phoneticPr fontId="1" type="noConversion"/>
  </si>
  <si>
    <t>关卡技能</t>
    <phoneticPr fontId="1" type="noConversion"/>
  </si>
  <si>
    <t>战斗组测试技能</t>
    <phoneticPr fontId="1" type="noConversion"/>
  </si>
  <si>
    <t>//1000号英雄：真子弹普攻，导弹分裂技能</t>
    <phoneticPr fontId="1" type="noConversion"/>
  </si>
  <si>
    <t>//1003号英雄：普攻特效修改，2技能新捶地</t>
    <phoneticPr fontId="1" type="noConversion"/>
  </si>
  <si>
    <t>//1002号英雄：子弹特效观察</t>
    <phoneticPr fontId="1" type="noConversion"/>
  </si>
  <si>
    <t>8=对坐标使用</t>
    <phoneticPr fontId="1" type="noConversion"/>
  </si>
  <si>
    <t>16=对朝向使用</t>
    <phoneticPr fontId="1" type="noConversion"/>
  </si>
  <si>
    <t>4=对敌方角色使用</t>
    <phoneticPr fontId="1" type="noConversion"/>
  </si>
  <si>
    <t>301号机甲普攻射击</t>
    <phoneticPr fontId="1" type="noConversion"/>
  </si>
  <si>
    <t>2=对除自己外友方角色使用</t>
    <phoneticPr fontId="1" type="noConversion"/>
  </si>
  <si>
    <t>CLT_LockFreeID</t>
    <phoneticPr fontId="1" type="noConversion"/>
  </si>
  <si>
    <t>无锁定瞄准ID</t>
    <phoneticPr fontId="1" type="noConversion"/>
  </si>
  <si>
    <t>IsIKActive</t>
  </si>
  <si>
    <t>IKFixAngleX</t>
  </si>
  <si>
    <t>f32</t>
    <phoneticPr fontId="1" type="noConversion"/>
  </si>
  <si>
    <t>IK是否开启</t>
    <phoneticPr fontId="1" type="noConversion"/>
  </si>
  <si>
    <t>IK修正角度</t>
    <phoneticPr fontId="1" type="noConversion"/>
  </si>
  <si>
    <t>移动射击的技能都是30度，新的机甲普攻是10度</t>
  </si>
  <si>
    <t>0不开启，1开启，一般开枪的都要开启。</t>
    <phoneticPr fontId="1" type="noConversion"/>
  </si>
  <si>
    <t>帮会鼓舞</t>
    <phoneticPr fontId="1" type="noConversion"/>
  </si>
  <si>
    <t>进入帮会boss场景冷却时间</t>
    <phoneticPr fontId="1" type="noConversion"/>
  </si>
  <si>
    <t>Buff逻辑参数1</t>
    <phoneticPr fontId="1" type="noConversion"/>
  </si>
  <si>
    <t xml:space="preserve">
脚本Buff 1 GBuffLogicScript 参数是3个生效时间
临时声望 2 GBuffLogicCredit  参数1是阵营ID
嘲讽buff 3 GBuffLogicTaunt
魅惑1 4 GBuffLogicWeakCharm
魅惑2 5 GBuffLogicStrongCharm
恐惧 6 GBuffLogicFear</t>
    <phoneticPr fontId="1" type="noConversion"/>
  </si>
  <si>
    <t>子弹飞行1特效ID</t>
  </si>
  <si>
    <t>只有真子弹有，导弹和真子弹的飞行1都是枪口，每一段起始可以播一个特效。导弹有飞行2特效是最后一段，真子弹没有飞行2（待定）</t>
    <phoneticPr fontId="1" type="noConversion"/>
  </si>
  <si>
    <t>发射和子弹</t>
    <phoneticPr fontId="1" type="noConversion"/>
  </si>
  <si>
    <t>时间和效果选项</t>
    <phoneticPr fontId="1" type="noConversion"/>
  </si>
  <si>
    <t>击退</t>
    <phoneticPr fontId="1" type="noConversion"/>
  </si>
  <si>
    <t>辅助瞄准</t>
    <phoneticPr fontId="1" type="noConversion"/>
  </si>
  <si>
    <t>策划看的描述</t>
    <phoneticPr fontId="1" type="noConversion"/>
  </si>
  <si>
    <t>描述和字典</t>
    <phoneticPr fontId="1" type="noConversion"/>
  </si>
  <si>
    <t>IK</t>
    <phoneticPr fontId="1" type="noConversion"/>
  </si>
  <si>
    <t>连招组</t>
    <phoneticPr fontId="1" type="noConversion"/>
  </si>
  <si>
    <t>UI更换技能</t>
    <phoneticPr fontId="1" type="noConversion"/>
  </si>
  <si>
    <t>额外技能特效</t>
    <phoneticPr fontId="1" type="noConversion"/>
  </si>
  <si>
    <t xml:space="preserve">                             =  0  //不生效
SkillLauncher_Direct = 1, //直接伤害帧
SkillLauncher_Bullet = 2, //单发子弹
SkillLauncher_Barrage = 3, //扇形弹幕
参数1位置分散米数x10，如果是原地分散则直接写，如果是往朝向位置偏移再分散，写朝向偏移米数X10再乘以10000再加上分散的米数X10，参数2子弹数量，参数3间隔角度</t>
    <phoneticPr fontId="1" type="noConversion"/>
  </si>
  <si>
    <t>米/s，每100毫秒刷新一次位置。</t>
    <phoneticPr fontId="1" type="noConversion"/>
  </si>
  <si>
    <t>范围目标检查（先）</t>
    <phoneticPr fontId="1" type="noConversion"/>
  </si>
  <si>
    <t>范围目标筛选（后）</t>
    <phoneticPr fontId="1" type="noConversion"/>
  </si>
  <si>
    <t>技能组1</t>
    <phoneticPr fontId="1" type="noConversion"/>
  </si>
  <si>
    <t>技能组2</t>
  </si>
  <si>
    <t>技能组3</t>
  </si>
  <si>
    <t>技能组4</t>
  </si>
  <si>
    <t>技能组5</t>
  </si>
  <si>
    <t>技能组6</t>
  </si>
  <si>
    <t>技能组7</t>
  </si>
  <si>
    <t>技能组8</t>
  </si>
  <si>
    <t>技能组9</t>
  </si>
  <si>
    <t>技能组10</t>
  </si>
  <si>
    <t>技能组11</t>
  </si>
  <si>
    <t>技能组12</t>
  </si>
  <si>
    <t>技能组13</t>
  </si>
  <si>
    <t>技能组14</t>
  </si>
  <si>
    <t>技能组15</t>
  </si>
  <si>
    <t>技能组16</t>
  </si>
  <si>
    <t>技能组17</t>
  </si>
  <si>
    <t>技能组18</t>
  </si>
  <si>
    <t>技能组19</t>
  </si>
  <si>
    <t>技能组20</t>
  </si>
  <si>
    <t>技能组21</t>
  </si>
  <si>
    <t>技能分组</t>
    <phoneticPr fontId="1" type="noConversion"/>
  </si>
  <si>
    <t>不可以重复！！！</t>
    <phoneticPr fontId="1" type="noConversion"/>
  </si>
  <si>
    <t>策划定义的技能分组</t>
    <phoneticPr fontId="1" type="noConversion"/>
  </si>
  <si>
    <t>目标类型和伤害帧形状选项</t>
    <phoneticPr fontId="1" type="noConversion"/>
  </si>
  <si>
    <t>子弹以多长时间的周期产生效果</t>
    <phoneticPr fontId="1" type="noConversion"/>
  </si>
  <si>
    <t>动画，武器，僵直等级，战斗表现选项</t>
    <phoneticPr fontId="1" type="noConversion"/>
  </si>
  <si>
    <t>技能位移</t>
    <phoneticPr fontId="1" type="noConversion"/>
  </si>
  <si>
    <t>马克起手</t>
  </si>
  <si>
    <t>马克收招</t>
  </si>
  <si>
    <t>*</t>
    <phoneticPr fontId="1" type="noConversion"/>
  </si>
  <si>
    <t>新手关测试濒死回血</t>
    <phoneticPr fontId="1" type="noConversion"/>
  </si>
  <si>
    <t>新手关测试血量翻十倍</t>
    <phoneticPr fontId="1" type="noConversion"/>
  </si>
  <si>
    <t>关卡用低血量时回满（仅一次）</t>
    <phoneticPr fontId="1" type="noConversion"/>
  </si>
  <si>
    <t>余衡钧：【buff清除】是根据【buff类型】来清除的。（除了系统）。主要区分增减益。</t>
    <phoneticPr fontId="1" type="noConversion"/>
  </si>
  <si>
    <t>余衡钧：
buff清除组根据buff组配置清除的。（sheetBuffGroup里进行配置分组）</t>
    <phoneticPr fontId="1" type="noConversion"/>
  </si>
  <si>
    <t>Buff属性</t>
    <phoneticPr fontId="1" type="noConversion"/>
  </si>
  <si>
    <t>子弹发射位置偏移</t>
  </si>
  <si>
    <t>子弹发射位置偏移</t>
    <phoneticPr fontId="1" type="noConversion"/>
  </si>
  <si>
    <t>在技能发射位置偏移表中定义，只有有子弹的技能再填，触发出来的子弹看需求（此时0点就是上一个触发点）</t>
    <phoneticPr fontId="1" type="noConversion"/>
  </si>
  <si>
    <t>MSV_LauncherOffset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</si>
</sst>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9"/>
      <color theme="1"/>
      <name val="微软雅黑"/>
      <family val="2"/>
      <charset val="134"/>
    </font>
    <font>
      <b/>
      <sz val="9"/>
      <color theme="1"/>
      <name val="微软雅黑"/>
      <family val="2"/>
      <charset val="134"/>
    </font>
    <font>
      <sz val="6"/>
      <color theme="1"/>
      <name val="微软雅黑"/>
      <family val="2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微软雅黑"/>
      <family val="2"/>
      <charset val="134"/>
    </font>
    <font>
      <sz val="12"/>
      <color theme="1"/>
      <name val="方正悠宋 简 506L"/>
      <family val="3"/>
      <charset val="134"/>
    </font>
    <font>
      <sz val="12"/>
      <color theme="0"/>
      <name val="方正悠宋 简 506L"/>
      <family val="3"/>
      <charset val="134"/>
    </font>
    <font>
      <strike/>
      <sz val="12"/>
      <color theme="1"/>
      <name val="方正悠宋 简 506L"/>
      <family val="3"/>
      <charset val="134"/>
    </font>
    <font>
      <sz val="11"/>
      <color theme="1"/>
      <name val="宋体"/>
      <family val="2"/>
      <scheme val="minor"/>
    </font>
    <font>
      <sz val="11"/>
      <color theme="1"/>
      <name val="宋体"/>
      <family val="2"/>
      <charset val="134"/>
      <scheme val="minor"/>
    </font>
    <font>
      <b/>
      <sz val="12"/>
      <color theme="1"/>
      <name val="方正悠宋 简 506L"/>
      <family val="3"/>
      <charset val="134"/>
    </font>
  </fonts>
  <fills count="9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</fills>
  <borders count="3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ashed">
        <color auto="1"/>
      </left>
      <right style="dashed">
        <color auto="1"/>
      </right>
      <top style="dashed">
        <color auto="1"/>
      </top>
      <bottom style="dashed">
        <color auto="1"/>
      </bottom>
      <diagonal/>
    </border>
  </borders>
  <cellStyleXfs count="3">
    <xf numFmtId="0" fontId="0" fillId="0" borderId="0"/>
    <xf numFmtId="0" fontId="12" fillId="0" borderId="0">
      <alignment vertical="center"/>
    </xf>
    <xf numFmtId="0" fontId="11" fillId="0" borderId="0"/>
  </cellStyleXfs>
  <cellXfs count="49">
    <xf numFmtId="0" fontId="0" fillId="0" borderId="0" xfId="0"/>
    <xf numFmtId="0" fontId="2" fillId="0" borderId="1" xfId="0" applyFont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0" fontId="2" fillId="0" borderId="0" xfId="0" applyFont="1"/>
    <xf numFmtId="0" fontId="7" fillId="0" borderId="0" xfId="0" applyFont="1"/>
    <xf numFmtId="0" fontId="3" fillId="0" borderId="0" xfId="0" applyFont="1"/>
    <xf numFmtId="0" fontId="2" fillId="0" borderId="1" xfId="0" applyFont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8" fillId="0" borderId="1" xfId="0" applyNumberFormat="1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0" fontId="8" fillId="2" borderId="1" xfId="0" applyNumberFormat="1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 wrapText="1"/>
    </xf>
    <xf numFmtId="0" fontId="8" fillId="3" borderId="1" xfId="0" applyNumberFormat="1" applyFont="1" applyFill="1" applyBorder="1" applyAlignment="1">
      <alignment horizontal="center" vertical="center"/>
    </xf>
    <xf numFmtId="0" fontId="8" fillId="4" borderId="1" xfId="0" applyFont="1" applyFill="1" applyBorder="1" applyAlignment="1">
      <alignment horizontal="center" vertical="center"/>
    </xf>
    <xf numFmtId="0" fontId="8" fillId="4" borderId="1" xfId="0" applyNumberFormat="1" applyFont="1" applyFill="1" applyBorder="1" applyAlignment="1">
      <alignment horizontal="center" vertical="center"/>
    </xf>
    <xf numFmtId="0" fontId="9" fillId="5" borderId="1" xfId="0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6" borderId="1" xfId="0" applyFont="1" applyFill="1" applyBorder="1" applyAlignment="1">
      <alignment horizontal="center" vertical="center"/>
    </xf>
    <xf numFmtId="0" fontId="8" fillId="0" borderId="1" xfId="0" applyNumberFormat="1" applyFont="1" applyBorder="1" applyAlignment="1">
      <alignment horizontal="center" vertical="center"/>
    </xf>
    <xf numFmtId="0" fontId="8" fillId="6" borderId="0" xfId="0" applyFont="1" applyFill="1" applyBorder="1" applyAlignment="1">
      <alignment horizontal="center" vertical="center"/>
    </xf>
    <xf numFmtId="0" fontId="8" fillId="0" borderId="0" xfId="0" applyFont="1"/>
    <xf numFmtId="0" fontId="10" fillId="0" borderId="1" xfId="0" applyFont="1" applyBorder="1" applyAlignment="1">
      <alignment horizontal="center" vertical="center"/>
    </xf>
    <xf numFmtId="0" fontId="10" fillId="6" borderId="1" xfId="0" applyFont="1" applyFill="1" applyBorder="1" applyAlignment="1">
      <alignment horizontal="center" vertical="center"/>
    </xf>
    <xf numFmtId="0" fontId="8" fillId="0" borderId="1" xfId="1" applyFont="1" applyBorder="1" applyAlignment="1">
      <alignment horizontal="center" vertical="center"/>
    </xf>
    <xf numFmtId="0" fontId="8" fillId="6" borderId="1" xfId="1" applyFont="1" applyFill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0" fontId="8" fillId="0" borderId="1" xfId="1" applyFont="1" applyFill="1" applyBorder="1" applyAlignment="1">
      <alignment horizontal="center" vertical="center"/>
    </xf>
    <xf numFmtId="0" fontId="8" fillId="0" borderId="1" xfId="1" applyNumberFormat="1" applyFont="1" applyFill="1" applyBorder="1" applyAlignment="1">
      <alignment horizontal="center" vertical="center"/>
    </xf>
    <xf numFmtId="0" fontId="2" fillId="7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left" vertical="center" wrapText="1"/>
    </xf>
    <xf numFmtId="0" fontId="2" fillId="0" borderId="2" xfId="0" applyFont="1" applyBorder="1" applyAlignment="1">
      <alignment horizontal="left" vertical="center"/>
    </xf>
    <xf numFmtId="0" fontId="13" fillId="2" borderId="1" xfId="0" applyFont="1" applyFill="1" applyBorder="1" applyAlignment="1">
      <alignment horizontal="center" vertical="center"/>
    </xf>
    <xf numFmtId="0" fontId="2" fillId="0" borderId="0" xfId="0" applyFont="1" applyAlignment="1">
      <alignment wrapText="1"/>
    </xf>
    <xf numFmtId="0" fontId="8" fillId="8" borderId="1" xfId="0" applyFont="1" applyFill="1" applyBorder="1" applyAlignment="1">
      <alignment horizontal="center" vertical="center"/>
    </xf>
    <xf numFmtId="0" fontId="8" fillId="8" borderId="0" xfId="0" applyFont="1" applyFill="1" applyBorder="1" applyAlignment="1">
      <alignment horizontal="center" vertical="center"/>
    </xf>
    <xf numFmtId="0" fontId="8" fillId="8" borderId="0" xfId="0" applyFont="1" applyFill="1"/>
    <xf numFmtId="0" fontId="8" fillId="8" borderId="1" xfId="0" applyNumberFormat="1" applyFont="1" applyFill="1" applyBorder="1" applyAlignment="1">
      <alignment horizontal="center" vertical="center"/>
    </xf>
    <xf numFmtId="0" fontId="9" fillId="8" borderId="1" xfId="0" applyFont="1" applyFill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</cellXfs>
  <cellStyles count="3">
    <cellStyle name="常规" xfId="0" builtinId="0"/>
    <cellStyle name="常规 2" xfId="2"/>
    <cellStyle name="常规 3" xfId="1"/>
  </cellStyles>
  <dxfs count="2">
    <dxf>
      <font>
        <b/>
        <i val="0"/>
      </font>
      <fill>
        <patternFill>
          <bgColor rgb="FFC00000"/>
        </patternFill>
      </fill>
    </dxf>
    <dxf>
      <font>
        <b/>
        <i val="0"/>
      </font>
      <fill>
        <patternFill>
          <bgColor rgb="FFC000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B480"/>
  <sheetViews>
    <sheetView tabSelected="1" zoomScaleNormal="100" workbookViewId="0">
      <pane xSplit="11" ySplit="7" topLeftCell="AJ92" activePane="bottomRight" state="frozen"/>
      <selection pane="topRight" activeCell="L1" sqref="L1"/>
      <selection pane="bottomLeft" activeCell="A8" sqref="A8"/>
      <selection pane="bottomRight" activeCell="AL100" sqref="AL100"/>
    </sheetView>
  </sheetViews>
  <sheetFormatPr defaultColWidth="9" defaultRowHeight="14.25" outlineLevelCol="1"/>
  <cols>
    <col min="1" max="1" width="18.75" style="24" customWidth="1"/>
    <col min="2" max="2" width="2.25" style="24" bestFit="1" customWidth="1"/>
    <col min="3" max="4" width="2.25" style="24" customWidth="1"/>
    <col min="5" max="5" width="12.625" style="24" bestFit="1" customWidth="1"/>
    <col min="6" max="6" width="36.125" style="24" customWidth="1"/>
    <col min="7" max="7" width="12" style="24" hidden="1" customWidth="1" outlineLevel="1"/>
    <col min="8" max="8" width="16.375" style="24" hidden="1" customWidth="1" outlineLevel="1"/>
    <col min="9" max="9" width="43" style="24" hidden="1" customWidth="1" outlineLevel="1"/>
    <col min="10" max="10" width="42.375" style="24" hidden="1" customWidth="1" outlineLevel="1"/>
    <col min="11" max="11" width="16.375" style="24" hidden="1" customWidth="1" outlineLevel="1"/>
    <col min="12" max="12" width="42.375" style="24" customWidth="1" collapsed="1"/>
    <col min="13" max="13" width="15.875" style="24" customWidth="1" outlineLevel="1"/>
    <col min="14" max="14" width="16.375" style="24" customWidth="1" outlineLevel="1"/>
    <col min="15" max="15" width="18.625" style="24" bestFit="1" customWidth="1"/>
    <col min="16" max="16" width="16.25" style="25" customWidth="1" outlineLevel="1"/>
    <col min="17" max="17" width="15.125" style="25" customWidth="1" outlineLevel="1"/>
    <col min="18" max="18" width="18" style="24" customWidth="1" outlineLevel="1"/>
    <col min="19" max="19" width="19.75" style="27" customWidth="1" outlineLevel="1"/>
    <col min="20" max="20" width="38.5" style="28" bestFit="1" customWidth="1"/>
    <col min="21" max="21" width="19" style="24" customWidth="1" outlineLevel="1"/>
    <col min="22" max="22" width="20.125" style="25" customWidth="1" outlineLevel="1"/>
    <col min="23" max="23" width="20.375" style="24" customWidth="1" outlineLevel="1"/>
    <col min="24" max="24" width="20.75" style="24" customWidth="1" outlineLevel="1"/>
    <col min="25" max="25" width="19.625" style="24" customWidth="1" outlineLevel="1"/>
    <col min="26" max="26" width="22.125" style="24" customWidth="1" outlineLevel="1"/>
    <col min="27" max="27" width="20.75" style="24" customWidth="1"/>
    <col min="28" max="28" width="13.875" style="24" customWidth="1" outlineLevel="1"/>
    <col min="29" max="30" width="15.625" style="24" customWidth="1" outlineLevel="1"/>
    <col min="31" max="31" width="19.125" style="24" customWidth="1" outlineLevel="1"/>
    <col min="32" max="32" width="32.875" style="24" bestFit="1" customWidth="1"/>
    <col min="33" max="35" width="19.25" style="24" customWidth="1" outlineLevel="1"/>
    <col min="36" max="36" width="23.125" style="24" customWidth="1" outlineLevel="1"/>
    <col min="37" max="37" width="27.125" style="24" customWidth="1" outlineLevel="1"/>
    <col min="38" max="38" width="17.75" style="24" customWidth="1" outlineLevel="1"/>
    <col min="39" max="39" width="27.375" style="24" customWidth="1" outlineLevel="1"/>
    <col min="40" max="41" width="19.5" style="24" customWidth="1" outlineLevel="1"/>
    <col min="42" max="42" width="17.5" style="24" customWidth="1" outlineLevel="1"/>
    <col min="43" max="43" width="18.625" style="24" customWidth="1" outlineLevel="1"/>
    <col min="44" max="44" width="30.25" style="24" customWidth="1" outlineLevel="1"/>
    <col min="45" max="45" width="22.625" style="24" customWidth="1" outlineLevel="1"/>
    <col min="46" max="46" width="23.125" style="24" customWidth="1" outlineLevel="1"/>
    <col min="47" max="47" width="20" style="24" customWidth="1" outlineLevel="1"/>
    <col min="48" max="50" width="22.875" style="24" customWidth="1" outlineLevel="1"/>
    <col min="51" max="51" width="23.5" style="24" customWidth="1" outlineLevel="1"/>
    <col min="52" max="52" width="14.75" style="24" customWidth="1"/>
    <col min="53" max="53" width="14.25" style="24" customWidth="1" outlineLevel="1"/>
    <col min="54" max="54" width="13.375" style="24" customWidth="1" outlineLevel="1"/>
    <col min="55" max="55" width="16.25" style="24" customWidth="1" outlineLevel="1"/>
    <col min="56" max="56" width="21.75" style="24" customWidth="1" outlineLevel="1"/>
    <col min="57" max="57" width="18.125" style="24" customWidth="1" outlineLevel="1"/>
    <col min="58" max="58" width="15.125" style="24" customWidth="1" outlineLevel="1"/>
    <col min="59" max="59" width="22.875" style="25" customWidth="1" outlineLevel="1"/>
    <col min="60" max="60" width="14.625" style="24" customWidth="1" outlineLevel="1"/>
    <col min="61" max="63" width="16.375" style="24" customWidth="1" outlineLevel="1"/>
    <col min="64" max="64" width="19.5" style="25" customWidth="1" outlineLevel="1"/>
    <col min="65" max="65" width="18.875" style="24" customWidth="1" outlineLevel="1"/>
    <col min="66" max="66" width="18.5" style="24" bestFit="1" customWidth="1"/>
    <col min="67" max="67" width="15.25" style="25" customWidth="1" outlineLevel="1"/>
    <col min="68" max="68" width="12.875" style="24" customWidth="1" outlineLevel="1"/>
    <col min="69" max="69" width="14.125" style="24" customWidth="1" outlineLevel="1"/>
    <col min="70" max="70" width="13.625" style="24" customWidth="1" outlineLevel="1" collapsed="1"/>
    <col min="71" max="73" width="15.375" style="24" customWidth="1" outlineLevel="1"/>
    <col min="74" max="74" width="22.625" style="24" customWidth="1" outlineLevel="1"/>
    <col min="75" max="75" width="20.875" style="24" customWidth="1" outlineLevel="1"/>
    <col min="76" max="76" width="14.75" style="24" customWidth="1" outlineLevel="1"/>
    <col min="77" max="77" width="27.625" style="24" customWidth="1"/>
    <col min="78" max="78" width="12.875" style="24" customWidth="1" outlineLevel="1"/>
    <col min="79" max="79" width="11.875" style="24" customWidth="1" outlineLevel="1"/>
    <col min="80" max="80" width="14" style="24" customWidth="1" outlineLevel="1"/>
    <col min="81" max="81" width="14.75" style="24" customWidth="1" outlineLevel="1"/>
    <col min="82" max="82" width="14" style="24" customWidth="1" outlineLevel="1"/>
    <col min="83" max="83" width="14.75" style="24" customWidth="1" outlineLevel="1"/>
    <col min="84" max="84" width="19.25" style="24" bestFit="1" customWidth="1"/>
    <col min="85" max="85" width="22" style="24" customWidth="1" outlineLevel="1"/>
    <col min="86" max="86" width="23.375" style="24" customWidth="1" outlineLevel="1"/>
    <col min="87" max="87" width="24.625" style="24" customWidth="1" outlineLevel="1"/>
    <col min="88" max="88" width="21" style="24" customWidth="1" outlineLevel="1"/>
    <col min="89" max="89" width="19" style="24" customWidth="1" outlineLevel="1"/>
    <col min="90" max="90" width="25.25" style="24" customWidth="1" outlineLevel="1"/>
    <col min="91" max="91" width="24.625" style="24" customWidth="1" outlineLevel="1"/>
    <col min="92" max="92" width="27" style="24" customWidth="1" outlineLevel="1"/>
    <col min="93" max="93" width="25.25" style="24" customWidth="1" outlineLevel="1"/>
    <col min="94" max="94" width="25.25" style="24" customWidth="1"/>
    <col min="95" max="95" width="14.25" style="24" hidden="1" customWidth="1" outlineLevel="1"/>
    <col min="96" max="96" width="19.75" style="24" hidden="1" customWidth="1" outlineLevel="1"/>
    <col min="97" max="97" width="26.875" style="24" hidden="1" customWidth="1" outlineLevel="1"/>
    <col min="98" max="98" width="26.25" style="24" hidden="1" customWidth="1" outlineLevel="1"/>
    <col min="99" max="99" width="26.25" style="24" customWidth="1" collapsed="1"/>
    <col min="100" max="100" width="14.625" style="24" customWidth="1" outlineLevel="1"/>
    <col min="101" max="101" width="17.125" style="24" customWidth="1" outlineLevel="1"/>
    <col min="102" max="102" width="24.5" style="24" customWidth="1" outlineLevel="1"/>
    <col min="103" max="103" width="34" style="26" customWidth="1" outlineLevel="1"/>
    <col min="104" max="104" width="25.25" style="24" customWidth="1" outlineLevel="1"/>
    <col min="105" max="105" width="24.5" style="24" customWidth="1" outlineLevel="1"/>
    <col min="106" max="106" width="46.25" style="24" customWidth="1"/>
    <col min="107" max="107" width="21.5" style="24" customWidth="1" outlineLevel="1"/>
    <col min="108" max="108" width="21" style="24" customWidth="1" outlineLevel="1"/>
    <col min="109" max="109" width="20.125" style="24" customWidth="1" outlineLevel="1"/>
    <col min="110" max="110" width="27.5" style="24" customWidth="1" outlineLevel="1"/>
    <col min="111" max="111" width="26.875" style="24" customWidth="1" outlineLevel="1"/>
    <col min="112" max="112" width="26.875" style="24" customWidth="1"/>
    <col min="113" max="114" width="20.125" style="24" hidden="1" customWidth="1" outlineLevel="1"/>
    <col min="115" max="115" width="20.125" style="24" customWidth="1" collapsed="1"/>
    <col min="116" max="116" width="14.625" style="24" customWidth="1" outlineLevel="1"/>
    <col min="117" max="117" width="17.875" style="24" customWidth="1" outlineLevel="1"/>
    <col min="118" max="118" width="17.875" style="24" customWidth="1"/>
    <col min="119" max="119" width="20.875" style="24" customWidth="1" outlineLevel="1"/>
    <col min="120" max="120" width="15.25" style="24" customWidth="1" outlineLevel="1"/>
    <col min="121" max="121" width="26.75" style="24" customWidth="1" outlineLevel="1"/>
    <col min="122" max="122" width="25.625" style="24" customWidth="1" outlineLevel="1"/>
    <col min="123" max="123" width="16.5" style="24" customWidth="1" outlineLevel="1"/>
    <col min="124" max="124" width="19.25" style="24" customWidth="1" outlineLevel="1"/>
    <col min="125" max="125" width="19.25" style="24" customWidth="1"/>
    <col min="126" max="126" width="11.75" style="24" hidden="1" customWidth="1" outlineLevel="1"/>
    <col min="127" max="127" width="13.5" style="24" hidden="1" customWidth="1" outlineLevel="1"/>
    <col min="128" max="128" width="11.75" style="24" hidden="1" customWidth="1" outlineLevel="1"/>
    <col min="129" max="129" width="12" style="24" hidden="1" customWidth="1" outlineLevel="1"/>
    <col min="130" max="130" width="11.375" style="24" hidden="1" customWidth="1" outlineLevel="1"/>
    <col min="131" max="131" width="21.5" style="24" customWidth="1" collapsed="1"/>
    <col min="132" max="16384" width="9" style="24"/>
  </cols>
  <sheetData>
    <row r="1" spans="1:131" s="14" customFormat="1" ht="8.1" customHeight="1">
      <c r="A1" s="14" t="s">
        <v>158</v>
      </c>
      <c r="E1" s="14" t="s">
        <v>143</v>
      </c>
      <c r="M1" s="14" t="s">
        <v>143</v>
      </c>
      <c r="N1" s="14" t="s">
        <v>143</v>
      </c>
      <c r="P1" s="14" t="s">
        <v>143</v>
      </c>
      <c r="Q1" s="14" t="s">
        <v>143</v>
      </c>
      <c r="R1" s="14" t="s">
        <v>143</v>
      </c>
      <c r="S1" s="14" t="s">
        <v>143</v>
      </c>
      <c r="U1" s="14" t="s">
        <v>143</v>
      </c>
      <c r="V1" s="14" t="s">
        <v>143</v>
      </c>
      <c r="W1" s="14" t="s">
        <v>143</v>
      </c>
      <c r="X1" s="14" t="s">
        <v>143</v>
      </c>
      <c r="Y1" s="14" t="s">
        <v>143</v>
      </c>
      <c r="Z1" s="14" t="s">
        <v>143</v>
      </c>
      <c r="AB1" s="14" t="s">
        <v>143</v>
      </c>
      <c r="AC1" s="14" t="s">
        <v>143</v>
      </c>
      <c r="AD1" s="14" t="s">
        <v>143</v>
      </c>
      <c r="AE1" s="14" t="s">
        <v>143</v>
      </c>
      <c r="AG1" s="14" t="s">
        <v>143</v>
      </c>
      <c r="AH1" s="14" t="s">
        <v>143</v>
      </c>
      <c r="AI1" s="14" t="s">
        <v>143</v>
      </c>
      <c r="AJ1" s="14" t="s">
        <v>143</v>
      </c>
      <c r="AK1" s="14" t="s">
        <v>143</v>
      </c>
      <c r="AL1" s="14" t="s">
        <v>143</v>
      </c>
      <c r="AM1" s="14" t="s">
        <v>143</v>
      </c>
      <c r="AN1" s="14" t="s">
        <v>143</v>
      </c>
      <c r="AO1" s="14" t="s">
        <v>143</v>
      </c>
      <c r="AP1" s="14" t="s">
        <v>143</v>
      </c>
      <c r="AQ1" s="14" t="s">
        <v>143</v>
      </c>
      <c r="AR1" s="14" t="s">
        <v>143</v>
      </c>
      <c r="AS1" s="14" t="s">
        <v>143</v>
      </c>
      <c r="AT1" s="14" t="s">
        <v>143</v>
      </c>
      <c r="AU1" s="14" t="s">
        <v>143</v>
      </c>
      <c r="AV1" s="14" t="s">
        <v>143</v>
      </c>
      <c r="AW1" s="14" t="s">
        <v>602</v>
      </c>
      <c r="AX1" s="14" t="s">
        <v>143</v>
      </c>
      <c r="AY1" s="14" t="s">
        <v>143</v>
      </c>
      <c r="BB1" s="14" t="s">
        <v>143</v>
      </c>
      <c r="BC1" s="14" t="s">
        <v>143</v>
      </c>
      <c r="BD1" s="14" t="s">
        <v>143</v>
      </c>
      <c r="BE1" s="14" t="s">
        <v>143</v>
      </c>
      <c r="BF1" s="14" t="s">
        <v>143</v>
      </c>
      <c r="BG1" s="14" t="s">
        <v>143</v>
      </c>
      <c r="BH1" s="14" t="s">
        <v>143</v>
      </c>
      <c r="BI1" s="14" t="s">
        <v>143</v>
      </c>
      <c r="BJ1" s="14" t="s">
        <v>143</v>
      </c>
      <c r="BK1" s="14" t="s">
        <v>143</v>
      </c>
      <c r="BL1" s="14" t="s">
        <v>143</v>
      </c>
      <c r="BM1" s="14" t="s">
        <v>143</v>
      </c>
      <c r="BO1" s="14" t="s">
        <v>143</v>
      </c>
      <c r="BP1" s="14" t="s">
        <v>143</v>
      </c>
      <c r="BQ1" s="14" t="s">
        <v>143</v>
      </c>
      <c r="BR1" s="14" t="s">
        <v>143</v>
      </c>
      <c r="BS1" s="14" t="s">
        <v>143</v>
      </c>
      <c r="BT1" s="14" t="s">
        <v>143</v>
      </c>
      <c r="BU1" s="14" t="s">
        <v>143</v>
      </c>
      <c r="BV1" s="14" t="s">
        <v>143</v>
      </c>
      <c r="BW1" s="14" t="s">
        <v>143</v>
      </c>
      <c r="BX1" s="14" t="s">
        <v>143</v>
      </c>
      <c r="BZ1" s="14" t="s">
        <v>143</v>
      </c>
      <c r="CA1" s="14" t="s">
        <v>143</v>
      </c>
      <c r="CB1" s="14" t="s">
        <v>143</v>
      </c>
      <c r="CC1" s="14" t="s">
        <v>143</v>
      </c>
      <c r="CD1" s="14" t="s">
        <v>143</v>
      </c>
      <c r="CE1" s="14" t="s">
        <v>143</v>
      </c>
      <c r="CG1" s="14" t="s">
        <v>143</v>
      </c>
      <c r="CH1" s="14" t="s">
        <v>143</v>
      </c>
      <c r="CI1" s="14" t="s">
        <v>143</v>
      </c>
      <c r="CJ1" s="14" t="s">
        <v>143</v>
      </c>
      <c r="CK1" s="14" t="s">
        <v>143</v>
      </c>
      <c r="CL1" s="14" t="s">
        <v>143</v>
      </c>
      <c r="CM1" s="14" t="s">
        <v>143</v>
      </c>
      <c r="CN1" s="14" t="s">
        <v>143</v>
      </c>
      <c r="CO1" s="14" t="s">
        <v>143</v>
      </c>
      <c r="CQ1" s="14" t="s">
        <v>143</v>
      </c>
      <c r="CR1" s="14" t="s">
        <v>143</v>
      </c>
      <c r="CS1" s="14" t="s">
        <v>143</v>
      </c>
      <c r="CT1" s="14" t="s">
        <v>143</v>
      </c>
      <c r="CV1" s="14" t="s">
        <v>625</v>
      </c>
      <c r="CY1" s="15" t="s">
        <v>143</v>
      </c>
      <c r="CZ1" s="14" t="s">
        <v>143</v>
      </c>
      <c r="DA1" s="14" t="s">
        <v>143</v>
      </c>
    </row>
    <row r="2" spans="1:131" s="14" customFormat="1" ht="8.1" customHeight="1">
      <c r="A2" s="14" t="s">
        <v>159</v>
      </c>
      <c r="E2" s="14" t="s">
        <v>143</v>
      </c>
      <c r="H2" s="14" t="s">
        <v>143</v>
      </c>
      <c r="M2" s="14" t="s">
        <v>143</v>
      </c>
      <c r="N2" s="14" t="s">
        <v>143</v>
      </c>
      <c r="P2" s="14" t="s">
        <v>143</v>
      </c>
      <c r="Q2" s="14" t="s">
        <v>143</v>
      </c>
      <c r="R2" s="14" t="s">
        <v>143</v>
      </c>
      <c r="U2" s="14" t="s">
        <v>143</v>
      </c>
      <c r="V2" s="14" t="s">
        <v>143</v>
      </c>
      <c r="W2" s="14" t="s">
        <v>143</v>
      </c>
      <c r="X2" s="14" t="s">
        <v>143</v>
      </c>
      <c r="Y2" s="14" t="s">
        <v>143</v>
      </c>
      <c r="Z2" s="14" t="s">
        <v>143</v>
      </c>
      <c r="AB2" s="14" t="s">
        <v>143</v>
      </c>
      <c r="AC2" s="14" t="s">
        <v>143</v>
      </c>
      <c r="AD2" s="14" t="s">
        <v>143</v>
      </c>
      <c r="AE2" s="14" t="s">
        <v>143</v>
      </c>
      <c r="AG2" s="14" t="s">
        <v>143</v>
      </c>
      <c r="AH2" s="14" t="s">
        <v>143</v>
      </c>
      <c r="AI2" s="14" t="s">
        <v>143</v>
      </c>
      <c r="AJ2" s="14" t="s">
        <v>143</v>
      </c>
      <c r="AK2" s="14" t="s">
        <v>143</v>
      </c>
      <c r="AL2" s="14" t="s">
        <v>143</v>
      </c>
      <c r="AM2" s="14" t="s">
        <v>143</v>
      </c>
      <c r="AN2" s="14" t="s">
        <v>143</v>
      </c>
      <c r="AO2" s="14" t="s">
        <v>143</v>
      </c>
      <c r="AP2" s="14" t="s">
        <v>143</v>
      </c>
      <c r="AQ2" s="14" t="s">
        <v>143</v>
      </c>
      <c r="AR2" s="14" t="s">
        <v>143</v>
      </c>
      <c r="AS2" s="14" t="s">
        <v>143</v>
      </c>
      <c r="AT2" s="14" t="s">
        <v>143</v>
      </c>
      <c r="AU2" s="14" t="s">
        <v>143</v>
      </c>
      <c r="AV2" s="14" t="s">
        <v>143</v>
      </c>
      <c r="AW2" s="14" t="s">
        <v>603</v>
      </c>
      <c r="AX2" s="14" t="s">
        <v>143</v>
      </c>
      <c r="AY2" s="14" t="s">
        <v>143</v>
      </c>
      <c r="BB2" s="14" t="s">
        <v>143</v>
      </c>
      <c r="BC2" s="14" t="s">
        <v>143</v>
      </c>
      <c r="BD2" s="14" t="s">
        <v>143</v>
      </c>
      <c r="BE2" s="14" t="s">
        <v>143</v>
      </c>
      <c r="BF2" s="14" t="s">
        <v>143</v>
      </c>
      <c r="BG2" s="14" t="s">
        <v>143</v>
      </c>
      <c r="BH2" s="14" t="s">
        <v>143</v>
      </c>
      <c r="BI2" s="14" t="s">
        <v>143</v>
      </c>
      <c r="BJ2" s="14" t="s">
        <v>143</v>
      </c>
      <c r="BK2" s="14" t="s">
        <v>143</v>
      </c>
      <c r="BL2" s="14" t="s">
        <v>143</v>
      </c>
      <c r="BM2" s="14" t="s">
        <v>143</v>
      </c>
      <c r="BO2" s="14" t="s">
        <v>143</v>
      </c>
      <c r="BP2" s="14" t="s">
        <v>143</v>
      </c>
      <c r="BQ2" s="14" t="s">
        <v>143</v>
      </c>
      <c r="BR2" s="14" t="s">
        <v>143</v>
      </c>
      <c r="BS2" s="14" t="s">
        <v>143</v>
      </c>
      <c r="BT2" s="14" t="s">
        <v>143</v>
      </c>
      <c r="BU2" s="14" t="s">
        <v>143</v>
      </c>
      <c r="BV2" s="14" t="s">
        <v>143</v>
      </c>
      <c r="BW2" s="14" t="s">
        <v>143</v>
      </c>
      <c r="BX2" s="14" t="s">
        <v>143</v>
      </c>
      <c r="BZ2" s="14" t="s">
        <v>143</v>
      </c>
      <c r="CA2" s="14" t="s">
        <v>143</v>
      </c>
      <c r="CB2" s="14" t="s">
        <v>143</v>
      </c>
      <c r="CC2" s="14" t="s">
        <v>143</v>
      </c>
      <c r="CD2" s="14" t="s">
        <v>143</v>
      </c>
      <c r="CE2" s="14" t="s">
        <v>143</v>
      </c>
      <c r="CG2" s="14" t="s">
        <v>143</v>
      </c>
      <c r="CH2" s="14" t="s">
        <v>143</v>
      </c>
      <c r="CI2" s="14" t="s">
        <v>143</v>
      </c>
      <c r="CJ2" s="14" t="s">
        <v>143</v>
      </c>
      <c r="CK2" s="14" t="s">
        <v>143</v>
      </c>
      <c r="CL2" s="14" t="s">
        <v>143</v>
      </c>
      <c r="CM2" s="14" t="s">
        <v>143</v>
      </c>
      <c r="CN2" s="14" t="s">
        <v>143</v>
      </c>
      <c r="CO2" s="14" t="s">
        <v>143</v>
      </c>
      <c r="CQ2" s="14" t="s">
        <v>143</v>
      </c>
      <c r="CR2" s="14" t="s">
        <v>143</v>
      </c>
      <c r="CS2" s="14" t="s">
        <v>143</v>
      </c>
      <c r="CT2" s="14" t="s">
        <v>143</v>
      </c>
      <c r="CV2" s="14" t="s">
        <v>143</v>
      </c>
      <c r="CW2" s="14" t="s">
        <v>143</v>
      </c>
      <c r="CX2" s="14" t="s">
        <v>143</v>
      </c>
      <c r="CY2" s="15" t="s">
        <v>143</v>
      </c>
      <c r="CZ2" s="14" t="s">
        <v>143</v>
      </c>
      <c r="DA2" s="14" t="s">
        <v>143</v>
      </c>
    </row>
    <row r="3" spans="1:131" s="14" customFormat="1" ht="8.1" customHeight="1">
      <c r="A3" s="14" t="s">
        <v>160</v>
      </c>
      <c r="H3" s="14" t="s">
        <v>150</v>
      </c>
      <c r="I3" s="14" t="s">
        <v>150</v>
      </c>
      <c r="J3" s="14" t="s">
        <v>143</v>
      </c>
      <c r="CY3" s="15"/>
    </row>
    <row r="4" spans="1:131" s="14" customFormat="1" ht="8.1" customHeight="1">
      <c r="A4" s="14" t="s">
        <v>636</v>
      </c>
      <c r="E4" s="14" t="s">
        <v>656</v>
      </c>
      <c r="G4" s="14" t="s">
        <v>635</v>
      </c>
      <c r="K4" s="14" t="s">
        <v>635</v>
      </c>
      <c r="CY4" s="15"/>
      <c r="DC4" s="14" t="s">
        <v>635</v>
      </c>
      <c r="DD4" s="14" t="s">
        <v>635</v>
      </c>
      <c r="DE4" s="14" t="s">
        <v>635</v>
      </c>
      <c r="DF4" s="14" t="s">
        <v>635</v>
      </c>
      <c r="DG4" s="14" t="s">
        <v>635</v>
      </c>
      <c r="DI4" s="14" t="s">
        <v>143</v>
      </c>
      <c r="DJ4" s="14" t="s">
        <v>143</v>
      </c>
      <c r="DL4" s="14" t="s">
        <v>635</v>
      </c>
      <c r="DM4" s="14" t="s">
        <v>635</v>
      </c>
      <c r="DO4" s="14" t="s">
        <v>635</v>
      </c>
      <c r="DP4" s="14" t="s">
        <v>635</v>
      </c>
      <c r="DQ4" s="14" t="s">
        <v>635</v>
      </c>
      <c r="DR4" s="14" t="s">
        <v>635</v>
      </c>
      <c r="DS4" s="14" t="s">
        <v>635</v>
      </c>
      <c r="DT4" s="14" t="s">
        <v>142</v>
      </c>
      <c r="DV4" s="14" t="s">
        <v>635</v>
      </c>
      <c r="DW4" s="14" t="s">
        <v>635</v>
      </c>
      <c r="DX4" s="14" t="s">
        <v>635</v>
      </c>
      <c r="DY4" s="14" t="s">
        <v>635</v>
      </c>
      <c r="DZ4" s="14" t="s">
        <v>635</v>
      </c>
    </row>
    <row r="5" spans="1:131" s="16" customFormat="1">
      <c r="A5" s="16" t="e">
        <f>MODE(E:E)</f>
        <v>#N/A</v>
      </c>
      <c r="E5" s="16" t="s">
        <v>129</v>
      </c>
      <c r="F5" s="16" t="s">
        <v>1155</v>
      </c>
      <c r="G5" s="16" t="s">
        <v>607</v>
      </c>
      <c r="H5" s="16" t="s">
        <v>156</v>
      </c>
      <c r="I5" s="16" t="s">
        <v>566</v>
      </c>
      <c r="J5" s="16" t="s">
        <v>567</v>
      </c>
      <c r="K5" s="16" t="s">
        <v>452</v>
      </c>
      <c r="L5" s="16" t="s">
        <v>1156</v>
      </c>
      <c r="M5" s="16" t="s">
        <v>1008</v>
      </c>
      <c r="N5" s="16" t="s">
        <v>46</v>
      </c>
      <c r="O5" s="16" t="s">
        <v>365</v>
      </c>
      <c r="P5" s="16" t="s">
        <v>134</v>
      </c>
      <c r="Q5" s="16" t="s">
        <v>135</v>
      </c>
      <c r="R5" s="16" t="s">
        <v>865</v>
      </c>
      <c r="S5" s="16" t="s">
        <v>1188</v>
      </c>
      <c r="T5" s="16" t="s">
        <v>393</v>
      </c>
      <c r="U5" s="16" t="s">
        <v>229</v>
      </c>
      <c r="V5" s="16" t="s">
        <v>231</v>
      </c>
      <c r="W5" s="16" t="s">
        <v>75</v>
      </c>
      <c r="X5" s="16" t="s">
        <v>1013</v>
      </c>
      <c r="Y5" s="16" t="s">
        <v>1015</v>
      </c>
      <c r="Z5" s="16" t="s">
        <v>78</v>
      </c>
      <c r="AA5" s="16" t="s">
        <v>364</v>
      </c>
      <c r="AB5" s="16" t="s">
        <v>163</v>
      </c>
      <c r="AC5" s="16" t="s">
        <v>42</v>
      </c>
      <c r="AD5" s="16" t="s">
        <v>43</v>
      </c>
      <c r="AE5" s="16" t="s">
        <v>44</v>
      </c>
      <c r="AF5" s="16" t="s">
        <v>163</v>
      </c>
      <c r="AG5" s="16" t="s">
        <v>211</v>
      </c>
      <c r="AH5" s="16" t="s">
        <v>1029</v>
      </c>
      <c r="AI5" s="16" t="s">
        <v>60</v>
      </c>
      <c r="AJ5" s="16" t="s">
        <v>61</v>
      </c>
      <c r="AK5" s="16" t="s">
        <v>1203</v>
      </c>
      <c r="AL5" s="16" t="s">
        <v>1034</v>
      </c>
      <c r="AM5" s="16" t="s">
        <v>1043</v>
      </c>
      <c r="AN5" s="16" t="s">
        <v>72</v>
      </c>
      <c r="AO5" s="16" t="s">
        <v>73</v>
      </c>
      <c r="AP5" s="16" t="s">
        <v>68</v>
      </c>
      <c r="AQ5" s="16" t="s">
        <v>69</v>
      </c>
      <c r="AR5" s="16" t="s">
        <v>911</v>
      </c>
      <c r="AS5" s="16" t="s">
        <v>1037</v>
      </c>
      <c r="AT5" s="16" t="s">
        <v>335</v>
      </c>
      <c r="AU5" s="16" t="s">
        <v>74</v>
      </c>
      <c r="AV5" s="16" t="s">
        <v>598</v>
      </c>
      <c r="AW5" s="16" t="s">
        <v>599</v>
      </c>
      <c r="AX5" s="16" t="s">
        <v>234</v>
      </c>
      <c r="AY5" s="16" t="s">
        <v>235</v>
      </c>
      <c r="AZ5" s="16" t="s">
        <v>1151</v>
      </c>
      <c r="BA5" s="41" t="s">
        <v>357</v>
      </c>
      <c r="BB5" s="16" t="s">
        <v>356</v>
      </c>
      <c r="BC5" s="16" t="s">
        <v>53</v>
      </c>
      <c r="BD5" s="16" t="s">
        <v>910</v>
      </c>
      <c r="BE5" s="16" t="s">
        <v>723</v>
      </c>
      <c r="BF5" s="16" t="s">
        <v>334</v>
      </c>
      <c r="BG5" s="16" t="s">
        <v>323</v>
      </c>
      <c r="BH5" s="16" t="s">
        <v>415</v>
      </c>
      <c r="BI5" s="16" t="s">
        <v>54</v>
      </c>
      <c r="BJ5" s="16" t="s">
        <v>55</v>
      </c>
      <c r="BK5" s="16" t="s">
        <v>56</v>
      </c>
      <c r="BL5" s="16" t="s">
        <v>206</v>
      </c>
      <c r="BM5" s="16" t="s">
        <v>57</v>
      </c>
      <c r="BN5" s="16" t="s">
        <v>1152</v>
      </c>
      <c r="BO5" s="16" t="s">
        <v>208</v>
      </c>
      <c r="BP5" s="16" t="s">
        <v>448</v>
      </c>
      <c r="BQ5" s="16" t="s">
        <v>516</v>
      </c>
      <c r="BR5" s="16" t="s">
        <v>62</v>
      </c>
      <c r="BS5" s="16" t="s">
        <v>64</v>
      </c>
      <c r="BT5" s="16" t="s">
        <v>65</v>
      </c>
      <c r="BU5" s="16" t="s">
        <v>66</v>
      </c>
      <c r="BV5" s="16" t="s">
        <v>1163</v>
      </c>
      <c r="BW5" s="16" t="s">
        <v>1164</v>
      </c>
      <c r="BX5" s="16" t="s">
        <v>63</v>
      </c>
      <c r="BY5" s="16" t="s">
        <v>1189</v>
      </c>
      <c r="BZ5" s="16" t="s">
        <v>47</v>
      </c>
      <c r="CA5" s="16" t="s">
        <v>48</v>
      </c>
      <c r="CB5" s="16" t="s">
        <v>49</v>
      </c>
      <c r="CC5" s="16" t="s">
        <v>50</v>
      </c>
      <c r="CD5" s="16" t="s">
        <v>51</v>
      </c>
      <c r="CE5" s="16" t="s">
        <v>52</v>
      </c>
      <c r="CF5" s="16" t="s">
        <v>363</v>
      </c>
      <c r="CG5" s="16" t="s">
        <v>174</v>
      </c>
      <c r="CH5" s="16" t="s">
        <v>238</v>
      </c>
      <c r="CI5" s="16" t="s">
        <v>239</v>
      </c>
      <c r="CJ5" s="16" t="s">
        <v>175</v>
      </c>
      <c r="CK5" s="16" t="s">
        <v>176</v>
      </c>
      <c r="CL5" s="16" t="s">
        <v>177</v>
      </c>
      <c r="CM5" s="16" t="s">
        <v>178</v>
      </c>
      <c r="CN5" s="16" t="s">
        <v>179</v>
      </c>
      <c r="CO5" s="16" t="s">
        <v>180</v>
      </c>
      <c r="CP5" s="16" t="s">
        <v>1153</v>
      </c>
      <c r="CQ5" s="16" t="s">
        <v>241</v>
      </c>
      <c r="CR5" s="16" t="s">
        <v>242</v>
      </c>
      <c r="CS5" s="16" t="s">
        <v>731</v>
      </c>
      <c r="CT5" s="16" t="s">
        <v>732</v>
      </c>
      <c r="CU5" s="16" t="s">
        <v>1192</v>
      </c>
      <c r="CV5" s="16" t="s">
        <v>79</v>
      </c>
      <c r="CW5" s="16" t="s">
        <v>354</v>
      </c>
      <c r="CX5" s="16" t="s">
        <v>391</v>
      </c>
      <c r="CY5" s="17" t="s">
        <v>610</v>
      </c>
      <c r="CZ5" s="41" t="s">
        <v>728</v>
      </c>
      <c r="DA5" s="16" t="s">
        <v>702</v>
      </c>
      <c r="DB5" s="16" t="s">
        <v>1191</v>
      </c>
      <c r="DC5" s="16" t="s">
        <v>942</v>
      </c>
      <c r="DD5" s="16" t="s">
        <v>374</v>
      </c>
      <c r="DE5" s="16" t="s">
        <v>941</v>
      </c>
      <c r="DF5" s="16" t="s">
        <v>1137</v>
      </c>
      <c r="DG5" s="16" t="s">
        <v>595</v>
      </c>
      <c r="DH5" s="16" t="s">
        <v>1154</v>
      </c>
      <c r="DI5" s="16" t="s">
        <v>1141</v>
      </c>
      <c r="DJ5" s="16" t="s">
        <v>1142</v>
      </c>
      <c r="DK5" s="16" t="s">
        <v>1157</v>
      </c>
      <c r="DL5" s="16" t="s">
        <v>449</v>
      </c>
      <c r="DM5" s="16" t="s">
        <v>375</v>
      </c>
      <c r="DN5" s="16" t="s">
        <v>1158</v>
      </c>
      <c r="DO5" s="16" t="s">
        <v>376</v>
      </c>
      <c r="DP5" s="16" t="s">
        <v>377</v>
      </c>
      <c r="DQ5" s="16" t="s">
        <v>378</v>
      </c>
      <c r="DR5" s="16" t="s">
        <v>379</v>
      </c>
      <c r="DS5" s="16" t="s">
        <v>380</v>
      </c>
      <c r="DT5" s="16" t="s">
        <v>908</v>
      </c>
      <c r="DU5" s="16" t="s">
        <v>1159</v>
      </c>
      <c r="DV5" s="16" t="s">
        <v>396</v>
      </c>
      <c r="DW5" s="16" t="s">
        <v>398</v>
      </c>
      <c r="DX5" s="16" t="s">
        <v>399</v>
      </c>
      <c r="DY5" s="16" t="s">
        <v>400</v>
      </c>
      <c r="DZ5" s="16" t="s">
        <v>401</v>
      </c>
      <c r="EA5" s="16" t="s">
        <v>1160</v>
      </c>
    </row>
    <row r="6" spans="1:131" s="18" customFormat="1" ht="28.5">
      <c r="A6" s="18" t="s">
        <v>142</v>
      </c>
      <c r="B6" s="18" t="s">
        <v>142</v>
      </c>
      <c r="C6" s="18" t="s">
        <v>150</v>
      </c>
      <c r="D6" s="18" t="s">
        <v>635</v>
      </c>
      <c r="E6" s="18" t="s">
        <v>121</v>
      </c>
      <c r="F6" s="18" t="s">
        <v>122</v>
      </c>
      <c r="G6" s="18" t="s">
        <v>366</v>
      </c>
      <c r="H6" s="18" t="s">
        <v>155</v>
      </c>
      <c r="I6" s="18" t="s">
        <v>568</v>
      </c>
      <c r="J6" s="18" t="s">
        <v>569</v>
      </c>
      <c r="K6" s="18" t="s">
        <v>451</v>
      </c>
      <c r="M6" s="18" t="s">
        <v>181</v>
      </c>
      <c r="N6" s="18" t="s">
        <v>0</v>
      </c>
      <c r="P6" s="18" t="s">
        <v>136</v>
      </c>
      <c r="Q6" s="18" t="s">
        <v>137</v>
      </c>
      <c r="R6" s="18" t="s">
        <v>1</v>
      </c>
      <c r="S6" s="18" t="s">
        <v>395</v>
      </c>
      <c r="U6" s="18" t="s">
        <v>230</v>
      </c>
      <c r="V6" s="18" t="s">
        <v>232</v>
      </c>
      <c r="W6" s="18" t="s">
        <v>233</v>
      </c>
      <c r="X6" s="18" t="s">
        <v>2</v>
      </c>
      <c r="Y6" s="18" t="s">
        <v>3</v>
      </c>
      <c r="Z6" s="18" t="s">
        <v>4</v>
      </c>
      <c r="AB6" s="18" t="s">
        <v>162</v>
      </c>
      <c r="AC6" s="18" t="s">
        <v>164</v>
      </c>
      <c r="AD6" s="19" t="s">
        <v>165</v>
      </c>
      <c r="AE6" s="18" t="s">
        <v>166</v>
      </c>
      <c r="AG6" s="18" t="s">
        <v>212</v>
      </c>
      <c r="AH6" s="18" t="s">
        <v>16</v>
      </c>
      <c r="AI6" s="18" t="s">
        <v>17</v>
      </c>
      <c r="AJ6" s="18" t="s">
        <v>18</v>
      </c>
      <c r="AK6" s="18" t="s">
        <v>1205</v>
      </c>
      <c r="AL6" s="18" t="s">
        <v>19</v>
      </c>
      <c r="AM6" s="18" t="s">
        <v>24</v>
      </c>
      <c r="AN6" s="18" t="s">
        <v>25</v>
      </c>
      <c r="AO6" s="18" t="s">
        <v>26</v>
      </c>
      <c r="AP6" s="18" t="s">
        <v>20</v>
      </c>
      <c r="AQ6" s="18" t="s">
        <v>21</v>
      </c>
      <c r="AR6" s="18" t="s">
        <v>912</v>
      </c>
      <c r="AS6" s="18" t="s">
        <v>22</v>
      </c>
      <c r="AT6" s="18" t="s">
        <v>23</v>
      </c>
      <c r="AU6" s="18" t="s">
        <v>27</v>
      </c>
      <c r="AV6" s="18" t="s">
        <v>28</v>
      </c>
      <c r="AW6" s="18" t="s">
        <v>600</v>
      </c>
      <c r="AX6" s="18" t="s">
        <v>236</v>
      </c>
      <c r="AY6" s="18" t="s">
        <v>237</v>
      </c>
      <c r="BA6" s="18" t="s">
        <v>358</v>
      </c>
      <c r="BB6" s="18" t="s">
        <v>6</v>
      </c>
      <c r="BC6" s="18" t="s">
        <v>7</v>
      </c>
      <c r="BD6" s="18" t="s">
        <v>909</v>
      </c>
      <c r="BE6" s="18" t="s">
        <v>8</v>
      </c>
      <c r="BF6" s="18" t="s">
        <v>9</v>
      </c>
      <c r="BG6" s="18" t="s">
        <v>328</v>
      </c>
      <c r="BH6" s="18" t="s">
        <v>416</v>
      </c>
      <c r="BI6" s="18" t="s">
        <v>35</v>
      </c>
      <c r="BJ6" s="18" t="s">
        <v>36</v>
      </c>
      <c r="BK6" s="18" t="s">
        <v>37</v>
      </c>
      <c r="BL6" s="18" t="s">
        <v>207</v>
      </c>
      <c r="BM6" s="18" t="s">
        <v>38</v>
      </c>
      <c r="BO6" s="18" t="s">
        <v>209</v>
      </c>
      <c r="BP6" s="18" t="s">
        <v>5</v>
      </c>
      <c r="BQ6" s="18" t="s">
        <v>517</v>
      </c>
      <c r="BR6" s="18" t="s">
        <v>29</v>
      </c>
      <c r="BS6" s="18" t="s">
        <v>32</v>
      </c>
      <c r="BT6" s="18" t="s">
        <v>33</v>
      </c>
      <c r="BU6" s="18" t="s">
        <v>34</v>
      </c>
      <c r="BV6" s="18" t="s">
        <v>30</v>
      </c>
      <c r="BW6" s="18" t="s">
        <v>446</v>
      </c>
      <c r="BX6" s="18" t="s">
        <v>31</v>
      </c>
      <c r="BZ6" s="18" t="s">
        <v>10</v>
      </c>
      <c r="CA6" s="18" t="s">
        <v>11</v>
      </c>
      <c r="CB6" s="18" t="s">
        <v>12</v>
      </c>
      <c r="CC6" s="18" t="s">
        <v>13</v>
      </c>
      <c r="CD6" s="18" t="s">
        <v>14</v>
      </c>
      <c r="CE6" s="18" t="s">
        <v>15</v>
      </c>
      <c r="CG6" s="18" t="s">
        <v>173</v>
      </c>
      <c r="CH6" s="18" t="s">
        <v>182</v>
      </c>
      <c r="CI6" s="18" t="s">
        <v>183</v>
      </c>
      <c r="CJ6" s="18" t="s">
        <v>167</v>
      </c>
      <c r="CK6" s="18" t="s">
        <v>168</v>
      </c>
      <c r="CL6" s="18" t="s">
        <v>169</v>
      </c>
      <c r="CM6" s="18" t="s">
        <v>170</v>
      </c>
      <c r="CN6" s="18" t="s">
        <v>171</v>
      </c>
      <c r="CO6" s="18" t="s">
        <v>172</v>
      </c>
      <c r="CQ6" s="18" t="s">
        <v>667</v>
      </c>
      <c r="CR6" s="18" t="s">
        <v>240</v>
      </c>
      <c r="CS6" s="18" t="s">
        <v>729</v>
      </c>
      <c r="CT6" s="18" t="s">
        <v>730</v>
      </c>
      <c r="CV6" s="18" t="s">
        <v>39</v>
      </c>
      <c r="CW6" s="18" t="s">
        <v>355</v>
      </c>
      <c r="CX6" s="18" t="s">
        <v>450</v>
      </c>
      <c r="CY6" s="20" t="s">
        <v>611</v>
      </c>
      <c r="CZ6" s="18" t="s">
        <v>486</v>
      </c>
      <c r="DA6" s="18" t="s">
        <v>700</v>
      </c>
      <c r="DC6" s="18" t="s">
        <v>387</v>
      </c>
      <c r="DD6" s="18" t="s">
        <v>367</v>
      </c>
      <c r="DE6" s="18" t="s">
        <v>485</v>
      </c>
      <c r="DF6" s="18" t="s">
        <v>1136</v>
      </c>
      <c r="DG6" s="18" t="s">
        <v>596</v>
      </c>
      <c r="DI6" s="18" t="s">
        <v>1138</v>
      </c>
      <c r="DJ6" s="18" t="s">
        <v>1139</v>
      </c>
      <c r="DL6" s="18" t="s">
        <v>368</v>
      </c>
      <c r="DM6" s="18" t="s">
        <v>369</v>
      </c>
      <c r="DO6" s="18" t="s">
        <v>370</v>
      </c>
      <c r="DP6" s="18" t="s">
        <v>371</v>
      </c>
      <c r="DQ6" s="18" t="s">
        <v>518</v>
      </c>
      <c r="DR6" s="18" t="s">
        <v>372</v>
      </c>
      <c r="DS6" s="18" t="s">
        <v>373</v>
      </c>
      <c r="DT6" s="19" t="s">
        <v>907</v>
      </c>
      <c r="DU6" s="19"/>
      <c r="DV6" s="19" t="s">
        <v>397</v>
      </c>
      <c r="DW6" s="19" t="s">
        <v>402</v>
      </c>
      <c r="DX6" s="19" t="s">
        <v>403</v>
      </c>
      <c r="DY6" s="19" t="s">
        <v>404</v>
      </c>
      <c r="DZ6" s="19" t="s">
        <v>405</v>
      </c>
    </row>
    <row r="7" spans="1:131" s="21" customFormat="1">
      <c r="A7" s="21" t="s">
        <v>142</v>
      </c>
      <c r="B7" s="21" t="s">
        <v>142</v>
      </c>
      <c r="C7" s="21" t="s">
        <v>150</v>
      </c>
      <c r="D7" s="21" t="s">
        <v>635</v>
      </c>
      <c r="E7" s="21" t="s">
        <v>40</v>
      </c>
      <c r="F7" s="21" t="s">
        <v>203</v>
      </c>
      <c r="G7" s="21" t="s">
        <v>40</v>
      </c>
      <c r="H7" s="21" t="s">
        <v>40</v>
      </c>
      <c r="I7" s="21" t="s">
        <v>203</v>
      </c>
      <c r="J7" s="21" t="s">
        <v>203</v>
      </c>
      <c r="K7" s="21" t="s">
        <v>124</v>
      </c>
      <c r="M7" s="21" t="s">
        <v>40</v>
      </c>
      <c r="N7" s="21" t="s">
        <v>40</v>
      </c>
      <c r="P7" s="21" t="s">
        <v>40</v>
      </c>
      <c r="Q7" s="21" t="s">
        <v>40</v>
      </c>
      <c r="R7" s="21" t="s">
        <v>40</v>
      </c>
      <c r="S7" s="21" t="s">
        <v>40</v>
      </c>
      <c r="U7" s="21" t="s">
        <v>40</v>
      </c>
      <c r="V7" s="21" t="s">
        <v>40</v>
      </c>
      <c r="W7" s="21" t="s">
        <v>40</v>
      </c>
      <c r="X7" s="21" t="s">
        <v>40</v>
      </c>
      <c r="Y7" s="21" t="s">
        <v>40</v>
      </c>
      <c r="Z7" s="21" t="s">
        <v>40</v>
      </c>
      <c r="AB7" s="21" t="s">
        <v>40</v>
      </c>
      <c r="AC7" s="21" t="s">
        <v>40</v>
      </c>
      <c r="AD7" s="21" t="s">
        <v>40</v>
      </c>
      <c r="AE7" s="21" t="s">
        <v>40</v>
      </c>
      <c r="AG7" s="21" t="s">
        <v>40</v>
      </c>
      <c r="AH7" s="21" t="s">
        <v>40</v>
      </c>
      <c r="AI7" s="21" t="s">
        <v>40</v>
      </c>
      <c r="AJ7" s="21" t="s">
        <v>40</v>
      </c>
      <c r="AK7" s="21" t="s">
        <v>40</v>
      </c>
      <c r="AL7" s="21" t="s">
        <v>40</v>
      </c>
      <c r="AM7" s="21" t="s">
        <v>40</v>
      </c>
      <c r="AN7" s="21" t="s">
        <v>40</v>
      </c>
      <c r="AO7" s="21" t="s">
        <v>40</v>
      </c>
      <c r="AP7" s="21" t="s">
        <v>40</v>
      </c>
      <c r="AQ7" s="21" t="s">
        <v>202</v>
      </c>
      <c r="AR7" s="21" t="s">
        <v>40</v>
      </c>
      <c r="AS7" s="21" t="s">
        <v>40</v>
      </c>
      <c r="AT7" s="21" t="s">
        <v>40</v>
      </c>
      <c r="AU7" s="21" t="s">
        <v>40</v>
      </c>
      <c r="AV7" s="21" t="s">
        <v>40</v>
      </c>
      <c r="AW7" s="21" t="s">
        <v>601</v>
      </c>
      <c r="AX7" s="21" t="s">
        <v>40</v>
      </c>
      <c r="AY7" s="21" t="s">
        <v>40</v>
      </c>
      <c r="BA7" s="21" t="s">
        <v>40</v>
      </c>
      <c r="BB7" s="21" t="s">
        <v>40</v>
      </c>
      <c r="BC7" s="21" t="s">
        <v>40</v>
      </c>
      <c r="BD7" s="21" t="s">
        <v>123</v>
      </c>
      <c r="BE7" s="21" t="s">
        <v>40</v>
      </c>
      <c r="BF7" s="21" t="s">
        <v>40</v>
      </c>
      <c r="BG7" s="21" t="s">
        <v>123</v>
      </c>
      <c r="BH7" s="21" t="s">
        <v>123</v>
      </c>
      <c r="BI7" s="21" t="s">
        <v>40</v>
      </c>
      <c r="BJ7" s="21" t="s">
        <v>40</v>
      </c>
      <c r="BK7" s="21" t="s">
        <v>40</v>
      </c>
      <c r="BL7" s="21" t="s">
        <v>40</v>
      </c>
      <c r="BM7" s="21" t="s">
        <v>40</v>
      </c>
      <c r="BO7" s="21" t="s">
        <v>40</v>
      </c>
      <c r="BP7" s="21" t="s">
        <v>202</v>
      </c>
      <c r="BQ7" s="21" t="s">
        <v>202</v>
      </c>
      <c r="BR7" s="21" t="s">
        <v>40</v>
      </c>
      <c r="BS7" s="21" t="s">
        <v>40</v>
      </c>
      <c r="BT7" s="21" t="s">
        <v>40</v>
      </c>
      <c r="BU7" s="21" t="s">
        <v>40</v>
      </c>
      <c r="BV7" s="21" t="s">
        <v>40</v>
      </c>
      <c r="BW7" s="21" t="s">
        <v>447</v>
      </c>
      <c r="BX7" s="21" t="s">
        <v>40</v>
      </c>
      <c r="BZ7" s="21" t="s">
        <v>40</v>
      </c>
      <c r="CA7" s="21" t="s">
        <v>40</v>
      </c>
      <c r="CB7" s="21" t="s">
        <v>40</v>
      </c>
      <c r="CC7" s="21" t="s">
        <v>40</v>
      </c>
      <c r="CD7" s="21" t="s">
        <v>40</v>
      </c>
      <c r="CE7" s="21" t="s">
        <v>40</v>
      </c>
      <c r="CG7" s="21" t="s">
        <v>40</v>
      </c>
      <c r="CH7" s="21" t="s">
        <v>40</v>
      </c>
      <c r="CI7" s="21" t="s">
        <v>40</v>
      </c>
      <c r="CJ7" s="21" t="s">
        <v>40</v>
      </c>
      <c r="CK7" s="21" t="s">
        <v>40</v>
      </c>
      <c r="CL7" s="21" t="s">
        <v>202</v>
      </c>
      <c r="CM7" s="21" t="s">
        <v>202</v>
      </c>
      <c r="CN7" s="21" t="s">
        <v>40</v>
      </c>
      <c r="CO7" s="21" t="s">
        <v>40</v>
      </c>
      <c r="CQ7" s="21" t="s">
        <v>202</v>
      </c>
      <c r="CR7" s="21" t="s">
        <v>40</v>
      </c>
      <c r="CS7" s="21" t="s">
        <v>40</v>
      </c>
      <c r="CT7" s="21" t="s">
        <v>40</v>
      </c>
      <c r="CV7" s="21" t="s">
        <v>40</v>
      </c>
      <c r="CW7" s="21" t="s">
        <v>40</v>
      </c>
      <c r="CX7" s="21" t="s">
        <v>388</v>
      </c>
      <c r="CY7" s="22" t="s">
        <v>123</v>
      </c>
      <c r="CZ7" s="21" t="s">
        <v>123</v>
      </c>
      <c r="DA7" s="21" t="s">
        <v>701</v>
      </c>
      <c r="DC7" s="21" t="s">
        <v>40</v>
      </c>
      <c r="DD7" s="21" t="s">
        <v>40</v>
      </c>
      <c r="DE7" s="21" t="s">
        <v>123</v>
      </c>
      <c r="DF7" s="21" t="s">
        <v>40</v>
      </c>
      <c r="DG7" s="21" t="s">
        <v>123</v>
      </c>
      <c r="DI7" s="21" t="s">
        <v>123</v>
      </c>
      <c r="DJ7" s="21" t="s">
        <v>1140</v>
      </c>
      <c r="DL7" s="21" t="s">
        <v>40</v>
      </c>
      <c r="DM7" s="21" t="s">
        <v>40</v>
      </c>
      <c r="DO7" s="21" t="s">
        <v>40</v>
      </c>
      <c r="DP7" s="21" t="s">
        <v>40</v>
      </c>
      <c r="DQ7" s="21" t="s">
        <v>40</v>
      </c>
      <c r="DR7" s="21" t="s">
        <v>40</v>
      </c>
      <c r="DS7" s="21" t="s">
        <v>40</v>
      </c>
      <c r="DT7" s="21" t="s">
        <v>40</v>
      </c>
      <c r="DV7" s="21" t="s">
        <v>40</v>
      </c>
      <c r="DW7" s="21" t="s">
        <v>40</v>
      </c>
      <c r="DX7" s="21" t="s">
        <v>40</v>
      </c>
      <c r="DY7" s="21" t="s">
        <v>40</v>
      </c>
      <c r="DZ7" s="21" t="s">
        <v>40</v>
      </c>
    </row>
    <row r="8" spans="1:131" s="21" customFormat="1">
      <c r="E8" s="23" t="s">
        <v>161</v>
      </c>
      <c r="CY8" s="22"/>
    </row>
    <row r="10" spans="1:131" s="43" customFormat="1">
      <c r="A10" s="47"/>
      <c r="F10" s="47" t="s">
        <v>1124</v>
      </c>
      <c r="S10" s="44"/>
      <c r="T10" s="45"/>
      <c r="CY10" s="46"/>
    </row>
    <row r="11" spans="1:131">
      <c r="A11" s="24" t="s">
        <v>143</v>
      </c>
      <c r="B11" s="24" t="s">
        <v>142</v>
      </c>
      <c r="C11" s="24" t="s">
        <v>142</v>
      </c>
      <c r="D11" s="24" t="s">
        <v>142</v>
      </c>
      <c r="E11" s="24">
        <v>101</v>
      </c>
      <c r="F11" s="24" t="s">
        <v>655</v>
      </c>
      <c r="G11" s="24">
        <v>0</v>
      </c>
      <c r="H11" s="24">
        <v>500101</v>
      </c>
      <c r="I11" s="24" t="s">
        <v>655</v>
      </c>
      <c r="J11" s="24" t="s">
        <v>655</v>
      </c>
      <c r="K11" s="24" t="s">
        <v>641</v>
      </c>
      <c r="M11" s="24">
        <v>102</v>
      </c>
      <c r="N11" s="24">
        <v>0</v>
      </c>
      <c r="P11" s="25">
        <v>3</v>
      </c>
      <c r="Q11" s="25">
        <v>524289</v>
      </c>
      <c r="R11" s="24">
        <v>0</v>
      </c>
      <c r="S11" s="25">
        <v>0</v>
      </c>
      <c r="T11" s="24"/>
      <c r="U11" s="24">
        <v>0</v>
      </c>
      <c r="V11" s="25">
        <v>0</v>
      </c>
      <c r="W11" s="24">
        <v>0</v>
      </c>
      <c r="X11" s="24">
        <v>0</v>
      </c>
      <c r="Y11" s="24">
        <v>0</v>
      </c>
      <c r="Z11" s="24">
        <v>0</v>
      </c>
      <c r="AB11" s="24">
        <v>10006</v>
      </c>
      <c r="AC11" s="24">
        <v>100204</v>
      </c>
      <c r="AD11" s="24">
        <v>2000</v>
      </c>
      <c r="AE11" s="24">
        <v>-1</v>
      </c>
      <c r="AG11" s="24">
        <v>1</v>
      </c>
      <c r="AH11" s="24">
        <v>0</v>
      </c>
      <c r="AI11" s="24">
        <v>0</v>
      </c>
      <c r="AJ11" s="24">
        <v>0</v>
      </c>
      <c r="AK11" s="24">
        <v>0</v>
      </c>
      <c r="AL11" s="24">
        <v>0</v>
      </c>
      <c r="AM11" s="24">
        <v>0</v>
      </c>
      <c r="AN11" s="24">
        <v>0</v>
      </c>
      <c r="AO11" s="24">
        <v>0</v>
      </c>
      <c r="AP11" s="24">
        <v>0</v>
      </c>
      <c r="AQ11" s="24">
        <v>0</v>
      </c>
      <c r="AR11" s="24">
        <v>-1</v>
      </c>
      <c r="AS11" s="24">
        <v>0</v>
      </c>
      <c r="AT11" s="24">
        <v>0</v>
      </c>
      <c r="AU11" s="24">
        <v>0</v>
      </c>
      <c r="AV11" s="24">
        <v>0</v>
      </c>
      <c r="AW11" s="24">
        <v>0</v>
      </c>
      <c r="AX11" s="24">
        <v>0</v>
      </c>
      <c r="AY11" s="24">
        <v>0</v>
      </c>
      <c r="BA11" s="24">
        <v>0</v>
      </c>
      <c r="BB11" s="24">
        <v>0</v>
      </c>
      <c r="BC11" s="24">
        <v>2000</v>
      </c>
      <c r="BD11" s="24">
        <v>0</v>
      </c>
      <c r="BE11" s="24">
        <v>0</v>
      </c>
      <c r="BF11" s="24">
        <v>1</v>
      </c>
      <c r="BG11" s="25">
        <v>0</v>
      </c>
      <c r="BH11" s="24">
        <v>0</v>
      </c>
      <c r="BI11" s="24">
        <v>0</v>
      </c>
      <c r="BJ11" s="24">
        <v>0</v>
      </c>
      <c r="BK11" s="24">
        <v>0</v>
      </c>
      <c r="BL11" s="25">
        <v>126</v>
      </c>
      <c r="BM11" s="24">
        <v>0</v>
      </c>
      <c r="BO11" s="25">
        <v>1</v>
      </c>
      <c r="BP11" s="24">
        <v>5</v>
      </c>
      <c r="BQ11" s="24">
        <v>0</v>
      </c>
      <c r="BR11" s="24">
        <v>1</v>
      </c>
      <c r="BS11" s="24">
        <v>0</v>
      </c>
      <c r="BT11" s="24">
        <v>0</v>
      </c>
      <c r="BU11" s="24">
        <v>0</v>
      </c>
      <c r="BV11" s="24">
        <v>0</v>
      </c>
      <c r="BW11" s="24">
        <v>0</v>
      </c>
      <c r="BX11" s="24">
        <v>1</v>
      </c>
      <c r="BZ11" s="24">
        <v>-1</v>
      </c>
      <c r="CA11" s="24">
        <v>0</v>
      </c>
      <c r="CB11" s="24">
        <v>0</v>
      </c>
      <c r="CC11" s="24">
        <v>0</v>
      </c>
      <c r="CD11" s="24">
        <v>0</v>
      </c>
      <c r="CE11" s="24">
        <v>0</v>
      </c>
      <c r="CG11" s="24">
        <v>-1</v>
      </c>
      <c r="CH11" s="24">
        <v>0</v>
      </c>
      <c r="CI11" s="24">
        <v>0</v>
      </c>
      <c r="CJ11" s="24">
        <v>0</v>
      </c>
      <c r="CK11" s="24">
        <v>0</v>
      </c>
      <c r="CL11" s="24">
        <v>0</v>
      </c>
      <c r="CM11" s="24">
        <v>0</v>
      </c>
      <c r="CN11" s="24">
        <v>0</v>
      </c>
      <c r="CO11" s="24">
        <v>0</v>
      </c>
      <c r="CQ11" s="24">
        <v>0</v>
      </c>
      <c r="CR11" s="24">
        <v>0</v>
      </c>
      <c r="CS11" s="24">
        <v>0</v>
      </c>
      <c r="CT11" s="24">
        <v>0</v>
      </c>
      <c r="CV11" s="24">
        <v>0</v>
      </c>
      <c r="CW11" s="24">
        <v>0</v>
      </c>
      <c r="CX11" s="24">
        <v>2001</v>
      </c>
      <c r="CY11" s="26">
        <v>1</v>
      </c>
      <c r="CZ11" s="24">
        <v>0</v>
      </c>
      <c r="DA11" s="24">
        <v>0</v>
      </c>
      <c r="DC11" s="24">
        <v>1</v>
      </c>
      <c r="DD11" s="24">
        <v>1</v>
      </c>
      <c r="DE11" s="24">
        <v>0</v>
      </c>
      <c r="DF11" s="24">
        <v>0</v>
      </c>
      <c r="DG11" s="24">
        <v>-1</v>
      </c>
      <c r="DI11" s="24">
        <v>0</v>
      </c>
      <c r="DJ11" s="24">
        <v>0</v>
      </c>
      <c r="DL11" s="24">
        <v>0</v>
      </c>
      <c r="DM11" s="24">
        <v>0</v>
      </c>
      <c r="DO11" s="24">
        <v>0</v>
      </c>
      <c r="DP11" s="24">
        <v>0</v>
      </c>
      <c r="DQ11" s="24">
        <v>0</v>
      </c>
      <c r="DR11" s="24">
        <v>0</v>
      </c>
      <c r="DS11" s="24">
        <v>0</v>
      </c>
      <c r="DT11" s="24">
        <v>0</v>
      </c>
      <c r="DV11" s="24">
        <v>0</v>
      </c>
      <c r="DW11" s="24">
        <v>0</v>
      </c>
      <c r="DX11" s="24">
        <v>0</v>
      </c>
      <c r="DY11" s="24">
        <v>0</v>
      </c>
      <c r="DZ11" s="24">
        <v>0</v>
      </c>
    </row>
    <row r="12" spans="1:131">
      <c r="A12" s="24" t="s">
        <v>142</v>
      </c>
      <c r="B12" s="24" t="s">
        <v>142</v>
      </c>
      <c r="C12" s="24" t="s">
        <v>142</v>
      </c>
      <c r="D12" s="24" t="s">
        <v>142</v>
      </c>
      <c r="E12" s="24">
        <v>105</v>
      </c>
      <c r="F12" s="24" t="s">
        <v>1123</v>
      </c>
      <c r="G12" s="24">
        <v>0</v>
      </c>
      <c r="H12" s="24">
        <v>500105</v>
      </c>
      <c r="I12" s="24" t="s">
        <v>1116</v>
      </c>
      <c r="J12" s="24" t="s">
        <v>1116</v>
      </c>
      <c r="K12" s="24" t="s">
        <v>473</v>
      </c>
      <c r="M12" s="24">
        <v>0</v>
      </c>
      <c r="N12" s="24">
        <v>0</v>
      </c>
      <c r="P12" s="25">
        <v>17</v>
      </c>
      <c r="Q12" s="25">
        <v>0</v>
      </c>
      <c r="R12" s="24">
        <v>0</v>
      </c>
      <c r="S12" s="25">
        <v>0</v>
      </c>
      <c r="T12" s="24"/>
      <c r="U12" s="24">
        <v>0</v>
      </c>
      <c r="V12" s="25">
        <v>0</v>
      </c>
      <c r="W12" s="24">
        <v>0</v>
      </c>
      <c r="X12" s="24">
        <v>0</v>
      </c>
      <c r="Y12" s="24">
        <v>0</v>
      </c>
      <c r="Z12" s="24">
        <v>0</v>
      </c>
      <c r="AB12" s="24">
        <v>20004</v>
      </c>
      <c r="AC12" s="24">
        <v>5601</v>
      </c>
      <c r="AD12" s="24">
        <v>5610</v>
      </c>
      <c r="AE12" s="24">
        <v>-1</v>
      </c>
      <c r="AG12" s="24">
        <v>1</v>
      </c>
      <c r="AH12" s="24">
        <v>0</v>
      </c>
      <c r="AI12" s="24">
        <v>0</v>
      </c>
      <c r="AJ12" s="24">
        <v>0</v>
      </c>
      <c r="AK12" s="24">
        <v>0</v>
      </c>
      <c r="AL12" s="24">
        <v>0</v>
      </c>
      <c r="AM12" s="24">
        <v>0</v>
      </c>
      <c r="AN12" s="24">
        <v>0</v>
      </c>
      <c r="AO12" s="24">
        <v>0</v>
      </c>
      <c r="AP12" s="24">
        <v>0</v>
      </c>
      <c r="AQ12" s="24">
        <v>0</v>
      </c>
      <c r="AR12" s="24">
        <v>0</v>
      </c>
      <c r="AS12" s="24">
        <v>0</v>
      </c>
      <c r="AT12" s="24">
        <v>0</v>
      </c>
      <c r="AU12" s="24">
        <v>0</v>
      </c>
      <c r="AV12" s="24">
        <v>0</v>
      </c>
      <c r="AW12" s="24">
        <v>0</v>
      </c>
      <c r="AX12" s="24">
        <v>0</v>
      </c>
      <c r="AY12" s="24">
        <v>0</v>
      </c>
      <c r="BA12" s="24">
        <v>0</v>
      </c>
      <c r="BB12" s="24">
        <v>0</v>
      </c>
      <c r="BC12" s="24">
        <v>0</v>
      </c>
      <c r="BD12" s="24">
        <v>0</v>
      </c>
      <c r="BE12" s="24">
        <v>0</v>
      </c>
      <c r="BF12" s="24">
        <v>1</v>
      </c>
      <c r="BG12" s="25">
        <v>2</v>
      </c>
      <c r="BH12" s="24">
        <v>2</v>
      </c>
      <c r="BI12" s="24">
        <v>0</v>
      </c>
      <c r="BJ12" s="24">
        <v>0</v>
      </c>
      <c r="BK12" s="24">
        <v>0</v>
      </c>
      <c r="BL12" s="25">
        <v>126</v>
      </c>
      <c r="BM12" s="24">
        <v>0</v>
      </c>
      <c r="BO12" s="25">
        <v>1</v>
      </c>
      <c r="BP12" s="24">
        <v>0</v>
      </c>
      <c r="BQ12" s="24">
        <v>0</v>
      </c>
      <c r="BR12" s="24">
        <v>1</v>
      </c>
      <c r="BS12" s="24">
        <v>0</v>
      </c>
      <c r="BT12" s="24">
        <v>0</v>
      </c>
      <c r="BU12" s="24">
        <v>0</v>
      </c>
      <c r="BV12" s="24">
        <v>2</v>
      </c>
      <c r="BW12" s="24">
        <v>0</v>
      </c>
      <c r="BX12" s="24">
        <v>1</v>
      </c>
      <c r="BZ12" s="24">
        <v>-1</v>
      </c>
      <c r="CA12" s="24">
        <v>0</v>
      </c>
      <c r="CB12" s="24">
        <v>0</v>
      </c>
      <c r="CC12" s="24">
        <v>0</v>
      </c>
      <c r="CD12" s="24">
        <v>0</v>
      </c>
      <c r="CE12" s="24">
        <v>0</v>
      </c>
      <c r="CG12" s="24">
        <v>-1</v>
      </c>
      <c r="CH12" s="24">
        <v>0</v>
      </c>
      <c r="CI12" s="24">
        <v>0</v>
      </c>
      <c r="CJ12" s="24">
        <v>0</v>
      </c>
      <c r="CK12" s="24">
        <v>0</v>
      </c>
      <c r="CL12" s="24">
        <v>0</v>
      </c>
      <c r="CM12" s="24">
        <v>0</v>
      </c>
      <c r="CN12" s="24">
        <v>0</v>
      </c>
      <c r="CO12" s="24">
        <v>0</v>
      </c>
      <c r="CQ12" s="24">
        <v>0</v>
      </c>
      <c r="CR12" s="24">
        <v>0</v>
      </c>
      <c r="CS12" s="24">
        <v>0</v>
      </c>
      <c r="CT12" s="24">
        <v>0</v>
      </c>
      <c r="CV12" s="24">
        <v>0</v>
      </c>
      <c r="CW12" s="24">
        <v>0</v>
      </c>
      <c r="CX12" s="24">
        <v>-1</v>
      </c>
      <c r="CY12" s="26">
        <v>0</v>
      </c>
      <c r="CZ12" s="24">
        <v>0</v>
      </c>
      <c r="DA12" s="24">
        <v>0</v>
      </c>
      <c r="DC12" s="24">
        <v>1</v>
      </c>
      <c r="DD12" s="24">
        <v>1</v>
      </c>
      <c r="DE12" s="24">
        <v>0</v>
      </c>
      <c r="DF12" s="24">
        <v>0</v>
      </c>
      <c r="DG12" s="24">
        <v>-1</v>
      </c>
      <c r="DI12" s="24">
        <v>0</v>
      </c>
      <c r="DJ12" s="24">
        <v>0</v>
      </c>
      <c r="DL12" s="24">
        <v>0</v>
      </c>
      <c r="DM12" s="24">
        <v>0</v>
      </c>
      <c r="DO12" s="24">
        <v>0</v>
      </c>
      <c r="DP12" s="24">
        <v>0</v>
      </c>
      <c r="DQ12" s="24">
        <v>0</v>
      </c>
      <c r="DR12" s="24">
        <v>0</v>
      </c>
      <c r="DS12" s="24">
        <v>0</v>
      </c>
      <c r="DT12" s="24">
        <v>0</v>
      </c>
      <c r="DV12" s="24">
        <v>0</v>
      </c>
      <c r="DW12" s="24">
        <v>0</v>
      </c>
      <c r="DX12" s="24">
        <v>0</v>
      </c>
      <c r="DY12" s="24">
        <v>0</v>
      </c>
      <c r="DZ12" s="24">
        <v>0</v>
      </c>
    </row>
    <row r="13" spans="1:131">
      <c r="A13" s="24" t="s">
        <v>142</v>
      </c>
      <c r="B13" s="24" t="s">
        <v>142</v>
      </c>
      <c r="C13" s="24" t="s">
        <v>142</v>
      </c>
      <c r="D13" s="24" t="s">
        <v>142</v>
      </c>
      <c r="E13" s="24">
        <v>106</v>
      </c>
      <c r="F13" s="24" t="s">
        <v>1198</v>
      </c>
      <c r="G13" s="24">
        <v>0</v>
      </c>
      <c r="H13" s="24">
        <v>500105</v>
      </c>
      <c r="I13" s="24" t="s">
        <v>1116</v>
      </c>
      <c r="J13" s="24" t="s">
        <v>1116</v>
      </c>
      <c r="K13" s="24" t="s">
        <v>473</v>
      </c>
      <c r="M13" s="24">
        <v>0</v>
      </c>
      <c r="N13" s="24">
        <v>0</v>
      </c>
      <c r="P13" s="25">
        <v>17</v>
      </c>
      <c r="Q13" s="25">
        <v>0</v>
      </c>
      <c r="R13" s="24">
        <v>0</v>
      </c>
      <c r="S13" s="25">
        <v>0</v>
      </c>
      <c r="T13" s="24"/>
      <c r="U13" s="24">
        <v>0</v>
      </c>
      <c r="V13" s="25">
        <v>0</v>
      </c>
      <c r="W13" s="24">
        <v>0</v>
      </c>
      <c r="X13" s="24">
        <v>0</v>
      </c>
      <c r="Y13" s="24">
        <v>0</v>
      </c>
      <c r="Z13" s="24">
        <v>0</v>
      </c>
      <c r="AB13" s="24">
        <v>20004</v>
      </c>
      <c r="AC13" s="24">
        <v>5601</v>
      </c>
      <c r="AD13" s="24">
        <v>5610</v>
      </c>
      <c r="AE13" s="24">
        <v>-1</v>
      </c>
      <c r="AG13" s="24">
        <v>1</v>
      </c>
      <c r="AH13" s="24">
        <v>0</v>
      </c>
      <c r="AI13" s="24">
        <v>0</v>
      </c>
      <c r="AJ13" s="24">
        <v>0</v>
      </c>
      <c r="AK13" s="24">
        <v>0</v>
      </c>
      <c r="AL13" s="24">
        <v>0</v>
      </c>
      <c r="AM13" s="24">
        <v>0</v>
      </c>
      <c r="AN13" s="24">
        <v>0</v>
      </c>
      <c r="AO13" s="24">
        <v>0</v>
      </c>
      <c r="AP13" s="24">
        <v>0</v>
      </c>
      <c r="AQ13" s="24">
        <v>0</v>
      </c>
      <c r="AR13" s="24">
        <v>0</v>
      </c>
      <c r="AS13" s="24">
        <v>0</v>
      </c>
      <c r="AT13" s="24">
        <v>0</v>
      </c>
      <c r="AU13" s="24">
        <v>0</v>
      </c>
      <c r="AV13" s="24">
        <v>0</v>
      </c>
      <c r="AW13" s="24">
        <v>0</v>
      </c>
      <c r="AX13" s="24">
        <v>0</v>
      </c>
      <c r="AY13" s="24">
        <v>0</v>
      </c>
      <c r="BA13" s="24">
        <v>0</v>
      </c>
      <c r="BB13" s="24">
        <v>0</v>
      </c>
      <c r="BC13" s="24">
        <v>0</v>
      </c>
      <c r="BD13" s="24">
        <v>0</v>
      </c>
      <c r="BE13" s="24">
        <v>0</v>
      </c>
      <c r="BF13" s="24">
        <v>1</v>
      </c>
      <c r="BG13" s="25">
        <v>2</v>
      </c>
      <c r="BH13" s="24">
        <v>2</v>
      </c>
      <c r="BI13" s="24">
        <v>0</v>
      </c>
      <c r="BJ13" s="24">
        <v>0</v>
      </c>
      <c r="BK13" s="24">
        <v>0</v>
      </c>
      <c r="BL13" s="25">
        <v>126</v>
      </c>
      <c r="BM13" s="24">
        <v>0</v>
      </c>
      <c r="BO13" s="25">
        <v>1</v>
      </c>
      <c r="BP13" s="24">
        <v>0</v>
      </c>
      <c r="BQ13" s="24">
        <v>0</v>
      </c>
      <c r="BR13" s="24">
        <v>1</v>
      </c>
      <c r="BS13" s="24">
        <v>0</v>
      </c>
      <c r="BT13" s="24">
        <v>0</v>
      </c>
      <c r="BU13" s="24">
        <v>0</v>
      </c>
      <c r="BV13" s="24">
        <v>2</v>
      </c>
      <c r="BW13" s="24">
        <v>0</v>
      </c>
      <c r="BX13" s="24">
        <v>1</v>
      </c>
      <c r="BZ13" s="24">
        <v>2</v>
      </c>
      <c r="CA13" s="24">
        <v>0</v>
      </c>
      <c r="CB13" s="24">
        <v>0</v>
      </c>
      <c r="CC13" s="24">
        <v>0</v>
      </c>
      <c r="CD13" s="24">
        <v>0</v>
      </c>
      <c r="CE13" s="24">
        <v>0</v>
      </c>
      <c r="CG13" s="24">
        <v>-1</v>
      </c>
      <c r="CH13" s="24">
        <v>0</v>
      </c>
      <c r="CI13" s="24">
        <v>0</v>
      </c>
      <c r="CJ13" s="24">
        <v>0</v>
      </c>
      <c r="CK13" s="24">
        <v>0</v>
      </c>
      <c r="CL13" s="24">
        <v>0</v>
      </c>
      <c r="CM13" s="24">
        <v>0</v>
      </c>
      <c r="CN13" s="24">
        <v>0</v>
      </c>
      <c r="CO13" s="24">
        <v>0</v>
      </c>
      <c r="CQ13" s="24">
        <v>0</v>
      </c>
      <c r="CR13" s="24">
        <v>0</v>
      </c>
      <c r="CS13" s="24">
        <v>0</v>
      </c>
      <c r="CT13" s="24">
        <v>0</v>
      </c>
      <c r="CV13" s="24">
        <v>0</v>
      </c>
      <c r="CW13" s="24">
        <v>0</v>
      </c>
      <c r="CX13" s="24">
        <v>-1</v>
      </c>
      <c r="CY13" s="26">
        <v>0</v>
      </c>
      <c r="CZ13" s="24">
        <v>0</v>
      </c>
      <c r="DA13" s="24">
        <v>0</v>
      </c>
      <c r="DC13" s="24">
        <v>1</v>
      </c>
      <c r="DD13" s="24">
        <v>1</v>
      </c>
      <c r="DE13" s="24">
        <v>0</v>
      </c>
      <c r="DF13" s="24">
        <v>0</v>
      </c>
      <c r="DG13" s="24">
        <v>-1</v>
      </c>
      <c r="DI13" s="24">
        <v>0</v>
      </c>
      <c r="DJ13" s="24">
        <v>0</v>
      </c>
      <c r="DL13" s="24">
        <v>0</v>
      </c>
      <c r="DM13" s="24">
        <v>0</v>
      </c>
      <c r="DO13" s="24">
        <v>0</v>
      </c>
      <c r="DP13" s="24">
        <v>0</v>
      </c>
      <c r="DQ13" s="24">
        <v>0</v>
      </c>
      <c r="DR13" s="24">
        <v>0</v>
      </c>
      <c r="DS13" s="24">
        <v>0</v>
      </c>
      <c r="DT13" s="24">
        <v>0</v>
      </c>
      <c r="DV13" s="24">
        <v>0</v>
      </c>
      <c r="DW13" s="24">
        <v>0</v>
      </c>
      <c r="DX13" s="24">
        <v>0</v>
      </c>
      <c r="DY13" s="24">
        <v>0</v>
      </c>
      <c r="DZ13" s="24">
        <v>0</v>
      </c>
    </row>
    <row r="14" spans="1:131">
      <c r="K14" s="24" t="s">
        <v>639</v>
      </c>
      <c r="CV14" s="24" t="s">
        <v>639</v>
      </c>
    </row>
    <row r="15" spans="1:131" s="43" customFormat="1">
      <c r="A15" s="47"/>
      <c r="F15" s="47" t="s">
        <v>1125</v>
      </c>
      <c r="S15" s="44"/>
      <c r="T15" s="45"/>
      <c r="CY15" s="46"/>
    </row>
    <row r="17" spans="1:130">
      <c r="A17" s="24" t="s">
        <v>142</v>
      </c>
      <c r="B17" s="24" t="s">
        <v>142</v>
      </c>
      <c r="C17" s="24" t="s">
        <v>142</v>
      </c>
      <c r="D17" s="24" t="s">
        <v>142</v>
      </c>
      <c r="E17" s="24">
        <v>5001</v>
      </c>
      <c r="F17" s="24" t="s">
        <v>381</v>
      </c>
      <c r="G17" s="24">
        <v>0</v>
      </c>
      <c r="H17" s="24">
        <v>505001</v>
      </c>
      <c r="I17" s="24" t="s">
        <v>381</v>
      </c>
      <c r="J17" s="24" t="s">
        <v>381</v>
      </c>
      <c r="K17" s="24" t="s">
        <v>473</v>
      </c>
      <c r="M17" s="24">
        <v>0</v>
      </c>
      <c r="N17" s="24">
        <v>0</v>
      </c>
      <c r="P17" s="25">
        <v>4</v>
      </c>
      <c r="Q17" s="25">
        <v>0</v>
      </c>
      <c r="R17" s="24">
        <v>0</v>
      </c>
      <c r="S17" s="25">
        <v>0</v>
      </c>
      <c r="T17" s="24"/>
      <c r="U17" s="24">
        <v>0</v>
      </c>
      <c r="V17" s="25">
        <v>0</v>
      </c>
      <c r="W17" s="24">
        <v>0</v>
      </c>
      <c r="X17" s="24">
        <v>0</v>
      </c>
      <c r="Y17" s="24">
        <v>0</v>
      </c>
      <c r="Z17" s="24">
        <v>0</v>
      </c>
      <c r="AB17" s="24">
        <v>20003</v>
      </c>
      <c r="AC17" s="24">
        <v>0</v>
      </c>
      <c r="AD17" s="24">
        <v>0</v>
      </c>
      <c r="AE17" s="24">
        <v>0</v>
      </c>
      <c r="AG17" s="24">
        <v>1</v>
      </c>
      <c r="AH17" s="24">
        <v>0</v>
      </c>
      <c r="AI17" s="24">
        <v>0</v>
      </c>
      <c r="AJ17" s="24">
        <v>0</v>
      </c>
      <c r="AK17" s="24">
        <v>0</v>
      </c>
      <c r="AL17" s="24">
        <v>0</v>
      </c>
      <c r="AM17" s="24">
        <v>0</v>
      </c>
      <c r="AN17" s="24">
        <v>0</v>
      </c>
      <c r="AO17" s="24">
        <v>0</v>
      </c>
      <c r="AP17" s="24">
        <v>0</v>
      </c>
      <c r="AQ17" s="24">
        <v>0</v>
      </c>
      <c r="AR17" s="24">
        <v>-1</v>
      </c>
      <c r="AS17" s="24">
        <v>0</v>
      </c>
      <c r="AT17" s="24">
        <v>0</v>
      </c>
      <c r="AU17" s="24">
        <v>0</v>
      </c>
      <c r="AV17" s="24">
        <v>0</v>
      </c>
      <c r="AW17" s="24">
        <v>0</v>
      </c>
      <c r="AX17" s="24">
        <v>0</v>
      </c>
      <c r="AY17" s="24">
        <v>0</v>
      </c>
      <c r="BA17" s="24">
        <v>0</v>
      </c>
      <c r="BB17" s="24">
        <v>0</v>
      </c>
      <c r="BC17" s="24">
        <v>0</v>
      </c>
      <c r="BD17" s="24">
        <v>0</v>
      </c>
      <c r="BE17" s="24">
        <v>0</v>
      </c>
      <c r="BF17" s="24">
        <v>1</v>
      </c>
      <c r="BG17" s="25">
        <v>512</v>
      </c>
      <c r="BH17" s="24">
        <v>0</v>
      </c>
      <c r="BI17" s="24">
        <v>0</v>
      </c>
      <c r="BJ17" s="24">
        <v>0</v>
      </c>
      <c r="BK17" s="24">
        <v>0</v>
      </c>
      <c r="BL17" s="25">
        <v>126</v>
      </c>
      <c r="BM17" s="24">
        <v>0</v>
      </c>
      <c r="BO17" s="25">
        <v>1</v>
      </c>
      <c r="BP17" s="24">
        <v>0</v>
      </c>
      <c r="BQ17" s="24">
        <v>0</v>
      </c>
      <c r="BR17" s="24">
        <v>1</v>
      </c>
      <c r="BS17" s="24">
        <v>0</v>
      </c>
      <c r="BT17" s="24">
        <v>0</v>
      </c>
      <c r="BU17" s="24">
        <v>0</v>
      </c>
      <c r="BV17" s="24">
        <v>0</v>
      </c>
      <c r="BW17" s="24">
        <v>0</v>
      </c>
      <c r="BX17" s="24">
        <v>0</v>
      </c>
      <c r="BZ17" s="24">
        <v>-1</v>
      </c>
      <c r="CA17" s="24">
        <v>0</v>
      </c>
      <c r="CB17" s="24">
        <v>0</v>
      </c>
      <c r="CC17" s="24">
        <v>0</v>
      </c>
      <c r="CD17" s="24">
        <v>0</v>
      </c>
      <c r="CE17" s="24">
        <v>0</v>
      </c>
      <c r="CG17" s="24">
        <v>-1</v>
      </c>
      <c r="CH17" s="24">
        <v>0</v>
      </c>
      <c r="CI17" s="24">
        <v>0</v>
      </c>
      <c r="CJ17" s="24">
        <v>0</v>
      </c>
      <c r="CK17" s="24">
        <v>0</v>
      </c>
      <c r="CL17" s="24">
        <v>0</v>
      </c>
      <c r="CM17" s="24">
        <v>0</v>
      </c>
      <c r="CN17" s="24">
        <v>0</v>
      </c>
      <c r="CO17" s="24">
        <v>0</v>
      </c>
      <c r="CQ17" s="24">
        <v>0</v>
      </c>
      <c r="CR17" s="24">
        <v>0</v>
      </c>
      <c r="CS17" s="24">
        <v>0</v>
      </c>
      <c r="CT17" s="24">
        <v>0</v>
      </c>
      <c r="CV17" s="24">
        <v>0</v>
      </c>
      <c r="CW17" s="24">
        <v>0</v>
      </c>
      <c r="CX17" s="24">
        <v>-1</v>
      </c>
      <c r="CY17" s="26">
        <v>0</v>
      </c>
      <c r="CZ17" s="24">
        <v>0</v>
      </c>
      <c r="DA17" s="24">
        <v>0</v>
      </c>
      <c r="DC17" s="24">
        <v>1</v>
      </c>
      <c r="DD17" s="24">
        <v>1</v>
      </c>
      <c r="DE17" s="24">
        <v>0</v>
      </c>
      <c r="DF17" s="24">
        <v>0</v>
      </c>
      <c r="DG17" s="24">
        <v>-1</v>
      </c>
      <c r="DI17" s="24">
        <v>0</v>
      </c>
      <c r="DJ17" s="24">
        <v>0</v>
      </c>
      <c r="DL17" s="24">
        <v>0</v>
      </c>
      <c r="DM17" s="24">
        <v>0</v>
      </c>
      <c r="DO17" s="24">
        <v>0</v>
      </c>
      <c r="DP17" s="24">
        <v>0</v>
      </c>
      <c r="DQ17" s="24">
        <v>0</v>
      </c>
      <c r="DR17" s="24">
        <v>0</v>
      </c>
      <c r="DS17" s="24">
        <v>0</v>
      </c>
      <c r="DT17" s="24">
        <v>0</v>
      </c>
      <c r="DV17" s="24">
        <v>0</v>
      </c>
      <c r="DW17" s="24">
        <v>0</v>
      </c>
      <c r="DX17" s="24">
        <v>0</v>
      </c>
      <c r="DY17" s="24">
        <v>0</v>
      </c>
      <c r="DZ17" s="24">
        <v>0</v>
      </c>
    </row>
    <row r="18" spans="1:130">
      <c r="A18" s="24" t="s">
        <v>142</v>
      </c>
      <c r="B18" s="24" t="s">
        <v>142</v>
      </c>
      <c r="C18" s="24" t="s">
        <v>142</v>
      </c>
      <c r="D18" s="24" t="s">
        <v>142</v>
      </c>
      <c r="E18" s="24">
        <v>5002</v>
      </c>
      <c r="F18" s="24" t="s">
        <v>243</v>
      </c>
      <c r="G18" s="24">
        <v>0</v>
      </c>
      <c r="H18" s="24">
        <v>505002</v>
      </c>
      <c r="I18" s="24" t="s">
        <v>243</v>
      </c>
      <c r="J18" s="24" t="s">
        <v>243</v>
      </c>
      <c r="K18" s="24" t="s">
        <v>559</v>
      </c>
      <c r="M18" s="24">
        <v>102</v>
      </c>
      <c r="N18" s="24">
        <v>0</v>
      </c>
      <c r="P18" s="25">
        <v>2</v>
      </c>
      <c r="Q18" s="25">
        <v>655360</v>
      </c>
      <c r="R18" s="24">
        <v>0</v>
      </c>
      <c r="S18" s="25">
        <v>0</v>
      </c>
      <c r="T18" s="24"/>
      <c r="U18" s="24">
        <v>0</v>
      </c>
      <c r="V18" s="25">
        <v>0</v>
      </c>
      <c r="W18" s="24">
        <v>0</v>
      </c>
      <c r="X18" s="24">
        <v>0</v>
      </c>
      <c r="Y18" s="24">
        <v>0</v>
      </c>
      <c r="Z18" s="24">
        <v>0</v>
      </c>
      <c r="AB18" s="24">
        <v>10001</v>
      </c>
      <c r="AC18" s="24">
        <v>-1</v>
      </c>
      <c r="AD18" s="24">
        <v>-1</v>
      </c>
      <c r="AE18" s="24">
        <v>-1</v>
      </c>
      <c r="AG18" s="24">
        <v>1</v>
      </c>
      <c r="AH18" s="24">
        <v>0</v>
      </c>
      <c r="AI18" s="24">
        <v>0</v>
      </c>
      <c r="AJ18" s="24">
        <v>0</v>
      </c>
      <c r="AK18" s="24">
        <v>0</v>
      </c>
      <c r="AL18" s="24">
        <v>0</v>
      </c>
      <c r="AM18" s="24">
        <v>0</v>
      </c>
      <c r="AN18" s="24">
        <v>0</v>
      </c>
      <c r="AO18" s="24">
        <v>0</v>
      </c>
      <c r="AP18" s="24">
        <v>0</v>
      </c>
      <c r="AQ18" s="24">
        <v>0</v>
      </c>
      <c r="AR18" s="24">
        <v>-1</v>
      </c>
      <c r="AS18" s="24">
        <v>0</v>
      </c>
      <c r="AT18" s="24">
        <v>0</v>
      </c>
      <c r="AU18" s="24">
        <v>0</v>
      </c>
      <c r="AV18" s="24">
        <v>0</v>
      </c>
      <c r="AW18" s="24">
        <v>0</v>
      </c>
      <c r="AX18" s="24">
        <v>0</v>
      </c>
      <c r="AY18" s="24">
        <v>0</v>
      </c>
      <c r="BA18" s="24">
        <v>0</v>
      </c>
      <c r="BB18" s="24">
        <v>400</v>
      </c>
      <c r="BC18" s="24">
        <v>700</v>
      </c>
      <c r="BD18" s="24">
        <v>0</v>
      </c>
      <c r="BE18" s="24">
        <v>200</v>
      </c>
      <c r="BF18" s="24">
        <v>1</v>
      </c>
      <c r="BG18" s="25">
        <v>1</v>
      </c>
      <c r="BH18" s="24">
        <v>1</v>
      </c>
      <c r="BI18" s="24">
        <v>0</v>
      </c>
      <c r="BJ18" s="24">
        <v>0</v>
      </c>
      <c r="BK18" s="24">
        <v>0</v>
      </c>
      <c r="BL18" s="25">
        <v>126</v>
      </c>
      <c r="BM18" s="24">
        <v>0</v>
      </c>
      <c r="BO18" s="25">
        <v>16</v>
      </c>
      <c r="BP18" s="24">
        <v>3</v>
      </c>
      <c r="BQ18" s="24">
        <v>2</v>
      </c>
      <c r="BR18" s="24">
        <v>3</v>
      </c>
      <c r="BS18" s="24">
        <v>1</v>
      </c>
      <c r="BT18" s="24">
        <v>30</v>
      </c>
      <c r="BU18" s="24">
        <v>10</v>
      </c>
      <c r="BV18" s="24">
        <v>6</v>
      </c>
      <c r="BW18" s="24">
        <v>0</v>
      </c>
      <c r="BX18" s="24">
        <v>3</v>
      </c>
      <c r="BZ18" s="24">
        <v>-1</v>
      </c>
      <c r="CA18" s="24">
        <v>0</v>
      </c>
      <c r="CB18" s="24">
        <v>0</v>
      </c>
      <c r="CC18" s="24">
        <v>0</v>
      </c>
      <c r="CD18" s="24">
        <v>0</v>
      </c>
      <c r="CE18" s="24">
        <v>0</v>
      </c>
      <c r="CG18" s="24">
        <v>1</v>
      </c>
      <c r="CH18" s="24">
        <v>0</v>
      </c>
      <c r="CI18" s="24">
        <v>0</v>
      </c>
      <c r="CJ18" s="24">
        <v>0</v>
      </c>
      <c r="CK18" s="24">
        <v>1</v>
      </c>
      <c r="CL18" s="24">
        <v>0.5</v>
      </c>
      <c r="CM18" s="24">
        <v>-1</v>
      </c>
      <c r="CN18" s="24">
        <v>700</v>
      </c>
      <c r="CO18" s="24">
        <v>700</v>
      </c>
      <c r="CQ18" s="24">
        <v>0.5</v>
      </c>
      <c r="CR18" s="24">
        <v>0</v>
      </c>
      <c r="CS18" s="24">
        <v>0</v>
      </c>
      <c r="CT18" s="24">
        <v>0</v>
      </c>
      <c r="CV18" s="24">
        <v>100101</v>
      </c>
      <c r="CW18" s="24">
        <v>51</v>
      </c>
      <c r="CX18" s="24">
        <v>1001</v>
      </c>
      <c r="CY18" s="26">
        <v>1</v>
      </c>
      <c r="CZ18" s="24">
        <v>1</v>
      </c>
      <c r="DA18" s="24">
        <v>0</v>
      </c>
      <c r="DC18" s="24">
        <v>0</v>
      </c>
      <c r="DD18" s="24">
        <v>0</v>
      </c>
      <c r="DE18" s="24">
        <v>0</v>
      </c>
      <c r="DF18" s="24">
        <v>0</v>
      </c>
      <c r="DG18" s="24">
        <v>-1</v>
      </c>
      <c r="DI18" s="24">
        <v>0</v>
      </c>
      <c r="DJ18" s="24">
        <v>0</v>
      </c>
      <c r="DL18" s="24">
        <v>0</v>
      </c>
      <c r="DM18" s="24">
        <v>0</v>
      </c>
      <c r="DO18" s="24">
        <v>0</v>
      </c>
      <c r="DP18" s="24">
        <v>0</v>
      </c>
      <c r="DQ18" s="24">
        <v>0</v>
      </c>
      <c r="DR18" s="24">
        <v>0</v>
      </c>
      <c r="DS18" s="24">
        <v>0</v>
      </c>
      <c r="DT18" s="24">
        <v>0</v>
      </c>
      <c r="DV18" s="24">
        <v>0</v>
      </c>
      <c r="DW18" s="24">
        <v>0</v>
      </c>
      <c r="DX18" s="24">
        <v>0</v>
      </c>
      <c r="DY18" s="24">
        <v>0</v>
      </c>
      <c r="DZ18" s="24">
        <v>0</v>
      </c>
    </row>
    <row r="19" spans="1:130">
      <c r="A19" s="24" t="s">
        <v>142</v>
      </c>
      <c r="B19" s="24" t="s">
        <v>142</v>
      </c>
      <c r="C19" s="24" t="s">
        <v>142</v>
      </c>
      <c r="D19" s="24" t="s">
        <v>142</v>
      </c>
      <c r="E19" s="24">
        <v>5003</v>
      </c>
      <c r="F19" s="24" t="s">
        <v>382</v>
      </c>
      <c r="G19" s="24">
        <v>0</v>
      </c>
      <c r="H19" s="24">
        <v>505003</v>
      </c>
      <c r="I19" s="24" t="s">
        <v>244</v>
      </c>
      <c r="J19" s="24" t="s">
        <v>244</v>
      </c>
      <c r="K19" s="24" t="s">
        <v>473</v>
      </c>
      <c r="M19" s="24">
        <v>102</v>
      </c>
      <c r="N19" s="24">
        <v>0</v>
      </c>
      <c r="P19" s="25">
        <v>2</v>
      </c>
      <c r="Q19" s="25">
        <v>655360</v>
      </c>
      <c r="R19" s="24">
        <v>5002</v>
      </c>
      <c r="S19" s="25">
        <v>0</v>
      </c>
      <c r="T19" s="24"/>
      <c r="U19" s="24">
        <v>0</v>
      </c>
      <c r="V19" s="25">
        <v>0</v>
      </c>
      <c r="W19" s="24">
        <v>0</v>
      </c>
      <c r="X19" s="24">
        <v>0</v>
      </c>
      <c r="Y19" s="24">
        <v>0</v>
      </c>
      <c r="Z19" s="24">
        <v>0</v>
      </c>
      <c r="AB19" s="24">
        <v>10001</v>
      </c>
      <c r="AC19" s="24">
        <v>-1</v>
      </c>
      <c r="AD19" s="24">
        <v>-1</v>
      </c>
      <c r="AE19" s="24">
        <v>-1</v>
      </c>
      <c r="AG19" s="24">
        <v>1</v>
      </c>
      <c r="AH19" s="24">
        <v>0</v>
      </c>
      <c r="AI19" s="24">
        <v>0</v>
      </c>
      <c r="AJ19" s="24">
        <v>0</v>
      </c>
      <c r="AK19" s="24">
        <v>0</v>
      </c>
      <c r="AL19" s="24">
        <v>0</v>
      </c>
      <c r="AM19" s="24">
        <v>0</v>
      </c>
      <c r="AN19" s="24">
        <v>0</v>
      </c>
      <c r="AO19" s="24">
        <v>0</v>
      </c>
      <c r="AP19" s="24">
        <v>0</v>
      </c>
      <c r="AQ19" s="24">
        <v>0</v>
      </c>
      <c r="AR19" s="24">
        <v>-1</v>
      </c>
      <c r="AS19" s="24">
        <v>0</v>
      </c>
      <c r="AT19" s="24">
        <v>0</v>
      </c>
      <c r="AU19" s="24">
        <v>0</v>
      </c>
      <c r="AV19" s="24">
        <v>0</v>
      </c>
      <c r="AW19" s="24">
        <v>0</v>
      </c>
      <c r="AX19" s="24">
        <v>0</v>
      </c>
      <c r="AY19" s="24">
        <v>0</v>
      </c>
      <c r="BA19" s="24">
        <v>0</v>
      </c>
      <c r="BB19" s="24">
        <v>500</v>
      </c>
      <c r="BC19" s="24">
        <v>800</v>
      </c>
      <c r="BD19" s="24">
        <v>0</v>
      </c>
      <c r="BE19" s="24">
        <v>200</v>
      </c>
      <c r="BF19" s="24">
        <v>1</v>
      </c>
      <c r="BG19" s="25">
        <v>1</v>
      </c>
      <c r="BH19" s="24">
        <v>1</v>
      </c>
      <c r="BI19" s="24">
        <v>0</v>
      </c>
      <c r="BJ19" s="24">
        <v>0</v>
      </c>
      <c r="BK19" s="24">
        <v>0</v>
      </c>
      <c r="BL19" s="25">
        <v>126</v>
      </c>
      <c r="BM19" s="24">
        <v>0</v>
      </c>
      <c r="BO19" s="25">
        <v>16</v>
      </c>
      <c r="BP19" s="24">
        <v>3</v>
      </c>
      <c r="BQ19" s="24">
        <v>2</v>
      </c>
      <c r="BR19" s="24">
        <v>3</v>
      </c>
      <c r="BS19" s="24">
        <v>1</v>
      </c>
      <c r="BT19" s="24">
        <v>30</v>
      </c>
      <c r="BU19" s="24">
        <v>10</v>
      </c>
      <c r="BV19" s="24">
        <v>6</v>
      </c>
      <c r="BW19" s="24">
        <v>0</v>
      </c>
      <c r="BX19" s="24">
        <v>3</v>
      </c>
      <c r="BZ19" s="24">
        <v>-1</v>
      </c>
      <c r="CA19" s="24">
        <v>0</v>
      </c>
      <c r="CB19" s="24">
        <v>0</v>
      </c>
      <c r="CC19" s="24">
        <v>0</v>
      </c>
      <c r="CD19" s="24">
        <v>0</v>
      </c>
      <c r="CE19" s="24">
        <v>0</v>
      </c>
      <c r="CG19" s="24">
        <v>1</v>
      </c>
      <c r="CH19" s="24">
        <v>0</v>
      </c>
      <c r="CI19" s="24">
        <v>0</v>
      </c>
      <c r="CJ19" s="24">
        <v>0</v>
      </c>
      <c r="CK19" s="24">
        <v>1</v>
      </c>
      <c r="CL19" s="24">
        <v>0.5</v>
      </c>
      <c r="CM19" s="24">
        <v>-1</v>
      </c>
      <c r="CN19" s="24">
        <v>700</v>
      </c>
      <c r="CO19" s="24">
        <v>700</v>
      </c>
      <c r="CQ19" s="24">
        <v>0.5</v>
      </c>
      <c r="CR19" s="24">
        <v>0</v>
      </c>
      <c r="CS19" s="24">
        <v>0</v>
      </c>
      <c r="CT19" s="24">
        <v>0</v>
      </c>
      <c r="CV19" s="24">
        <v>100102</v>
      </c>
      <c r="CW19" s="24">
        <v>51</v>
      </c>
      <c r="CX19" s="24">
        <v>1002</v>
      </c>
      <c r="CY19" s="26">
        <v>1</v>
      </c>
      <c r="CZ19" s="24">
        <v>1</v>
      </c>
      <c r="DA19" s="24">
        <v>0</v>
      </c>
      <c r="DC19" s="24">
        <v>0</v>
      </c>
      <c r="DD19" s="24">
        <v>0</v>
      </c>
      <c r="DE19" s="24">
        <v>0</v>
      </c>
      <c r="DF19" s="24">
        <v>0</v>
      </c>
      <c r="DG19" s="24">
        <v>-1</v>
      </c>
      <c r="DI19" s="24">
        <v>0</v>
      </c>
      <c r="DJ19" s="24">
        <v>0</v>
      </c>
      <c r="DL19" s="24">
        <v>0</v>
      </c>
      <c r="DM19" s="24">
        <v>0</v>
      </c>
      <c r="DO19" s="24">
        <v>0</v>
      </c>
      <c r="DP19" s="24">
        <v>0</v>
      </c>
      <c r="DQ19" s="24">
        <v>0</v>
      </c>
      <c r="DR19" s="24">
        <v>0</v>
      </c>
      <c r="DS19" s="24">
        <v>0</v>
      </c>
      <c r="DT19" s="24">
        <v>0</v>
      </c>
      <c r="DV19" s="24">
        <v>0</v>
      </c>
      <c r="DW19" s="24">
        <v>0</v>
      </c>
      <c r="DX19" s="24">
        <v>0</v>
      </c>
      <c r="DY19" s="24">
        <v>0</v>
      </c>
      <c r="DZ19" s="24">
        <v>0</v>
      </c>
    </row>
    <row r="20" spans="1:130">
      <c r="A20" s="24" t="s">
        <v>142</v>
      </c>
      <c r="B20" s="24" t="s">
        <v>142</v>
      </c>
      <c r="C20" s="24" t="s">
        <v>142</v>
      </c>
      <c r="D20" s="24" t="s">
        <v>142</v>
      </c>
      <c r="E20" s="24">
        <v>5004</v>
      </c>
      <c r="F20" s="24" t="s">
        <v>245</v>
      </c>
      <c r="G20" s="24">
        <v>0</v>
      </c>
      <c r="H20" s="24">
        <v>505004</v>
      </c>
      <c r="I20" s="24" t="s">
        <v>245</v>
      </c>
      <c r="J20" s="24" t="s">
        <v>245</v>
      </c>
      <c r="K20" s="24" t="s">
        <v>473</v>
      </c>
      <c r="M20" s="24">
        <v>102</v>
      </c>
      <c r="N20" s="24">
        <v>0</v>
      </c>
      <c r="P20" s="25">
        <v>2</v>
      </c>
      <c r="Q20" s="25">
        <v>655360</v>
      </c>
      <c r="R20" s="24">
        <v>5002</v>
      </c>
      <c r="S20" s="25">
        <v>0</v>
      </c>
      <c r="T20" s="24"/>
      <c r="U20" s="24">
        <v>0</v>
      </c>
      <c r="V20" s="25">
        <v>0</v>
      </c>
      <c r="W20" s="24">
        <v>0</v>
      </c>
      <c r="X20" s="24">
        <v>0</v>
      </c>
      <c r="Y20" s="24">
        <v>0</v>
      </c>
      <c r="Z20" s="24">
        <v>0</v>
      </c>
      <c r="AB20" s="24">
        <v>10001</v>
      </c>
      <c r="AC20" s="24">
        <v>-1</v>
      </c>
      <c r="AD20" s="24">
        <v>-1</v>
      </c>
      <c r="AE20" s="24">
        <v>-1</v>
      </c>
      <c r="AG20" s="24">
        <v>1</v>
      </c>
      <c r="AH20" s="24">
        <v>0</v>
      </c>
      <c r="AI20" s="24">
        <v>0</v>
      </c>
      <c r="AJ20" s="24">
        <v>0</v>
      </c>
      <c r="AK20" s="24">
        <v>0</v>
      </c>
      <c r="AL20" s="24">
        <v>0</v>
      </c>
      <c r="AM20" s="24">
        <v>0</v>
      </c>
      <c r="AN20" s="24">
        <v>0</v>
      </c>
      <c r="AO20" s="24">
        <v>0</v>
      </c>
      <c r="AP20" s="24">
        <v>0</v>
      </c>
      <c r="AQ20" s="24">
        <v>0</v>
      </c>
      <c r="AR20" s="24">
        <v>-1</v>
      </c>
      <c r="AS20" s="24">
        <v>0</v>
      </c>
      <c r="AT20" s="24">
        <v>0</v>
      </c>
      <c r="AU20" s="24">
        <v>0</v>
      </c>
      <c r="AV20" s="24">
        <v>0</v>
      </c>
      <c r="AW20" s="24">
        <v>0</v>
      </c>
      <c r="AX20" s="24">
        <v>0</v>
      </c>
      <c r="AY20" s="24">
        <v>0</v>
      </c>
      <c r="BA20" s="24">
        <v>0</v>
      </c>
      <c r="BB20" s="24">
        <v>700</v>
      </c>
      <c r="BC20" s="24">
        <v>1500</v>
      </c>
      <c r="BD20" s="24">
        <v>0</v>
      </c>
      <c r="BE20" s="24">
        <v>200</v>
      </c>
      <c r="BF20" s="24">
        <v>1</v>
      </c>
      <c r="BG20" s="25">
        <v>1</v>
      </c>
      <c r="BH20" s="24">
        <v>1</v>
      </c>
      <c r="BI20" s="24">
        <v>0</v>
      </c>
      <c r="BJ20" s="24">
        <v>0</v>
      </c>
      <c r="BK20" s="24">
        <v>0</v>
      </c>
      <c r="BL20" s="25">
        <v>126</v>
      </c>
      <c r="BM20" s="24">
        <v>0</v>
      </c>
      <c r="BO20" s="25">
        <v>16</v>
      </c>
      <c r="BP20" s="24">
        <v>3</v>
      </c>
      <c r="BQ20" s="24">
        <v>2</v>
      </c>
      <c r="BR20" s="24">
        <v>3</v>
      </c>
      <c r="BS20" s="24">
        <v>1</v>
      </c>
      <c r="BT20" s="24">
        <v>30</v>
      </c>
      <c r="BU20" s="24">
        <v>10</v>
      </c>
      <c r="BV20" s="24">
        <v>6</v>
      </c>
      <c r="BW20" s="24">
        <v>0</v>
      </c>
      <c r="BX20" s="24">
        <v>3</v>
      </c>
      <c r="BZ20" s="24">
        <v>-1</v>
      </c>
      <c r="CA20" s="24">
        <v>0</v>
      </c>
      <c r="CB20" s="24">
        <v>0</v>
      </c>
      <c r="CC20" s="24">
        <v>0</v>
      </c>
      <c r="CD20" s="24">
        <v>0</v>
      </c>
      <c r="CE20" s="24">
        <v>0</v>
      </c>
      <c r="CG20" s="24">
        <v>1</v>
      </c>
      <c r="CH20" s="24">
        <v>0</v>
      </c>
      <c r="CI20" s="24">
        <v>0</v>
      </c>
      <c r="CJ20" s="24">
        <v>0</v>
      </c>
      <c r="CK20" s="24">
        <v>1</v>
      </c>
      <c r="CL20" s="24">
        <v>1</v>
      </c>
      <c r="CM20" s="24">
        <v>-1</v>
      </c>
      <c r="CN20" s="24">
        <v>700</v>
      </c>
      <c r="CO20" s="24">
        <v>700</v>
      </c>
      <c r="CQ20" s="24">
        <v>1</v>
      </c>
      <c r="CR20" s="24">
        <v>0</v>
      </c>
      <c r="CS20" s="24">
        <v>0</v>
      </c>
      <c r="CT20" s="24">
        <v>0</v>
      </c>
      <c r="CV20" s="24">
        <v>100103</v>
      </c>
      <c r="CW20" s="24">
        <v>51</v>
      </c>
      <c r="CX20" s="24">
        <v>1003</v>
      </c>
      <c r="CY20" s="26">
        <v>1</v>
      </c>
      <c r="CZ20" s="24">
        <v>1</v>
      </c>
      <c r="DA20" s="24">
        <v>0</v>
      </c>
      <c r="DC20" s="24">
        <v>0</v>
      </c>
      <c r="DD20" s="24">
        <v>0</v>
      </c>
      <c r="DE20" s="24">
        <v>0</v>
      </c>
      <c r="DF20" s="24">
        <v>0</v>
      </c>
      <c r="DG20" s="24">
        <v>-1</v>
      </c>
      <c r="DI20" s="24">
        <v>0</v>
      </c>
      <c r="DJ20" s="24">
        <v>0</v>
      </c>
      <c r="DL20" s="24">
        <v>0</v>
      </c>
      <c r="DM20" s="24">
        <v>0</v>
      </c>
      <c r="DO20" s="24">
        <v>0</v>
      </c>
      <c r="DP20" s="24">
        <v>0</v>
      </c>
      <c r="DQ20" s="24">
        <v>0</v>
      </c>
      <c r="DR20" s="24">
        <v>0</v>
      </c>
      <c r="DS20" s="24">
        <v>0</v>
      </c>
      <c r="DT20" s="24">
        <v>0</v>
      </c>
      <c r="DV20" s="24">
        <v>0</v>
      </c>
      <c r="DW20" s="24">
        <v>0</v>
      </c>
      <c r="DX20" s="24">
        <v>0</v>
      </c>
      <c r="DY20" s="24">
        <v>0</v>
      </c>
      <c r="DZ20" s="24">
        <v>0</v>
      </c>
    </row>
    <row r="21" spans="1:130">
      <c r="A21" s="24" t="s">
        <v>142</v>
      </c>
      <c r="B21" s="24" t="s">
        <v>142</v>
      </c>
      <c r="C21" s="24" t="s">
        <v>142</v>
      </c>
      <c r="D21" s="24" t="s">
        <v>142</v>
      </c>
      <c r="E21" s="24">
        <v>5006</v>
      </c>
      <c r="F21" s="24" t="s">
        <v>384</v>
      </c>
      <c r="G21" s="24">
        <v>0</v>
      </c>
      <c r="H21" s="24">
        <v>505006</v>
      </c>
      <c r="I21" s="24" t="s">
        <v>384</v>
      </c>
      <c r="J21" s="24" t="s">
        <v>384</v>
      </c>
      <c r="K21" s="24" t="s">
        <v>560</v>
      </c>
      <c r="M21" s="24">
        <v>102</v>
      </c>
      <c r="N21" s="24">
        <v>0</v>
      </c>
      <c r="P21" s="25">
        <v>2</v>
      </c>
      <c r="Q21" s="25">
        <v>528640</v>
      </c>
      <c r="R21" s="24">
        <v>0</v>
      </c>
      <c r="S21" s="25">
        <v>0</v>
      </c>
      <c r="T21" s="24"/>
      <c r="U21" s="24">
        <v>0</v>
      </c>
      <c r="V21" s="25">
        <v>0</v>
      </c>
      <c r="W21" s="24">
        <v>0</v>
      </c>
      <c r="X21" s="24">
        <v>0</v>
      </c>
      <c r="Y21" s="24">
        <v>0</v>
      </c>
      <c r="Z21" s="24">
        <v>0</v>
      </c>
      <c r="AB21" s="24">
        <v>10001</v>
      </c>
      <c r="AC21" s="24">
        <v>-1</v>
      </c>
      <c r="AD21" s="24">
        <v>-1</v>
      </c>
      <c r="AE21" s="24">
        <v>-1</v>
      </c>
      <c r="AG21" s="24">
        <v>2</v>
      </c>
      <c r="AH21" s="24">
        <v>0</v>
      </c>
      <c r="AI21" s="24">
        <v>0</v>
      </c>
      <c r="AJ21" s="24">
        <v>0</v>
      </c>
      <c r="AK21" s="24">
        <v>0</v>
      </c>
      <c r="AL21" s="24">
        <v>1</v>
      </c>
      <c r="AM21" s="24">
        <v>0</v>
      </c>
      <c r="AN21" s="24">
        <v>0</v>
      </c>
      <c r="AO21" s="24">
        <v>0</v>
      </c>
      <c r="AP21" s="24">
        <v>900</v>
      </c>
      <c r="AQ21" s="24">
        <v>11</v>
      </c>
      <c r="AR21" s="24">
        <v>-1</v>
      </c>
      <c r="AS21" s="24">
        <v>0</v>
      </c>
      <c r="AT21" s="24">
        <v>0</v>
      </c>
      <c r="AU21" s="24">
        <v>0</v>
      </c>
      <c r="AV21" s="24">
        <v>0</v>
      </c>
      <c r="AW21" s="24">
        <v>0</v>
      </c>
      <c r="AX21" s="24">
        <v>0</v>
      </c>
      <c r="AY21" s="24">
        <v>0</v>
      </c>
      <c r="BA21" s="24">
        <v>0</v>
      </c>
      <c r="BB21" s="24">
        <v>500</v>
      </c>
      <c r="BC21" s="24">
        <v>1900</v>
      </c>
      <c r="BD21" s="24">
        <v>0</v>
      </c>
      <c r="BE21" s="24">
        <v>200</v>
      </c>
      <c r="BF21" s="24">
        <v>1</v>
      </c>
      <c r="BG21" s="25">
        <v>1024</v>
      </c>
      <c r="BH21" s="24">
        <v>0</v>
      </c>
      <c r="BI21" s="24">
        <v>0</v>
      </c>
      <c r="BJ21" s="24">
        <v>0</v>
      </c>
      <c r="BK21" s="24">
        <v>0</v>
      </c>
      <c r="BL21" s="25">
        <v>126</v>
      </c>
      <c r="BM21" s="24">
        <v>0</v>
      </c>
      <c r="BO21" s="25">
        <v>16</v>
      </c>
      <c r="BP21" s="24">
        <v>0</v>
      </c>
      <c r="BQ21" s="24">
        <v>0</v>
      </c>
      <c r="BR21" s="24">
        <v>0</v>
      </c>
      <c r="BS21" s="24">
        <v>0</v>
      </c>
      <c r="BT21" s="24">
        <v>0</v>
      </c>
      <c r="BU21" s="24">
        <v>0</v>
      </c>
      <c r="BV21" s="24">
        <v>0</v>
      </c>
      <c r="BW21" s="24">
        <v>0</v>
      </c>
      <c r="BX21" s="24">
        <v>0</v>
      </c>
      <c r="BZ21" s="24">
        <v>5006</v>
      </c>
      <c r="CA21" s="24">
        <v>0</v>
      </c>
      <c r="CB21" s="24">
        <v>0</v>
      </c>
      <c r="CC21" s="24">
        <v>0</v>
      </c>
      <c r="CD21" s="24">
        <v>0</v>
      </c>
      <c r="CE21" s="24">
        <v>0</v>
      </c>
      <c r="CG21" s="24">
        <v>-1</v>
      </c>
      <c r="CH21" s="24">
        <v>0</v>
      </c>
      <c r="CI21" s="24">
        <v>0</v>
      </c>
      <c r="CJ21" s="24">
        <v>0</v>
      </c>
      <c r="CK21" s="24">
        <v>0</v>
      </c>
      <c r="CL21" s="24">
        <v>0</v>
      </c>
      <c r="CM21" s="24">
        <v>0</v>
      </c>
      <c r="CN21" s="24">
        <v>0</v>
      </c>
      <c r="CO21" s="24">
        <v>0</v>
      </c>
      <c r="CQ21" s="24">
        <v>10</v>
      </c>
      <c r="CR21" s="24">
        <v>0</v>
      </c>
      <c r="CS21" s="24">
        <v>0</v>
      </c>
      <c r="CT21" s="24">
        <v>0</v>
      </c>
      <c r="CV21" s="24">
        <v>100104</v>
      </c>
      <c r="CW21" s="24">
        <v>51</v>
      </c>
      <c r="CX21" s="24">
        <v>-1</v>
      </c>
      <c r="CY21" s="26">
        <v>0</v>
      </c>
      <c r="CZ21" s="24">
        <v>2</v>
      </c>
      <c r="DA21" s="24">
        <v>0</v>
      </c>
      <c r="DC21" s="24">
        <v>5</v>
      </c>
      <c r="DD21" s="24">
        <v>0</v>
      </c>
      <c r="DE21" s="24">
        <v>0</v>
      </c>
      <c r="DF21" s="24">
        <v>0</v>
      </c>
      <c r="DG21" s="24">
        <v>-1</v>
      </c>
      <c r="DI21" s="24">
        <v>0</v>
      </c>
      <c r="DJ21" s="24">
        <v>0</v>
      </c>
      <c r="DL21" s="24">
        <v>0</v>
      </c>
      <c r="DM21" s="24">
        <v>0</v>
      </c>
      <c r="DO21" s="24">
        <v>0</v>
      </c>
      <c r="DP21" s="24">
        <v>0</v>
      </c>
      <c r="DQ21" s="24">
        <v>0</v>
      </c>
      <c r="DR21" s="24">
        <v>0</v>
      </c>
      <c r="DS21" s="24">
        <v>0</v>
      </c>
      <c r="DT21" s="24">
        <v>0</v>
      </c>
      <c r="DV21" s="24">
        <v>0</v>
      </c>
      <c r="DW21" s="24">
        <v>0</v>
      </c>
      <c r="DX21" s="24">
        <v>0</v>
      </c>
      <c r="DY21" s="24">
        <v>0</v>
      </c>
      <c r="DZ21" s="24">
        <v>0</v>
      </c>
    </row>
    <row r="22" spans="1:130">
      <c r="A22" s="24" t="s">
        <v>142</v>
      </c>
      <c r="B22" s="24" t="s">
        <v>142</v>
      </c>
      <c r="C22" s="24" t="s">
        <v>142</v>
      </c>
      <c r="D22" s="24" t="s">
        <v>142</v>
      </c>
      <c r="E22" s="24">
        <v>5007</v>
      </c>
      <c r="F22" s="24" t="s">
        <v>496</v>
      </c>
      <c r="G22" s="24">
        <v>0</v>
      </c>
      <c r="H22" s="24">
        <v>505007</v>
      </c>
      <c r="I22" s="24" t="s">
        <v>496</v>
      </c>
      <c r="J22" s="24" t="s">
        <v>496</v>
      </c>
      <c r="K22" s="24" t="s">
        <v>473</v>
      </c>
      <c r="M22" s="24">
        <v>0</v>
      </c>
      <c r="N22" s="24">
        <v>0</v>
      </c>
      <c r="P22" s="25">
        <v>12</v>
      </c>
      <c r="Q22" s="25">
        <v>0</v>
      </c>
      <c r="R22" s="24">
        <v>0</v>
      </c>
      <c r="S22" s="25">
        <v>0</v>
      </c>
      <c r="T22" s="24"/>
      <c r="U22" s="24">
        <v>11</v>
      </c>
      <c r="V22" s="25">
        <v>2050</v>
      </c>
      <c r="W22" s="24">
        <v>4</v>
      </c>
      <c r="X22" s="24">
        <v>5006</v>
      </c>
      <c r="Y22" s="24">
        <v>0</v>
      </c>
      <c r="Z22" s="24">
        <v>1000</v>
      </c>
      <c r="AB22" s="24">
        <v>30001</v>
      </c>
      <c r="AC22" s="24">
        <v>0</v>
      </c>
      <c r="AD22" s="24">
        <v>0</v>
      </c>
      <c r="AE22" s="24">
        <v>0</v>
      </c>
      <c r="AG22" s="24">
        <v>1</v>
      </c>
      <c r="AH22" s="24">
        <v>0</v>
      </c>
      <c r="AI22" s="24">
        <v>0</v>
      </c>
      <c r="AJ22" s="24">
        <v>0</v>
      </c>
      <c r="AK22" s="24">
        <v>0</v>
      </c>
      <c r="AL22" s="24">
        <v>0</v>
      </c>
      <c r="AM22" s="24">
        <v>0</v>
      </c>
      <c r="AN22" s="24">
        <v>0</v>
      </c>
      <c r="AO22" s="24">
        <v>0</v>
      </c>
      <c r="AP22" s="24">
        <v>0</v>
      </c>
      <c r="AQ22" s="24">
        <v>0</v>
      </c>
      <c r="AR22" s="24">
        <v>-1</v>
      </c>
      <c r="AS22" s="24">
        <v>0</v>
      </c>
      <c r="AT22" s="24">
        <v>0</v>
      </c>
      <c r="AU22" s="24">
        <v>0</v>
      </c>
      <c r="AV22" s="24">
        <v>0</v>
      </c>
      <c r="AW22" s="24">
        <v>0</v>
      </c>
      <c r="AX22" s="24">
        <v>0</v>
      </c>
      <c r="AY22" s="24">
        <v>0</v>
      </c>
      <c r="BA22" s="24">
        <v>0</v>
      </c>
      <c r="BB22" s="24">
        <v>0</v>
      </c>
      <c r="BC22" s="24">
        <v>0</v>
      </c>
      <c r="BD22" s="24">
        <v>0</v>
      </c>
      <c r="BE22" s="24">
        <v>0</v>
      </c>
      <c r="BF22" s="24">
        <v>1</v>
      </c>
      <c r="BG22" s="25">
        <v>1</v>
      </c>
      <c r="BH22" s="24">
        <v>1</v>
      </c>
      <c r="BI22" s="24">
        <v>0</v>
      </c>
      <c r="BJ22" s="24">
        <v>0</v>
      </c>
      <c r="BK22" s="24">
        <v>0</v>
      </c>
      <c r="BL22" s="25">
        <v>126</v>
      </c>
      <c r="BM22" s="24">
        <v>0</v>
      </c>
      <c r="BO22" s="25">
        <v>8</v>
      </c>
      <c r="BP22" s="24">
        <v>0</v>
      </c>
      <c r="BQ22" s="24">
        <v>0</v>
      </c>
      <c r="BR22" s="24">
        <v>2</v>
      </c>
      <c r="BS22" s="24">
        <v>50</v>
      </c>
      <c r="BT22" s="24">
        <v>0</v>
      </c>
      <c r="BU22" s="24">
        <v>0</v>
      </c>
      <c r="BV22" s="24">
        <v>0</v>
      </c>
      <c r="BW22" s="24">
        <v>0</v>
      </c>
      <c r="BX22" s="24">
        <v>4</v>
      </c>
      <c r="BZ22" s="24">
        <v>-1</v>
      </c>
      <c r="CA22" s="24">
        <v>0</v>
      </c>
      <c r="CB22" s="24">
        <v>0</v>
      </c>
      <c r="CC22" s="24">
        <v>0</v>
      </c>
      <c r="CD22" s="24">
        <v>0</v>
      </c>
      <c r="CE22" s="24">
        <v>0</v>
      </c>
      <c r="CG22" s="24">
        <v>-1</v>
      </c>
      <c r="CH22" s="24">
        <v>0</v>
      </c>
      <c r="CI22" s="24">
        <v>0</v>
      </c>
      <c r="CJ22" s="24">
        <v>0</v>
      </c>
      <c r="CK22" s="24">
        <v>0</v>
      </c>
      <c r="CL22" s="24">
        <v>0</v>
      </c>
      <c r="CM22" s="24">
        <v>0</v>
      </c>
      <c r="CN22" s="24">
        <v>0</v>
      </c>
      <c r="CO22" s="24">
        <v>0</v>
      </c>
      <c r="CQ22" s="24">
        <v>0</v>
      </c>
      <c r="CR22" s="24">
        <v>0</v>
      </c>
      <c r="CS22" s="24">
        <v>0</v>
      </c>
      <c r="CT22" s="24">
        <v>0</v>
      </c>
      <c r="CV22" s="24">
        <v>0</v>
      </c>
      <c r="CW22" s="24">
        <v>0</v>
      </c>
      <c r="CX22" s="24">
        <v>100</v>
      </c>
      <c r="CY22" s="26">
        <v>3</v>
      </c>
      <c r="CZ22" s="24">
        <v>0</v>
      </c>
      <c r="DA22" s="24">
        <v>0</v>
      </c>
      <c r="DC22" s="24">
        <v>1</v>
      </c>
      <c r="DD22" s="24">
        <v>1</v>
      </c>
      <c r="DE22" s="24">
        <v>0</v>
      </c>
      <c r="DF22" s="24">
        <v>0</v>
      </c>
      <c r="DG22" s="24">
        <v>-1</v>
      </c>
      <c r="DI22" s="24">
        <v>0</v>
      </c>
      <c r="DJ22" s="24">
        <v>0</v>
      </c>
      <c r="DL22" s="24">
        <v>0</v>
      </c>
      <c r="DM22" s="24">
        <v>0</v>
      </c>
      <c r="DO22" s="24">
        <v>0</v>
      </c>
      <c r="DP22" s="24">
        <v>0</v>
      </c>
      <c r="DQ22" s="24">
        <v>0</v>
      </c>
      <c r="DR22" s="24">
        <v>0</v>
      </c>
      <c r="DS22" s="24">
        <v>0</v>
      </c>
      <c r="DT22" s="24">
        <v>0</v>
      </c>
      <c r="DV22" s="24">
        <v>0</v>
      </c>
      <c r="DW22" s="24">
        <v>0</v>
      </c>
      <c r="DX22" s="24">
        <v>0</v>
      </c>
      <c r="DY22" s="24">
        <v>0</v>
      </c>
      <c r="DZ22" s="24">
        <v>0</v>
      </c>
    </row>
    <row r="23" spans="1:130">
      <c r="A23" s="24" t="s">
        <v>142</v>
      </c>
      <c r="B23" s="24" t="s">
        <v>142</v>
      </c>
      <c r="C23" s="24" t="s">
        <v>142</v>
      </c>
      <c r="D23" s="24" t="s">
        <v>142</v>
      </c>
      <c r="E23" s="24">
        <v>5008</v>
      </c>
      <c r="F23" s="24" t="s">
        <v>497</v>
      </c>
      <c r="G23" s="24">
        <v>0</v>
      </c>
      <c r="H23" s="24">
        <v>505008</v>
      </c>
      <c r="I23" s="24" t="s">
        <v>497</v>
      </c>
      <c r="J23" s="24" t="s">
        <v>497</v>
      </c>
      <c r="K23" s="24" t="s">
        <v>637</v>
      </c>
      <c r="M23" s="24">
        <v>102</v>
      </c>
      <c r="N23" s="24">
        <v>0</v>
      </c>
      <c r="P23" s="25">
        <v>2</v>
      </c>
      <c r="Q23" s="25">
        <v>524288</v>
      </c>
      <c r="R23" s="24">
        <v>0</v>
      </c>
      <c r="S23" s="25">
        <v>0</v>
      </c>
      <c r="T23" s="24"/>
      <c r="U23" s="24">
        <v>0</v>
      </c>
      <c r="V23" s="25">
        <v>0</v>
      </c>
      <c r="W23" s="24">
        <v>0</v>
      </c>
      <c r="X23" s="24">
        <v>0</v>
      </c>
      <c r="Y23" s="24">
        <v>0</v>
      </c>
      <c r="Z23" s="24">
        <v>0</v>
      </c>
      <c r="AB23" s="24">
        <v>10001</v>
      </c>
      <c r="AC23" s="24">
        <v>-1</v>
      </c>
      <c r="AD23" s="24">
        <v>-1</v>
      </c>
      <c r="AE23" s="24">
        <v>-1</v>
      </c>
      <c r="AG23" s="24">
        <v>1</v>
      </c>
      <c r="AH23" s="24">
        <v>0</v>
      </c>
      <c r="AI23" s="24">
        <v>0</v>
      </c>
      <c r="AJ23" s="24">
        <v>0</v>
      </c>
      <c r="AK23" s="24">
        <v>0</v>
      </c>
      <c r="AL23" s="24">
        <v>0</v>
      </c>
      <c r="AM23" s="24">
        <v>0</v>
      </c>
      <c r="AN23" s="24">
        <v>0</v>
      </c>
      <c r="AO23" s="24">
        <v>0</v>
      </c>
      <c r="AP23" s="24">
        <v>0</v>
      </c>
      <c r="AQ23" s="24">
        <v>0</v>
      </c>
      <c r="AR23" s="24">
        <v>-1</v>
      </c>
      <c r="AS23" s="24">
        <v>0</v>
      </c>
      <c r="AT23" s="24">
        <v>0</v>
      </c>
      <c r="AU23" s="24">
        <v>0</v>
      </c>
      <c r="AV23" s="24">
        <v>0</v>
      </c>
      <c r="AW23" s="24">
        <v>0</v>
      </c>
      <c r="AX23" s="24">
        <v>0</v>
      </c>
      <c r="AY23" s="24">
        <v>0</v>
      </c>
      <c r="BA23" s="24">
        <v>0</v>
      </c>
      <c r="BB23" s="24">
        <v>500</v>
      </c>
      <c r="BC23" s="24">
        <v>1100</v>
      </c>
      <c r="BD23" s="24">
        <v>0</v>
      </c>
      <c r="BE23" s="24">
        <v>200</v>
      </c>
      <c r="BF23" s="24">
        <v>1</v>
      </c>
      <c r="BG23" s="25">
        <v>512</v>
      </c>
      <c r="BH23" s="24">
        <v>4</v>
      </c>
      <c r="BI23" s="24">
        <v>5008</v>
      </c>
      <c r="BJ23" s="24">
        <v>1</v>
      </c>
      <c r="BK23" s="24">
        <v>1</v>
      </c>
      <c r="BL23" s="25">
        <v>126</v>
      </c>
      <c r="BM23" s="24">
        <v>0</v>
      </c>
      <c r="BO23" s="25">
        <v>1</v>
      </c>
      <c r="BP23" s="24">
        <v>0</v>
      </c>
      <c r="BQ23" s="24">
        <v>0</v>
      </c>
      <c r="BR23" s="24">
        <v>1</v>
      </c>
      <c r="BS23" s="24">
        <v>0</v>
      </c>
      <c r="BT23" s="24">
        <v>0</v>
      </c>
      <c r="BU23" s="24">
        <v>0</v>
      </c>
      <c r="BV23" s="24">
        <v>0</v>
      </c>
      <c r="BW23" s="24">
        <v>0</v>
      </c>
      <c r="BX23" s="24">
        <v>1</v>
      </c>
      <c r="BZ23" s="24">
        <v>5008</v>
      </c>
      <c r="CA23" s="24">
        <v>0</v>
      </c>
      <c r="CB23" s="24">
        <v>0</v>
      </c>
      <c r="CC23" s="24">
        <v>0</v>
      </c>
      <c r="CD23" s="24">
        <v>0</v>
      </c>
      <c r="CE23" s="24">
        <v>0</v>
      </c>
      <c r="CG23" s="24">
        <v>-1</v>
      </c>
      <c r="CH23" s="24">
        <v>0</v>
      </c>
      <c r="CI23" s="24">
        <v>0</v>
      </c>
      <c r="CJ23" s="24">
        <v>0</v>
      </c>
      <c r="CK23" s="24">
        <v>0</v>
      </c>
      <c r="CL23" s="24">
        <v>0</v>
      </c>
      <c r="CM23" s="24">
        <v>0</v>
      </c>
      <c r="CN23" s="24">
        <v>0</v>
      </c>
      <c r="CO23" s="24">
        <v>0</v>
      </c>
      <c r="CQ23" s="24">
        <v>0</v>
      </c>
      <c r="CR23" s="24">
        <v>0</v>
      </c>
      <c r="CS23" s="24">
        <v>0</v>
      </c>
      <c r="CT23" s="24">
        <v>0</v>
      </c>
      <c r="CV23" s="24">
        <v>100105</v>
      </c>
      <c r="CW23" s="24">
        <v>0</v>
      </c>
      <c r="CX23" s="24">
        <v>-1</v>
      </c>
      <c r="CY23" s="26">
        <v>0</v>
      </c>
      <c r="CZ23" s="24">
        <v>2</v>
      </c>
      <c r="DA23" s="24">
        <v>0</v>
      </c>
      <c r="DC23" s="24">
        <v>1</v>
      </c>
      <c r="DD23" s="24">
        <v>1</v>
      </c>
      <c r="DE23" s="24">
        <v>0</v>
      </c>
      <c r="DF23" s="24">
        <v>0</v>
      </c>
      <c r="DG23" s="24">
        <v>-1</v>
      </c>
      <c r="DI23" s="24">
        <v>0</v>
      </c>
      <c r="DJ23" s="24">
        <v>0</v>
      </c>
      <c r="DL23" s="24">
        <v>0</v>
      </c>
      <c r="DM23" s="24">
        <v>0</v>
      </c>
      <c r="DO23" s="24">
        <v>0</v>
      </c>
      <c r="DP23" s="24">
        <v>0</v>
      </c>
      <c r="DQ23" s="24">
        <v>0</v>
      </c>
      <c r="DR23" s="24">
        <v>0</v>
      </c>
      <c r="DS23" s="24">
        <v>0</v>
      </c>
      <c r="DT23" s="24">
        <v>0</v>
      </c>
      <c r="DV23" s="24">
        <v>0</v>
      </c>
      <c r="DW23" s="24">
        <v>0</v>
      </c>
      <c r="DX23" s="24">
        <v>0</v>
      </c>
      <c r="DY23" s="24">
        <v>0</v>
      </c>
      <c r="DZ23" s="24">
        <v>0</v>
      </c>
    </row>
    <row r="24" spans="1:130">
      <c r="A24" s="24" t="s">
        <v>142</v>
      </c>
      <c r="B24" s="24" t="s">
        <v>142</v>
      </c>
      <c r="C24" s="24" t="s">
        <v>142</v>
      </c>
      <c r="D24" s="24" t="s">
        <v>142</v>
      </c>
      <c r="E24" s="24">
        <v>5009</v>
      </c>
      <c r="F24" s="24" t="s">
        <v>385</v>
      </c>
      <c r="G24" s="24">
        <v>0</v>
      </c>
      <c r="H24" s="24">
        <v>505009</v>
      </c>
      <c r="I24" s="24" t="s">
        <v>385</v>
      </c>
      <c r="J24" s="24" t="s">
        <v>385</v>
      </c>
      <c r="K24" s="24" t="s">
        <v>638</v>
      </c>
      <c r="M24" s="24">
        <v>102</v>
      </c>
      <c r="N24" s="24">
        <v>0</v>
      </c>
      <c r="P24" s="25">
        <v>2</v>
      </c>
      <c r="Q24" s="25">
        <v>2097152</v>
      </c>
      <c r="R24" s="24">
        <v>0</v>
      </c>
      <c r="S24" s="25">
        <v>0</v>
      </c>
      <c r="T24" s="24"/>
      <c r="U24" s="24">
        <v>0</v>
      </c>
      <c r="V24" s="25">
        <v>0</v>
      </c>
      <c r="W24" s="24">
        <v>0</v>
      </c>
      <c r="X24" s="24">
        <v>0</v>
      </c>
      <c r="Y24" s="24">
        <v>0</v>
      </c>
      <c r="Z24" s="24">
        <v>0</v>
      </c>
      <c r="AB24" s="24">
        <v>10001</v>
      </c>
      <c r="AC24" s="24">
        <v>-1</v>
      </c>
      <c r="AD24" s="24">
        <v>-1</v>
      </c>
      <c r="AE24" s="24">
        <v>-1</v>
      </c>
      <c r="AG24" s="24">
        <v>1</v>
      </c>
      <c r="AH24" s="24">
        <v>0</v>
      </c>
      <c r="AI24" s="24">
        <v>0</v>
      </c>
      <c r="AJ24" s="24">
        <v>0</v>
      </c>
      <c r="AK24" s="24">
        <v>0</v>
      </c>
      <c r="AL24" s="24">
        <v>0</v>
      </c>
      <c r="AM24" s="24">
        <v>0</v>
      </c>
      <c r="AN24" s="24">
        <v>0</v>
      </c>
      <c r="AO24" s="24">
        <v>0</v>
      </c>
      <c r="AP24" s="24">
        <v>0</v>
      </c>
      <c r="AQ24" s="24">
        <v>0</v>
      </c>
      <c r="AR24" s="24">
        <v>-1</v>
      </c>
      <c r="AS24" s="24">
        <v>0</v>
      </c>
      <c r="AT24" s="24">
        <v>0</v>
      </c>
      <c r="AU24" s="24">
        <v>0</v>
      </c>
      <c r="AV24" s="24">
        <v>0</v>
      </c>
      <c r="AW24" s="24">
        <v>0</v>
      </c>
      <c r="AX24" s="24">
        <v>0</v>
      </c>
      <c r="AY24" s="24">
        <v>0</v>
      </c>
      <c r="BA24" s="24">
        <v>0</v>
      </c>
      <c r="BB24" s="24">
        <v>500</v>
      </c>
      <c r="BC24" s="24">
        <v>967</v>
      </c>
      <c r="BD24" s="24">
        <v>0</v>
      </c>
      <c r="BE24" s="24">
        <v>200</v>
      </c>
      <c r="BF24" s="24">
        <v>1</v>
      </c>
      <c r="BG24" s="25">
        <v>512</v>
      </c>
      <c r="BH24" s="24">
        <v>4</v>
      </c>
      <c r="BI24" s="24">
        <v>5010</v>
      </c>
      <c r="BJ24" s="24">
        <v>1</v>
      </c>
      <c r="BK24" s="24">
        <v>1</v>
      </c>
      <c r="BL24" s="25">
        <v>126</v>
      </c>
      <c r="BM24" s="24">
        <v>0</v>
      </c>
      <c r="BO24" s="25">
        <v>1</v>
      </c>
      <c r="BP24" s="24">
        <v>0</v>
      </c>
      <c r="BQ24" s="24">
        <v>0</v>
      </c>
      <c r="BR24" s="24">
        <v>1</v>
      </c>
      <c r="BS24" s="24">
        <v>0</v>
      </c>
      <c r="BT24" s="24">
        <v>0</v>
      </c>
      <c r="BU24" s="24">
        <v>0</v>
      </c>
      <c r="BV24" s="24">
        <v>0</v>
      </c>
      <c r="BW24" s="24">
        <v>0</v>
      </c>
      <c r="BX24" s="24">
        <v>1</v>
      </c>
      <c r="BZ24" s="24">
        <v>-1</v>
      </c>
      <c r="CA24" s="24">
        <v>0</v>
      </c>
      <c r="CB24" s="24">
        <v>0</v>
      </c>
      <c r="CC24" s="24">
        <v>0</v>
      </c>
      <c r="CD24" s="24">
        <v>0</v>
      </c>
      <c r="CE24" s="24">
        <v>0</v>
      </c>
      <c r="CG24" s="24">
        <v>-1</v>
      </c>
      <c r="CH24" s="24">
        <v>0</v>
      </c>
      <c r="CI24" s="24">
        <v>0</v>
      </c>
      <c r="CJ24" s="24">
        <v>0</v>
      </c>
      <c r="CK24" s="24">
        <v>0</v>
      </c>
      <c r="CL24" s="24">
        <v>0</v>
      </c>
      <c r="CM24" s="24">
        <v>0</v>
      </c>
      <c r="CN24" s="24">
        <v>0</v>
      </c>
      <c r="CO24" s="24">
        <v>0</v>
      </c>
      <c r="CQ24" s="24">
        <v>0</v>
      </c>
      <c r="CR24" s="24">
        <v>0</v>
      </c>
      <c r="CS24" s="24">
        <v>0</v>
      </c>
      <c r="CT24" s="24">
        <v>0</v>
      </c>
      <c r="CV24" s="24">
        <v>100106</v>
      </c>
      <c r="CW24" s="24">
        <v>0</v>
      </c>
      <c r="CX24" s="24">
        <v>-1</v>
      </c>
      <c r="CY24" s="26">
        <v>0</v>
      </c>
      <c r="CZ24" s="24">
        <v>10</v>
      </c>
      <c r="DA24" s="24">
        <v>0</v>
      </c>
      <c r="DC24" s="24">
        <v>1</v>
      </c>
      <c r="DD24" s="24">
        <v>1</v>
      </c>
      <c r="DE24" s="24">
        <v>0</v>
      </c>
      <c r="DF24" s="24">
        <v>0</v>
      </c>
      <c r="DG24" s="24">
        <v>-1</v>
      </c>
      <c r="DI24" s="24">
        <v>0</v>
      </c>
      <c r="DJ24" s="24">
        <v>0</v>
      </c>
      <c r="DL24" s="24">
        <v>0</v>
      </c>
      <c r="DM24" s="24">
        <v>0</v>
      </c>
      <c r="DO24" s="24">
        <v>0</v>
      </c>
      <c r="DP24" s="24">
        <v>0</v>
      </c>
      <c r="DQ24" s="24">
        <v>0</v>
      </c>
      <c r="DR24" s="24">
        <v>0</v>
      </c>
      <c r="DS24" s="24">
        <v>0</v>
      </c>
      <c r="DT24" s="24">
        <v>0</v>
      </c>
      <c r="DV24" s="24">
        <v>0</v>
      </c>
      <c r="DW24" s="24">
        <v>0</v>
      </c>
      <c r="DX24" s="24">
        <v>0</v>
      </c>
      <c r="DY24" s="24">
        <v>0</v>
      </c>
      <c r="DZ24" s="24">
        <v>0</v>
      </c>
    </row>
    <row r="25" spans="1:130">
      <c r="A25" s="24" t="s">
        <v>142</v>
      </c>
      <c r="B25" s="24" t="s">
        <v>142</v>
      </c>
      <c r="C25" s="24" t="s">
        <v>142</v>
      </c>
      <c r="D25" s="24" t="s">
        <v>142</v>
      </c>
      <c r="E25" s="24">
        <v>5011</v>
      </c>
      <c r="F25" s="24" t="s">
        <v>386</v>
      </c>
      <c r="G25" s="24">
        <v>0</v>
      </c>
      <c r="H25" s="24">
        <v>505011</v>
      </c>
      <c r="I25" s="24" t="s">
        <v>249</v>
      </c>
      <c r="J25" s="24" t="s">
        <v>249</v>
      </c>
      <c r="K25" s="24" t="s">
        <v>473</v>
      </c>
      <c r="M25" s="24">
        <v>102</v>
      </c>
      <c r="N25" s="24">
        <v>0</v>
      </c>
      <c r="P25" s="25">
        <v>2</v>
      </c>
      <c r="Q25" s="25">
        <v>2097153</v>
      </c>
      <c r="R25" s="24">
        <v>5009</v>
      </c>
      <c r="S25" s="25">
        <v>0</v>
      </c>
      <c r="T25" s="24"/>
      <c r="U25" s="24">
        <v>0</v>
      </c>
      <c r="V25" s="25">
        <v>0</v>
      </c>
      <c r="W25" s="24">
        <v>0</v>
      </c>
      <c r="X25" s="24">
        <v>0</v>
      </c>
      <c r="Y25" s="24">
        <v>0</v>
      </c>
      <c r="Z25" s="24">
        <v>0</v>
      </c>
      <c r="AB25" s="24">
        <v>10005</v>
      </c>
      <c r="AC25" s="24">
        <v>1000</v>
      </c>
      <c r="AD25" s="24">
        <v>3</v>
      </c>
      <c r="AE25" s="24">
        <v>100107</v>
      </c>
      <c r="AG25" s="24">
        <v>1</v>
      </c>
      <c r="AH25" s="24">
        <v>0</v>
      </c>
      <c r="AI25" s="24">
        <v>0</v>
      </c>
      <c r="AJ25" s="24">
        <v>0</v>
      </c>
      <c r="AK25" s="24">
        <v>0</v>
      </c>
      <c r="AL25" s="24">
        <v>0</v>
      </c>
      <c r="AM25" s="24">
        <v>0</v>
      </c>
      <c r="AN25" s="24">
        <v>0</v>
      </c>
      <c r="AO25" s="24">
        <v>0</v>
      </c>
      <c r="AP25" s="24">
        <v>0</v>
      </c>
      <c r="AQ25" s="24">
        <v>0</v>
      </c>
      <c r="AR25" s="24">
        <v>-1</v>
      </c>
      <c r="AS25" s="24">
        <v>0</v>
      </c>
      <c r="AT25" s="24">
        <v>0</v>
      </c>
      <c r="AU25" s="24">
        <v>0</v>
      </c>
      <c r="AV25" s="24">
        <v>0</v>
      </c>
      <c r="AW25" s="24">
        <v>0</v>
      </c>
      <c r="AX25" s="24">
        <v>0</v>
      </c>
      <c r="AY25" s="24">
        <v>0</v>
      </c>
      <c r="BA25" s="24">
        <v>0</v>
      </c>
      <c r="BB25" s="24">
        <v>500</v>
      </c>
      <c r="BC25" s="24">
        <v>967</v>
      </c>
      <c r="BD25" s="24">
        <v>0</v>
      </c>
      <c r="BE25" s="24">
        <v>0</v>
      </c>
      <c r="BF25" s="24">
        <v>1</v>
      </c>
      <c r="BG25" s="25">
        <v>512</v>
      </c>
      <c r="BH25" s="24">
        <v>3</v>
      </c>
      <c r="BI25" s="24">
        <v>0</v>
      </c>
      <c r="BJ25" s="24">
        <v>0</v>
      </c>
      <c r="BK25" s="24">
        <v>0</v>
      </c>
      <c r="BL25" s="25">
        <v>126</v>
      </c>
      <c r="BM25" s="24">
        <v>0</v>
      </c>
      <c r="BO25" s="25">
        <v>1</v>
      </c>
      <c r="BP25" s="24">
        <v>0</v>
      </c>
      <c r="BQ25" s="24">
        <v>0</v>
      </c>
      <c r="BR25" s="24">
        <v>1</v>
      </c>
      <c r="BS25" s="24">
        <v>0</v>
      </c>
      <c r="BT25" s="24">
        <v>0</v>
      </c>
      <c r="BU25" s="24">
        <v>0</v>
      </c>
      <c r="BV25" s="24">
        <v>0</v>
      </c>
      <c r="BW25" s="24">
        <v>0</v>
      </c>
      <c r="BX25" s="24">
        <v>1</v>
      </c>
      <c r="BZ25" s="24">
        <v>5011</v>
      </c>
      <c r="CA25" s="24">
        <v>0</v>
      </c>
      <c r="CB25" s="24">
        <v>0</v>
      </c>
      <c r="CC25" s="24">
        <v>0</v>
      </c>
      <c r="CD25" s="24">
        <v>0</v>
      </c>
      <c r="CE25" s="24">
        <v>0</v>
      </c>
      <c r="CG25" s="24">
        <v>-1</v>
      </c>
      <c r="CH25" s="24">
        <v>0</v>
      </c>
      <c r="CI25" s="24">
        <v>0</v>
      </c>
      <c r="CJ25" s="24">
        <v>0</v>
      </c>
      <c r="CK25" s="24">
        <v>0</v>
      </c>
      <c r="CL25" s="24">
        <v>0</v>
      </c>
      <c r="CM25" s="24">
        <v>0</v>
      </c>
      <c r="CN25" s="24">
        <v>0</v>
      </c>
      <c r="CO25" s="24">
        <v>0</v>
      </c>
      <c r="CQ25" s="24">
        <v>0</v>
      </c>
      <c r="CR25" s="24">
        <v>0</v>
      </c>
      <c r="CS25" s="24">
        <v>0</v>
      </c>
      <c r="CT25" s="24">
        <v>0</v>
      </c>
      <c r="CV25" s="24">
        <v>100106</v>
      </c>
      <c r="CW25" s="24">
        <v>0</v>
      </c>
      <c r="CX25" s="24">
        <v>-1</v>
      </c>
      <c r="CY25" s="26">
        <v>0</v>
      </c>
      <c r="CZ25" s="24">
        <v>10</v>
      </c>
      <c r="DA25" s="24">
        <v>0</v>
      </c>
      <c r="DC25" s="24">
        <v>1</v>
      </c>
      <c r="DD25" s="24">
        <v>1</v>
      </c>
      <c r="DE25" s="24">
        <v>0</v>
      </c>
      <c r="DF25" s="24">
        <v>0</v>
      </c>
      <c r="DG25" s="24">
        <v>-1</v>
      </c>
      <c r="DI25" s="24">
        <v>0</v>
      </c>
      <c r="DJ25" s="24">
        <v>0</v>
      </c>
      <c r="DL25" s="24">
        <v>0</v>
      </c>
      <c r="DM25" s="24">
        <v>0</v>
      </c>
      <c r="DO25" s="24">
        <v>0</v>
      </c>
      <c r="DP25" s="24">
        <v>0</v>
      </c>
      <c r="DQ25" s="24">
        <v>0</v>
      </c>
      <c r="DR25" s="24">
        <v>0</v>
      </c>
      <c r="DS25" s="24">
        <v>0</v>
      </c>
      <c r="DT25" s="24">
        <v>0</v>
      </c>
      <c r="DV25" s="24">
        <v>0</v>
      </c>
      <c r="DW25" s="24">
        <v>3001</v>
      </c>
      <c r="DX25" s="24">
        <v>3002</v>
      </c>
      <c r="DY25" s="24">
        <v>0</v>
      </c>
      <c r="DZ25" s="24">
        <v>0</v>
      </c>
    </row>
    <row r="26" spans="1:130">
      <c r="A26" s="24" t="s">
        <v>142</v>
      </c>
      <c r="B26" s="24" t="s">
        <v>142</v>
      </c>
      <c r="C26" s="24" t="s">
        <v>142</v>
      </c>
      <c r="D26" s="24" t="s">
        <v>142</v>
      </c>
      <c r="E26" s="24">
        <v>5012</v>
      </c>
      <c r="F26" s="24" t="s">
        <v>383</v>
      </c>
      <c r="G26" s="24">
        <v>0</v>
      </c>
      <c r="H26" s="24">
        <v>505012</v>
      </c>
      <c r="I26" s="24" t="s">
        <v>383</v>
      </c>
      <c r="J26" s="24" t="s">
        <v>383</v>
      </c>
      <c r="K26" s="24" t="s">
        <v>473</v>
      </c>
      <c r="M26" s="24">
        <v>0</v>
      </c>
      <c r="N26" s="24">
        <v>0</v>
      </c>
      <c r="P26" s="25">
        <v>12</v>
      </c>
      <c r="Q26" s="25">
        <v>0</v>
      </c>
      <c r="R26" s="24">
        <v>0</v>
      </c>
      <c r="S26" s="25">
        <v>0</v>
      </c>
      <c r="T26" s="24"/>
      <c r="U26" s="24">
        <v>1</v>
      </c>
      <c r="V26" s="25">
        <v>2050</v>
      </c>
      <c r="W26" s="24">
        <v>1</v>
      </c>
      <c r="X26" s="24">
        <v>5006</v>
      </c>
      <c r="Y26" s="24">
        <v>0</v>
      </c>
      <c r="Z26" s="24">
        <v>1000</v>
      </c>
      <c r="AB26" s="24">
        <v>30001</v>
      </c>
      <c r="AC26" s="24">
        <v>-1</v>
      </c>
      <c r="AD26" s="24">
        <v>-1</v>
      </c>
      <c r="AE26" s="24">
        <v>-1</v>
      </c>
      <c r="AG26" s="24">
        <v>1</v>
      </c>
      <c r="AH26" s="24">
        <v>0</v>
      </c>
      <c r="AI26" s="24">
        <v>0</v>
      </c>
      <c r="AJ26" s="24">
        <v>0</v>
      </c>
      <c r="AK26" s="24">
        <v>0</v>
      </c>
      <c r="AL26" s="24">
        <v>0</v>
      </c>
      <c r="AM26" s="24">
        <v>0</v>
      </c>
      <c r="AN26" s="24">
        <v>0</v>
      </c>
      <c r="AO26" s="24">
        <v>0</v>
      </c>
      <c r="AP26" s="24">
        <v>0</v>
      </c>
      <c r="AQ26" s="24">
        <v>0</v>
      </c>
      <c r="AR26" s="24">
        <v>-1</v>
      </c>
      <c r="AS26" s="24">
        <v>0</v>
      </c>
      <c r="AT26" s="24">
        <v>0</v>
      </c>
      <c r="AU26" s="24">
        <v>0</v>
      </c>
      <c r="AV26" s="24">
        <v>0</v>
      </c>
      <c r="AW26" s="24">
        <v>0</v>
      </c>
      <c r="AX26" s="24">
        <v>0</v>
      </c>
      <c r="AY26" s="24">
        <v>0</v>
      </c>
      <c r="BA26" s="24">
        <v>0</v>
      </c>
      <c r="BB26" s="24">
        <v>0</v>
      </c>
      <c r="BC26" s="24">
        <v>0</v>
      </c>
      <c r="BD26" s="24">
        <v>0</v>
      </c>
      <c r="BE26" s="24">
        <v>200</v>
      </c>
      <c r="BF26" s="24">
        <v>1</v>
      </c>
      <c r="BG26" s="25">
        <v>512</v>
      </c>
      <c r="BH26" s="24">
        <v>4</v>
      </c>
      <c r="BI26" s="24">
        <v>5009</v>
      </c>
      <c r="BJ26" s="24">
        <v>1</v>
      </c>
      <c r="BK26" s="24">
        <v>1</v>
      </c>
      <c r="BL26" s="25">
        <v>126</v>
      </c>
      <c r="BM26" s="24">
        <v>0</v>
      </c>
      <c r="BO26" s="25">
        <v>1</v>
      </c>
      <c r="BP26" s="24">
        <v>0</v>
      </c>
      <c r="BQ26" s="24">
        <v>0</v>
      </c>
      <c r="BR26" s="24">
        <v>1</v>
      </c>
      <c r="BS26" s="24">
        <v>0</v>
      </c>
      <c r="BT26" s="24">
        <v>0</v>
      </c>
      <c r="BU26" s="24">
        <v>0</v>
      </c>
      <c r="BV26" s="24">
        <v>0</v>
      </c>
      <c r="BW26" s="24">
        <v>0</v>
      </c>
      <c r="BX26" s="24">
        <v>1</v>
      </c>
      <c r="BZ26" s="24">
        <v>-1</v>
      </c>
      <c r="CA26" s="24">
        <v>0</v>
      </c>
      <c r="CB26" s="24">
        <v>0</v>
      </c>
      <c r="CC26" s="24">
        <v>0</v>
      </c>
      <c r="CD26" s="24">
        <v>0</v>
      </c>
      <c r="CE26" s="24">
        <v>0</v>
      </c>
      <c r="CG26" s="24">
        <v>-1</v>
      </c>
      <c r="CH26" s="24">
        <v>0</v>
      </c>
      <c r="CI26" s="24">
        <v>0</v>
      </c>
      <c r="CJ26" s="24">
        <v>0</v>
      </c>
      <c r="CK26" s="24">
        <v>0</v>
      </c>
      <c r="CL26" s="24">
        <v>0</v>
      </c>
      <c r="CM26" s="24">
        <v>0</v>
      </c>
      <c r="CN26" s="24">
        <v>0</v>
      </c>
      <c r="CO26" s="24">
        <v>0</v>
      </c>
      <c r="CQ26" s="24">
        <v>0</v>
      </c>
      <c r="CR26" s="24">
        <v>0</v>
      </c>
      <c r="CS26" s="24">
        <v>0</v>
      </c>
      <c r="CT26" s="24">
        <v>0</v>
      </c>
      <c r="CV26" s="24">
        <v>0</v>
      </c>
      <c r="CW26" s="24">
        <v>0</v>
      </c>
      <c r="CX26" s="24">
        <v>-1</v>
      </c>
      <c r="CY26" s="26">
        <v>0</v>
      </c>
      <c r="CZ26" s="24">
        <v>0</v>
      </c>
      <c r="DA26" s="24">
        <v>0</v>
      </c>
      <c r="DC26" s="24">
        <v>1</v>
      </c>
      <c r="DD26" s="24">
        <v>1</v>
      </c>
      <c r="DE26" s="24">
        <v>0</v>
      </c>
      <c r="DF26" s="24">
        <v>0</v>
      </c>
      <c r="DG26" s="24">
        <v>-1</v>
      </c>
      <c r="DI26" s="24">
        <v>0</v>
      </c>
      <c r="DJ26" s="24">
        <v>0</v>
      </c>
      <c r="DL26" s="24">
        <v>0</v>
      </c>
      <c r="DM26" s="24">
        <v>0</v>
      </c>
      <c r="DO26" s="24">
        <v>0</v>
      </c>
      <c r="DP26" s="24">
        <v>0</v>
      </c>
      <c r="DQ26" s="24">
        <v>0</v>
      </c>
      <c r="DR26" s="24">
        <v>0</v>
      </c>
      <c r="DS26" s="24">
        <v>0</v>
      </c>
      <c r="DT26" s="24">
        <v>0</v>
      </c>
      <c r="DV26" s="24">
        <v>0</v>
      </c>
      <c r="DW26" s="24">
        <v>0</v>
      </c>
      <c r="DX26" s="24">
        <v>0</v>
      </c>
      <c r="DY26" s="24">
        <v>0</v>
      </c>
      <c r="DZ26" s="24">
        <v>0</v>
      </c>
    </row>
    <row r="27" spans="1:130">
      <c r="A27" s="24" t="s">
        <v>142</v>
      </c>
      <c r="B27" s="24" t="s">
        <v>142</v>
      </c>
      <c r="C27" s="24" t="s">
        <v>142</v>
      </c>
      <c r="D27" s="24" t="s">
        <v>142</v>
      </c>
      <c r="E27" s="24">
        <v>5013</v>
      </c>
      <c r="F27" s="24" t="s">
        <v>392</v>
      </c>
      <c r="G27" s="24">
        <v>0</v>
      </c>
      <c r="H27" s="24">
        <v>505013</v>
      </c>
      <c r="I27" s="24" t="s">
        <v>392</v>
      </c>
      <c r="J27" s="24" t="s">
        <v>392</v>
      </c>
      <c r="K27" s="24" t="s">
        <v>473</v>
      </c>
      <c r="M27" s="24">
        <v>0</v>
      </c>
      <c r="N27" s="24">
        <v>0</v>
      </c>
      <c r="P27" s="25">
        <v>28</v>
      </c>
      <c r="Q27" s="25">
        <v>0</v>
      </c>
      <c r="R27" s="24">
        <v>0</v>
      </c>
      <c r="S27" s="25">
        <v>0</v>
      </c>
      <c r="T27" s="24"/>
      <c r="U27" s="24">
        <v>3</v>
      </c>
      <c r="V27" s="25">
        <v>1052673</v>
      </c>
      <c r="W27" s="24">
        <v>1</v>
      </c>
      <c r="X27" s="24">
        <v>0</v>
      </c>
      <c r="Y27" s="24">
        <v>0</v>
      </c>
      <c r="Z27" s="24">
        <v>1000</v>
      </c>
      <c r="AB27" s="24">
        <v>30001</v>
      </c>
      <c r="AC27" s="24">
        <v>0</v>
      </c>
      <c r="AD27" s="24">
        <v>0</v>
      </c>
      <c r="AE27" s="24">
        <v>0</v>
      </c>
      <c r="AG27" s="24">
        <v>1</v>
      </c>
      <c r="AH27" s="24">
        <v>0</v>
      </c>
      <c r="AI27" s="24">
        <v>0</v>
      </c>
      <c r="AJ27" s="24">
        <v>0</v>
      </c>
      <c r="AK27" s="24">
        <v>0</v>
      </c>
      <c r="AL27" s="24">
        <v>0</v>
      </c>
      <c r="AM27" s="24">
        <v>0</v>
      </c>
      <c r="AN27" s="24">
        <v>0</v>
      </c>
      <c r="AO27" s="24">
        <v>0</v>
      </c>
      <c r="AP27" s="24">
        <v>0</v>
      </c>
      <c r="AQ27" s="24">
        <v>0</v>
      </c>
      <c r="AR27" s="24">
        <v>-1</v>
      </c>
      <c r="AS27" s="24">
        <v>0</v>
      </c>
      <c r="AT27" s="24">
        <v>0</v>
      </c>
      <c r="AU27" s="24">
        <v>0</v>
      </c>
      <c r="AV27" s="24">
        <v>0</v>
      </c>
      <c r="AW27" s="24">
        <v>0</v>
      </c>
      <c r="AX27" s="24">
        <v>0</v>
      </c>
      <c r="AY27" s="24">
        <v>0</v>
      </c>
      <c r="BA27" s="24">
        <v>0</v>
      </c>
      <c r="BB27" s="24">
        <v>0</v>
      </c>
      <c r="BC27" s="24">
        <v>0</v>
      </c>
      <c r="BD27" s="24">
        <v>0</v>
      </c>
      <c r="BE27" s="24">
        <v>0</v>
      </c>
      <c r="BF27" s="24">
        <v>1</v>
      </c>
      <c r="BG27" s="25">
        <v>1024</v>
      </c>
      <c r="BH27" s="24">
        <v>4</v>
      </c>
      <c r="BI27" s="24">
        <v>5014</v>
      </c>
      <c r="BJ27" s="24">
        <v>1</v>
      </c>
      <c r="BK27" s="24">
        <v>1</v>
      </c>
      <c r="BL27" s="25">
        <v>126</v>
      </c>
      <c r="BM27" s="24">
        <v>0</v>
      </c>
      <c r="BO27" s="25">
        <v>4</v>
      </c>
      <c r="BP27" s="24">
        <v>0</v>
      </c>
      <c r="BQ27" s="24">
        <v>0</v>
      </c>
      <c r="BR27" s="24">
        <v>1</v>
      </c>
      <c r="BS27" s="24">
        <v>0</v>
      </c>
      <c r="BT27" s="24">
        <v>0</v>
      </c>
      <c r="BU27" s="24">
        <v>0</v>
      </c>
      <c r="BV27" s="24">
        <v>0</v>
      </c>
      <c r="BW27" s="24">
        <v>0</v>
      </c>
      <c r="BX27" s="24">
        <v>1</v>
      </c>
      <c r="BZ27" s="24">
        <v>-1</v>
      </c>
      <c r="CA27" s="24">
        <v>0</v>
      </c>
      <c r="CB27" s="24">
        <v>0</v>
      </c>
      <c r="CC27" s="24">
        <v>0</v>
      </c>
      <c r="CD27" s="24">
        <v>0</v>
      </c>
      <c r="CE27" s="24">
        <v>0</v>
      </c>
      <c r="CG27" s="24">
        <v>-1</v>
      </c>
      <c r="CH27" s="24">
        <v>0</v>
      </c>
      <c r="CI27" s="24">
        <v>0</v>
      </c>
      <c r="CJ27" s="24">
        <v>0</v>
      </c>
      <c r="CK27" s="24">
        <v>0</v>
      </c>
      <c r="CL27" s="24">
        <v>0</v>
      </c>
      <c r="CM27" s="24">
        <v>0</v>
      </c>
      <c r="CN27" s="24">
        <v>0</v>
      </c>
      <c r="CO27" s="24">
        <v>0</v>
      </c>
      <c r="CQ27" s="24">
        <v>0</v>
      </c>
      <c r="CR27" s="24">
        <v>0</v>
      </c>
      <c r="CS27" s="24">
        <v>0</v>
      </c>
      <c r="CT27" s="24">
        <v>0</v>
      </c>
      <c r="CV27" s="24">
        <v>0</v>
      </c>
      <c r="CW27" s="24">
        <v>0</v>
      </c>
      <c r="CX27" s="24">
        <v>-1</v>
      </c>
      <c r="CY27" s="26">
        <v>0</v>
      </c>
      <c r="CZ27" s="24">
        <v>0</v>
      </c>
      <c r="DA27" s="24">
        <v>0</v>
      </c>
      <c r="DC27" s="24">
        <v>1</v>
      </c>
      <c r="DD27" s="24">
        <v>1</v>
      </c>
      <c r="DE27" s="24">
        <v>0</v>
      </c>
      <c r="DF27" s="24">
        <v>0</v>
      </c>
      <c r="DG27" s="24">
        <v>-1</v>
      </c>
      <c r="DI27" s="24">
        <v>0</v>
      </c>
      <c r="DJ27" s="24">
        <v>0</v>
      </c>
      <c r="DL27" s="24">
        <v>0</v>
      </c>
      <c r="DM27" s="24">
        <v>0</v>
      </c>
      <c r="DO27" s="24">
        <v>0</v>
      </c>
      <c r="DP27" s="24">
        <v>0</v>
      </c>
      <c r="DQ27" s="24">
        <v>0</v>
      </c>
      <c r="DR27" s="24">
        <v>0</v>
      </c>
      <c r="DS27" s="24">
        <v>0</v>
      </c>
      <c r="DT27" s="24">
        <v>0</v>
      </c>
      <c r="DV27" s="24">
        <v>0</v>
      </c>
      <c r="DW27" s="24">
        <v>0</v>
      </c>
      <c r="DX27" s="24">
        <v>0</v>
      </c>
      <c r="DY27" s="24">
        <v>0</v>
      </c>
      <c r="DZ27" s="24">
        <v>0</v>
      </c>
    </row>
    <row r="28" spans="1:130">
      <c r="A28" s="24" t="s">
        <v>142</v>
      </c>
      <c r="B28" s="24" t="s">
        <v>142</v>
      </c>
      <c r="C28" s="24" t="s">
        <v>142</v>
      </c>
      <c r="D28" s="24" t="s">
        <v>142</v>
      </c>
      <c r="E28" s="24">
        <v>5014</v>
      </c>
      <c r="F28" s="24" t="s">
        <v>500</v>
      </c>
      <c r="G28" s="24">
        <v>0</v>
      </c>
      <c r="H28" s="24">
        <v>505014</v>
      </c>
      <c r="I28" s="24" t="s">
        <v>500</v>
      </c>
      <c r="J28" s="24" t="s">
        <v>500</v>
      </c>
      <c r="K28" s="24" t="s">
        <v>473</v>
      </c>
      <c r="M28" s="24">
        <v>102</v>
      </c>
      <c r="N28" s="24">
        <v>0</v>
      </c>
      <c r="P28" s="25">
        <v>2</v>
      </c>
      <c r="Q28" s="25">
        <v>524288</v>
      </c>
      <c r="R28" s="24">
        <v>0</v>
      </c>
      <c r="S28" s="25">
        <v>0</v>
      </c>
      <c r="T28" s="24"/>
      <c r="U28" s="24">
        <v>0</v>
      </c>
      <c r="V28" s="25">
        <v>0</v>
      </c>
      <c r="W28" s="24">
        <v>0</v>
      </c>
      <c r="X28" s="24">
        <v>0</v>
      </c>
      <c r="Y28" s="24">
        <v>0</v>
      </c>
      <c r="Z28" s="24">
        <v>0</v>
      </c>
      <c r="AB28" s="24">
        <v>10001</v>
      </c>
      <c r="AC28" s="24">
        <v>-1</v>
      </c>
      <c r="AD28" s="24">
        <v>-1</v>
      </c>
      <c r="AE28" s="24">
        <v>-1</v>
      </c>
      <c r="AG28" s="24">
        <v>1</v>
      </c>
      <c r="AH28" s="24">
        <v>0</v>
      </c>
      <c r="AI28" s="24">
        <v>0</v>
      </c>
      <c r="AJ28" s="24">
        <v>0</v>
      </c>
      <c r="AK28" s="24">
        <v>0</v>
      </c>
      <c r="AL28" s="24">
        <v>0</v>
      </c>
      <c r="AM28" s="24">
        <v>0</v>
      </c>
      <c r="AN28" s="24">
        <v>0</v>
      </c>
      <c r="AO28" s="24">
        <v>0</v>
      </c>
      <c r="AP28" s="24">
        <v>0</v>
      </c>
      <c r="AQ28" s="24">
        <v>0</v>
      </c>
      <c r="AR28" s="24">
        <v>-1</v>
      </c>
      <c r="AS28" s="24">
        <v>0</v>
      </c>
      <c r="AT28" s="24">
        <v>0</v>
      </c>
      <c r="AU28" s="24">
        <v>0</v>
      </c>
      <c r="AV28" s="24">
        <v>0</v>
      </c>
      <c r="AW28" s="24">
        <v>0</v>
      </c>
      <c r="AX28" s="24">
        <v>0</v>
      </c>
      <c r="AY28" s="24">
        <v>0</v>
      </c>
      <c r="BA28" s="24">
        <v>0</v>
      </c>
      <c r="BB28" s="24">
        <v>1233</v>
      </c>
      <c r="BC28" s="24">
        <v>1533</v>
      </c>
      <c r="BD28" s="24">
        <v>0</v>
      </c>
      <c r="BE28" s="24">
        <v>300</v>
      </c>
      <c r="BF28" s="24">
        <v>1</v>
      </c>
      <c r="BG28" s="25">
        <v>512</v>
      </c>
      <c r="BH28" s="24">
        <v>4</v>
      </c>
      <c r="BI28" s="24">
        <v>5015</v>
      </c>
      <c r="BJ28" s="24">
        <v>1</v>
      </c>
      <c r="BK28" s="24">
        <v>1</v>
      </c>
      <c r="BL28" s="25">
        <v>126</v>
      </c>
      <c r="BM28" s="24">
        <v>0</v>
      </c>
      <c r="BO28" s="25">
        <v>1</v>
      </c>
      <c r="BP28" s="24">
        <v>10</v>
      </c>
      <c r="BQ28" s="24">
        <v>0</v>
      </c>
      <c r="BR28" s="24">
        <v>2</v>
      </c>
      <c r="BS28" s="24">
        <v>100</v>
      </c>
      <c r="BT28" s="24">
        <v>0</v>
      </c>
      <c r="BU28" s="24">
        <v>0</v>
      </c>
      <c r="BV28" s="24">
        <v>5</v>
      </c>
      <c r="BW28" s="24">
        <v>0</v>
      </c>
      <c r="BX28" s="24">
        <v>4</v>
      </c>
      <c r="BZ28" s="24">
        <v>-1</v>
      </c>
      <c r="CA28" s="24">
        <v>0</v>
      </c>
      <c r="CB28" s="24">
        <v>0</v>
      </c>
      <c r="CC28" s="24">
        <v>0</v>
      </c>
      <c r="CD28" s="24">
        <v>0</v>
      </c>
      <c r="CE28" s="24">
        <v>0</v>
      </c>
      <c r="CG28" s="24">
        <v>-1</v>
      </c>
      <c r="CH28" s="24">
        <v>0</v>
      </c>
      <c r="CI28" s="24">
        <v>0</v>
      </c>
      <c r="CJ28" s="24">
        <v>0</v>
      </c>
      <c r="CK28" s="24">
        <v>0</v>
      </c>
      <c r="CL28" s="24">
        <v>0</v>
      </c>
      <c r="CM28" s="24">
        <v>0</v>
      </c>
      <c r="CN28" s="24">
        <v>0</v>
      </c>
      <c r="CO28" s="24">
        <v>0</v>
      </c>
      <c r="CQ28" s="24">
        <v>0</v>
      </c>
      <c r="CR28" s="24">
        <v>0</v>
      </c>
      <c r="CS28" s="24">
        <v>0</v>
      </c>
      <c r="CT28" s="24">
        <v>0</v>
      </c>
      <c r="CV28" s="24">
        <v>100108</v>
      </c>
      <c r="CW28" s="24">
        <v>1001</v>
      </c>
      <c r="CX28" s="24">
        <v>1004</v>
      </c>
      <c r="CY28" s="26">
        <v>1</v>
      </c>
      <c r="CZ28" s="24">
        <v>3</v>
      </c>
      <c r="DA28" s="24">
        <v>0</v>
      </c>
      <c r="DC28" s="24">
        <v>1</v>
      </c>
      <c r="DD28" s="24">
        <v>1</v>
      </c>
      <c r="DE28" s="24">
        <v>0</v>
      </c>
      <c r="DF28" s="24">
        <v>0</v>
      </c>
      <c r="DG28" s="24">
        <v>-1</v>
      </c>
      <c r="DI28" s="24">
        <v>0</v>
      </c>
      <c r="DJ28" s="24">
        <v>0</v>
      </c>
      <c r="DL28" s="24">
        <v>0</v>
      </c>
      <c r="DM28" s="24">
        <v>0</v>
      </c>
      <c r="DO28" s="24">
        <v>0</v>
      </c>
      <c r="DP28" s="24">
        <v>0</v>
      </c>
      <c r="DQ28" s="24">
        <v>0</v>
      </c>
      <c r="DR28" s="24">
        <v>0</v>
      </c>
      <c r="DS28" s="24">
        <v>0</v>
      </c>
      <c r="DT28" s="24">
        <v>0</v>
      </c>
      <c r="DV28" s="24">
        <v>0</v>
      </c>
      <c r="DW28" s="24">
        <v>0</v>
      </c>
      <c r="DX28" s="24">
        <v>0</v>
      </c>
      <c r="DY28" s="24">
        <v>0</v>
      </c>
      <c r="DZ28" s="24">
        <v>0</v>
      </c>
    </row>
    <row r="29" spans="1:130">
      <c r="G29" s="24" t="s">
        <v>639</v>
      </c>
      <c r="K29" s="24" t="s">
        <v>639</v>
      </c>
      <c r="S29" s="25"/>
      <c r="T29" s="24"/>
      <c r="BO29" s="25" t="s">
        <v>639</v>
      </c>
      <c r="CV29" s="24" t="s">
        <v>639</v>
      </c>
      <c r="DC29" s="24" t="s">
        <v>639</v>
      </c>
      <c r="DD29" s="24" t="s">
        <v>639</v>
      </c>
      <c r="DE29" s="24" t="s">
        <v>639</v>
      </c>
      <c r="DF29" s="24" t="s">
        <v>639</v>
      </c>
      <c r="DG29" s="24" t="s">
        <v>639</v>
      </c>
      <c r="DI29" s="24" t="s">
        <v>639</v>
      </c>
      <c r="DJ29" s="24" t="s">
        <v>639</v>
      </c>
      <c r="DL29" s="24" t="s">
        <v>639</v>
      </c>
      <c r="DM29" s="24" t="s">
        <v>639</v>
      </c>
      <c r="DO29" s="24" t="s">
        <v>639</v>
      </c>
      <c r="DP29" s="24" t="s">
        <v>639</v>
      </c>
      <c r="DQ29" s="24" t="s">
        <v>639</v>
      </c>
      <c r="DR29" s="24" t="s">
        <v>639</v>
      </c>
      <c r="DS29" s="24" t="s">
        <v>639</v>
      </c>
      <c r="DT29" s="24" t="s">
        <v>639</v>
      </c>
      <c r="DV29" s="24" t="s">
        <v>639</v>
      </c>
      <c r="DW29" s="24" t="s">
        <v>639</v>
      </c>
      <c r="DX29" s="24" t="s">
        <v>639</v>
      </c>
      <c r="DY29" s="24" t="s">
        <v>639</v>
      </c>
      <c r="DZ29" s="24" t="s">
        <v>639</v>
      </c>
    </row>
    <row r="30" spans="1:130">
      <c r="G30" s="24" t="s">
        <v>639</v>
      </c>
      <c r="K30" s="24" t="s">
        <v>639</v>
      </c>
      <c r="S30" s="25"/>
      <c r="T30" s="24"/>
      <c r="BO30" s="25" t="s">
        <v>639</v>
      </c>
      <c r="CV30" s="24" t="s">
        <v>639</v>
      </c>
      <c r="DC30" s="24" t="s">
        <v>639</v>
      </c>
      <c r="DD30" s="24" t="s">
        <v>639</v>
      </c>
      <c r="DE30" s="24" t="s">
        <v>639</v>
      </c>
      <c r="DF30" s="24" t="s">
        <v>639</v>
      </c>
      <c r="DG30" s="24" t="s">
        <v>639</v>
      </c>
      <c r="DI30" s="24" t="s">
        <v>639</v>
      </c>
      <c r="DJ30" s="24" t="s">
        <v>639</v>
      </c>
      <c r="DL30" s="24" t="s">
        <v>639</v>
      </c>
      <c r="DM30" s="24" t="s">
        <v>639</v>
      </c>
      <c r="DO30" s="24" t="s">
        <v>639</v>
      </c>
      <c r="DP30" s="24" t="s">
        <v>639</v>
      </c>
      <c r="DQ30" s="24" t="s">
        <v>639</v>
      </c>
      <c r="DR30" s="24" t="s">
        <v>639</v>
      </c>
      <c r="DS30" s="24" t="s">
        <v>639</v>
      </c>
      <c r="DT30" s="24" t="s">
        <v>639</v>
      </c>
      <c r="DV30" s="24" t="s">
        <v>639</v>
      </c>
      <c r="DW30" s="24" t="s">
        <v>639</v>
      </c>
      <c r="DX30" s="24" t="s">
        <v>639</v>
      </c>
      <c r="DY30" s="24" t="s">
        <v>639</v>
      </c>
      <c r="DZ30" s="24" t="s">
        <v>639</v>
      </c>
    </row>
    <row r="31" spans="1:130">
      <c r="G31" s="24" t="s">
        <v>639</v>
      </c>
      <c r="K31" s="24" t="s">
        <v>639</v>
      </c>
      <c r="S31" s="25"/>
      <c r="T31" s="24"/>
      <c r="BO31" s="25" t="s">
        <v>639</v>
      </c>
      <c r="CV31" s="24" t="s">
        <v>639</v>
      </c>
      <c r="DC31" s="24" t="s">
        <v>639</v>
      </c>
      <c r="DD31" s="24" t="s">
        <v>639</v>
      </c>
      <c r="DE31" s="24" t="s">
        <v>639</v>
      </c>
      <c r="DF31" s="24" t="s">
        <v>639</v>
      </c>
      <c r="DG31" s="24" t="s">
        <v>639</v>
      </c>
      <c r="DI31" s="24" t="s">
        <v>639</v>
      </c>
      <c r="DJ31" s="24" t="s">
        <v>639</v>
      </c>
      <c r="DL31" s="24" t="s">
        <v>639</v>
      </c>
      <c r="DM31" s="24" t="s">
        <v>639</v>
      </c>
      <c r="DO31" s="24" t="s">
        <v>639</v>
      </c>
      <c r="DP31" s="24" t="s">
        <v>639</v>
      </c>
      <c r="DQ31" s="24" t="s">
        <v>639</v>
      </c>
      <c r="DR31" s="24" t="s">
        <v>639</v>
      </c>
      <c r="DS31" s="24" t="s">
        <v>639</v>
      </c>
      <c r="DT31" s="24" t="s">
        <v>639</v>
      </c>
      <c r="DV31" s="24" t="s">
        <v>639</v>
      </c>
      <c r="DW31" s="24" t="s">
        <v>639</v>
      </c>
      <c r="DX31" s="24" t="s">
        <v>639</v>
      </c>
      <c r="DY31" s="24" t="s">
        <v>639</v>
      </c>
      <c r="DZ31" s="24" t="s">
        <v>639</v>
      </c>
    </row>
    <row r="32" spans="1:130">
      <c r="G32" s="24" t="s">
        <v>639</v>
      </c>
      <c r="K32" s="24" t="s">
        <v>639</v>
      </c>
      <c r="S32" s="25"/>
      <c r="T32" s="24"/>
      <c r="BO32" s="25" t="s">
        <v>639</v>
      </c>
      <c r="CV32" s="24" t="s">
        <v>639</v>
      </c>
      <c r="DC32" s="24" t="s">
        <v>639</v>
      </c>
      <c r="DD32" s="24" t="s">
        <v>639</v>
      </c>
      <c r="DE32" s="24" t="s">
        <v>639</v>
      </c>
      <c r="DF32" s="24" t="s">
        <v>639</v>
      </c>
      <c r="DG32" s="24" t="s">
        <v>639</v>
      </c>
      <c r="DI32" s="24" t="s">
        <v>639</v>
      </c>
      <c r="DJ32" s="24" t="s">
        <v>639</v>
      </c>
      <c r="DL32" s="24" t="s">
        <v>639</v>
      </c>
      <c r="DM32" s="24" t="s">
        <v>639</v>
      </c>
      <c r="DO32" s="24" t="s">
        <v>639</v>
      </c>
      <c r="DP32" s="24" t="s">
        <v>639</v>
      </c>
      <c r="DQ32" s="24" t="s">
        <v>639</v>
      </c>
      <c r="DR32" s="24" t="s">
        <v>639</v>
      </c>
      <c r="DS32" s="24" t="s">
        <v>639</v>
      </c>
      <c r="DT32" s="24" t="s">
        <v>639</v>
      </c>
      <c r="DV32" s="24" t="s">
        <v>639</v>
      </c>
      <c r="DW32" s="24" t="s">
        <v>639</v>
      </c>
      <c r="DX32" s="24" t="s">
        <v>639</v>
      </c>
      <c r="DY32" s="24" t="s">
        <v>639</v>
      </c>
      <c r="DZ32" s="24" t="s">
        <v>639</v>
      </c>
    </row>
    <row r="33" spans="1:130">
      <c r="G33" s="24" t="s">
        <v>639</v>
      </c>
      <c r="K33" s="24" t="s">
        <v>639</v>
      </c>
      <c r="S33" s="25"/>
      <c r="T33" s="24"/>
      <c r="BO33" s="25" t="s">
        <v>639</v>
      </c>
      <c r="CV33" s="24" t="s">
        <v>639</v>
      </c>
      <c r="DC33" s="24" t="s">
        <v>639</v>
      </c>
      <c r="DD33" s="24" t="s">
        <v>639</v>
      </c>
      <c r="DE33" s="24" t="s">
        <v>639</v>
      </c>
      <c r="DF33" s="24" t="s">
        <v>639</v>
      </c>
      <c r="DG33" s="24" t="s">
        <v>639</v>
      </c>
      <c r="DI33" s="24" t="s">
        <v>639</v>
      </c>
      <c r="DJ33" s="24" t="s">
        <v>639</v>
      </c>
      <c r="DL33" s="24" t="s">
        <v>639</v>
      </c>
      <c r="DM33" s="24" t="s">
        <v>639</v>
      </c>
      <c r="DO33" s="24" t="s">
        <v>639</v>
      </c>
      <c r="DP33" s="24" t="s">
        <v>639</v>
      </c>
      <c r="DQ33" s="24" t="s">
        <v>639</v>
      </c>
      <c r="DR33" s="24" t="s">
        <v>639</v>
      </c>
      <c r="DS33" s="24" t="s">
        <v>639</v>
      </c>
      <c r="DT33" s="24" t="s">
        <v>639</v>
      </c>
      <c r="DV33" s="24" t="s">
        <v>639</v>
      </c>
      <c r="DW33" s="24" t="s">
        <v>639</v>
      </c>
      <c r="DX33" s="24" t="s">
        <v>639</v>
      </c>
      <c r="DY33" s="24" t="s">
        <v>639</v>
      </c>
      <c r="DZ33" s="24" t="s">
        <v>639</v>
      </c>
    </row>
    <row r="34" spans="1:130">
      <c r="A34" s="24" t="s">
        <v>142</v>
      </c>
      <c r="B34" s="24" t="s">
        <v>142</v>
      </c>
      <c r="C34" s="24" t="s">
        <v>142</v>
      </c>
      <c r="D34" s="24" t="s">
        <v>142</v>
      </c>
      <c r="E34" s="24">
        <v>5101</v>
      </c>
      <c r="F34" s="24" t="s">
        <v>250</v>
      </c>
      <c r="G34" s="24">
        <v>0</v>
      </c>
      <c r="H34" s="24">
        <v>505101</v>
      </c>
      <c r="I34" s="24" t="s">
        <v>250</v>
      </c>
      <c r="J34" s="24" t="s">
        <v>250</v>
      </c>
      <c r="K34" s="24" t="s">
        <v>473</v>
      </c>
      <c r="M34" s="24">
        <v>0</v>
      </c>
      <c r="N34" s="24">
        <v>0</v>
      </c>
      <c r="P34" s="25">
        <v>4</v>
      </c>
      <c r="Q34" s="25">
        <v>0</v>
      </c>
      <c r="R34" s="24">
        <v>0</v>
      </c>
      <c r="S34" s="25">
        <v>0</v>
      </c>
      <c r="T34" s="24"/>
      <c r="U34" s="24">
        <v>0</v>
      </c>
      <c r="V34" s="25">
        <v>0</v>
      </c>
      <c r="W34" s="24">
        <v>0</v>
      </c>
      <c r="X34" s="24">
        <v>0</v>
      </c>
      <c r="Y34" s="24">
        <v>0</v>
      </c>
      <c r="Z34" s="24">
        <v>0</v>
      </c>
      <c r="AB34" s="24">
        <v>20002</v>
      </c>
      <c r="AC34" s="24">
        <v>1</v>
      </c>
      <c r="AD34" s="24">
        <v>2000</v>
      </c>
      <c r="AE34" s="24">
        <v>600</v>
      </c>
      <c r="AG34" s="24">
        <v>1</v>
      </c>
      <c r="AH34" s="24">
        <v>0</v>
      </c>
      <c r="AI34" s="24">
        <v>0</v>
      </c>
      <c r="AJ34" s="24">
        <v>0</v>
      </c>
      <c r="AK34" s="24">
        <v>0</v>
      </c>
      <c r="AL34" s="24">
        <v>0</v>
      </c>
      <c r="AM34" s="24">
        <v>0</v>
      </c>
      <c r="AN34" s="24">
        <v>0</v>
      </c>
      <c r="AO34" s="24">
        <v>0</v>
      </c>
      <c r="AP34" s="24">
        <v>0</v>
      </c>
      <c r="AQ34" s="24">
        <v>0</v>
      </c>
      <c r="AR34" s="24">
        <v>-1</v>
      </c>
      <c r="AS34" s="24">
        <v>0</v>
      </c>
      <c r="AT34" s="24">
        <v>0</v>
      </c>
      <c r="AU34" s="24">
        <v>0</v>
      </c>
      <c r="AV34" s="24">
        <v>0</v>
      </c>
      <c r="AW34" s="24">
        <v>0</v>
      </c>
      <c r="AX34" s="24">
        <v>0</v>
      </c>
      <c r="AY34" s="24">
        <v>0</v>
      </c>
      <c r="BA34" s="24">
        <v>0</v>
      </c>
      <c r="BB34" s="24">
        <v>0</v>
      </c>
      <c r="BC34" s="24">
        <v>0</v>
      </c>
      <c r="BD34" s="24">
        <v>0</v>
      </c>
      <c r="BE34" s="24">
        <v>0</v>
      </c>
      <c r="BF34" s="24">
        <v>1</v>
      </c>
      <c r="BG34" s="25">
        <v>528</v>
      </c>
      <c r="BH34" s="24">
        <v>4</v>
      </c>
      <c r="BI34" s="24">
        <v>5101</v>
      </c>
      <c r="BJ34" s="24">
        <v>1</v>
      </c>
      <c r="BK34" s="24">
        <v>1</v>
      </c>
      <c r="BL34" s="25">
        <v>126</v>
      </c>
      <c r="BM34" s="24">
        <v>0</v>
      </c>
      <c r="BO34" s="25">
        <v>1</v>
      </c>
      <c r="BP34" s="24">
        <v>0</v>
      </c>
      <c r="BQ34" s="24">
        <v>0</v>
      </c>
      <c r="BR34" s="24">
        <v>1</v>
      </c>
      <c r="BS34" s="24">
        <v>0</v>
      </c>
      <c r="BT34" s="24">
        <v>0</v>
      </c>
      <c r="BU34" s="24">
        <v>0</v>
      </c>
      <c r="BV34" s="24">
        <v>0</v>
      </c>
      <c r="BW34" s="24">
        <v>0</v>
      </c>
      <c r="BX34" s="24">
        <v>1</v>
      </c>
      <c r="BZ34" s="24">
        <v>-1</v>
      </c>
      <c r="CA34" s="24">
        <v>0</v>
      </c>
      <c r="CB34" s="24">
        <v>0</v>
      </c>
      <c r="CC34" s="24">
        <v>0</v>
      </c>
      <c r="CD34" s="24">
        <v>0</v>
      </c>
      <c r="CE34" s="24">
        <v>0</v>
      </c>
      <c r="CG34" s="24">
        <v>-1</v>
      </c>
      <c r="CH34" s="24">
        <v>0</v>
      </c>
      <c r="CI34" s="24">
        <v>0</v>
      </c>
      <c r="CJ34" s="24">
        <v>0</v>
      </c>
      <c r="CK34" s="24">
        <v>0</v>
      </c>
      <c r="CL34" s="24">
        <v>0</v>
      </c>
      <c r="CM34" s="24">
        <v>0</v>
      </c>
      <c r="CN34" s="24">
        <v>0</v>
      </c>
      <c r="CO34" s="24">
        <v>0</v>
      </c>
      <c r="CQ34" s="24">
        <v>0</v>
      </c>
      <c r="CR34" s="24">
        <v>0</v>
      </c>
      <c r="CS34" s="24">
        <v>0</v>
      </c>
      <c r="CT34" s="24">
        <v>0</v>
      </c>
      <c r="CV34" s="24">
        <v>0</v>
      </c>
      <c r="CW34" s="24">
        <v>0</v>
      </c>
      <c r="CX34" s="24">
        <v>-1</v>
      </c>
      <c r="CY34" s="26">
        <v>0</v>
      </c>
      <c r="CZ34" s="24">
        <v>0</v>
      </c>
      <c r="DA34" s="24">
        <v>0</v>
      </c>
      <c r="DC34" s="24">
        <v>1</v>
      </c>
      <c r="DD34" s="24">
        <v>1</v>
      </c>
      <c r="DE34" s="24">
        <v>0</v>
      </c>
      <c r="DF34" s="24">
        <v>0</v>
      </c>
      <c r="DG34" s="24">
        <v>-1</v>
      </c>
      <c r="DI34" s="24">
        <v>0</v>
      </c>
      <c r="DJ34" s="24">
        <v>0</v>
      </c>
      <c r="DL34" s="24">
        <v>0</v>
      </c>
      <c r="DM34" s="24">
        <v>0</v>
      </c>
      <c r="DO34" s="24">
        <v>0</v>
      </c>
      <c r="DP34" s="24">
        <v>0</v>
      </c>
      <c r="DQ34" s="24">
        <v>0</v>
      </c>
      <c r="DR34" s="24">
        <v>0</v>
      </c>
      <c r="DS34" s="24">
        <v>0</v>
      </c>
      <c r="DT34" s="24">
        <v>0</v>
      </c>
      <c r="DV34" s="24">
        <v>0</v>
      </c>
      <c r="DW34" s="24">
        <v>0</v>
      </c>
      <c r="DX34" s="24">
        <v>0</v>
      </c>
      <c r="DY34" s="24">
        <v>0</v>
      </c>
      <c r="DZ34" s="24">
        <v>0</v>
      </c>
    </row>
    <row r="35" spans="1:130">
      <c r="A35" s="24" t="s">
        <v>142</v>
      </c>
      <c r="B35" s="24" t="s">
        <v>142</v>
      </c>
      <c r="C35" s="24" t="s">
        <v>142</v>
      </c>
      <c r="D35" s="24" t="s">
        <v>142</v>
      </c>
      <c r="E35" s="24">
        <v>5102</v>
      </c>
      <c r="F35" s="24" t="s">
        <v>251</v>
      </c>
      <c r="G35" s="24">
        <v>0</v>
      </c>
      <c r="H35" s="24">
        <v>505102</v>
      </c>
      <c r="I35" s="24" t="s">
        <v>251</v>
      </c>
      <c r="J35" s="24" t="s">
        <v>251</v>
      </c>
      <c r="K35" s="24" t="s">
        <v>561</v>
      </c>
      <c r="M35" s="24">
        <v>102</v>
      </c>
      <c r="N35" s="24">
        <v>0</v>
      </c>
      <c r="P35" s="25">
        <v>2</v>
      </c>
      <c r="Q35" s="25">
        <v>589824</v>
      </c>
      <c r="R35" s="24">
        <v>0</v>
      </c>
      <c r="S35" s="25">
        <v>0</v>
      </c>
      <c r="T35" s="24"/>
      <c r="U35" s="24">
        <v>0</v>
      </c>
      <c r="V35" s="25">
        <v>0</v>
      </c>
      <c r="W35" s="24">
        <v>0</v>
      </c>
      <c r="X35" s="24">
        <v>0</v>
      </c>
      <c r="Y35" s="24">
        <v>0</v>
      </c>
      <c r="Z35" s="24">
        <v>0</v>
      </c>
      <c r="AB35" s="24">
        <v>10001</v>
      </c>
      <c r="AC35" s="24">
        <v>-1</v>
      </c>
      <c r="AD35" s="24">
        <v>-1</v>
      </c>
      <c r="AE35" s="24">
        <v>-1</v>
      </c>
      <c r="AG35" s="24">
        <v>1</v>
      </c>
      <c r="AH35" s="24">
        <v>0</v>
      </c>
      <c r="AI35" s="24">
        <v>0</v>
      </c>
      <c r="AJ35" s="24">
        <v>0</v>
      </c>
      <c r="AK35" s="24">
        <v>0</v>
      </c>
      <c r="AL35" s="24">
        <v>0</v>
      </c>
      <c r="AM35" s="24">
        <v>0</v>
      </c>
      <c r="AN35" s="24">
        <v>0</v>
      </c>
      <c r="AO35" s="24">
        <v>0</v>
      </c>
      <c r="AP35" s="24">
        <v>0</v>
      </c>
      <c r="AQ35" s="24">
        <v>0</v>
      </c>
      <c r="AR35" s="24">
        <v>-1</v>
      </c>
      <c r="AS35" s="24">
        <v>0</v>
      </c>
      <c r="AT35" s="24">
        <v>0</v>
      </c>
      <c r="AU35" s="24">
        <v>0</v>
      </c>
      <c r="AV35" s="24">
        <v>0</v>
      </c>
      <c r="AW35" s="24">
        <v>0</v>
      </c>
      <c r="AX35" s="24">
        <v>0</v>
      </c>
      <c r="AY35" s="24">
        <v>0</v>
      </c>
      <c r="BA35" s="24">
        <v>0</v>
      </c>
      <c r="BB35" s="24">
        <v>500</v>
      </c>
      <c r="BC35" s="24">
        <v>1000</v>
      </c>
      <c r="BD35" s="24">
        <v>0</v>
      </c>
      <c r="BE35" s="24">
        <v>250</v>
      </c>
      <c r="BF35" s="24">
        <v>1</v>
      </c>
      <c r="BG35" s="25">
        <v>1</v>
      </c>
      <c r="BH35" s="24">
        <v>1</v>
      </c>
      <c r="BI35" s="24">
        <v>0</v>
      </c>
      <c r="BJ35" s="24">
        <v>0</v>
      </c>
      <c r="BK35" s="24">
        <v>0</v>
      </c>
      <c r="BL35" s="25">
        <v>126</v>
      </c>
      <c r="BM35" s="24">
        <v>0</v>
      </c>
      <c r="BO35" s="25">
        <v>4</v>
      </c>
      <c r="BP35" s="24">
        <v>20</v>
      </c>
      <c r="BQ35" s="24">
        <v>0</v>
      </c>
      <c r="BR35" s="24">
        <v>1</v>
      </c>
      <c r="BS35" s="24">
        <v>0</v>
      </c>
      <c r="BT35" s="24">
        <v>0</v>
      </c>
      <c r="BU35" s="24">
        <v>0</v>
      </c>
      <c r="BV35" s="24">
        <v>6</v>
      </c>
      <c r="BW35" s="24">
        <v>0</v>
      </c>
      <c r="BX35" s="24">
        <v>1</v>
      </c>
      <c r="BZ35" s="24">
        <v>-1</v>
      </c>
      <c r="CA35" s="24">
        <v>0</v>
      </c>
      <c r="CB35" s="24">
        <v>0</v>
      </c>
      <c r="CC35" s="24">
        <v>0</v>
      </c>
      <c r="CD35" s="24">
        <v>0</v>
      </c>
      <c r="CE35" s="24">
        <v>0</v>
      </c>
      <c r="CG35" s="24">
        <v>-1</v>
      </c>
      <c r="CH35" s="24">
        <v>0</v>
      </c>
      <c r="CI35" s="24">
        <v>0</v>
      </c>
      <c r="CJ35" s="24">
        <v>0</v>
      </c>
      <c r="CK35" s="24">
        <v>0</v>
      </c>
      <c r="CL35" s="24">
        <v>0</v>
      </c>
      <c r="CM35" s="24">
        <v>0</v>
      </c>
      <c r="CN35" s="24">
        <v>0</v>
      </c>
      <c r="CO35" s="24">
        <v>0</v>
      </c>
      <c r="CQ35" s="24">
        <v>0</v>
      </c>
      <c r="CR35" s="24">
        <v>0</v>
      </c>
      <c r="CS35" s="24">
        <v>0</v>
      </c>
      <c r="CT35" s="24">
        <v>0</v>
      </c>
      <c r="CV35" s="24">
        <v>100201</v>
      </c>
      <c r="CW35" s="24">
        <v>2</v>
      </c>
      <c r="CX35" s="24">
        <v>100</v>
      </c>
      <c r="CY35" s="26">
        <v>3</v>
      </c>
      <c r="CZ35" s="24">
        <v>1</v>
      </c>
      <c r="DA35" s="24">
        <v>0</v>
      </c>
      <c r="DC35" s="24">
        <v>1</v>
      </c>
      <c r="DD35" s="24">
        <v>1</v>
      </c>
      <c r="DE35" s="24">
        <v>0</v>
      </c>
      <c r="DF35" s="24">
        <v>0</v>
      </c>
      <c r="DG35" s="24">
        <v>-1</v>
      </c>
      <c r="DI35" s="24">
        <v>1</v>
      </c>
      <c r="DJ35" s="24">
        <v>30</v>
      </c>
      <c r="DL35" s="24">
        <v>0</v>
      </c>
      <c r="DM35" s="24">
        <v>0</v>
      </c>
      <c r="DO35" s="24">
        <v>0</v>
      </c>
      <c r="DP35" s="24">
        <v>0</v>
      </c>
      <c r="DQ35" s="24">
        <v>0</v>
      </c>
      <c r="DR35" s="24">
        <v>0</v>
      </c>
      <c r="DS35" s="24">
        <v>0</v>
      </c>
      <c r="DT35" s="24">
        <v>0</v>
      </c>
      <c r="DV35" s="24">
        <v>0</v>
      </c>
      <c r="DW35" s="24">
        <v>0</v>
      </c>
      <c r="DX35" s="24">
        <v>0</v>
      </c>
      <c r="DY35" s="24">
        <v>0</v>
      </c>
      <c r="DZ35" s="24">
        <v>0</v>
      </c>
    </row>
    <row r="36" spans="1:130">
      <c r="A36" s="24" t="s">
        <v>142</v>
      </c>
      <c r="B36" s="24" t="s">
        <v>142</v>
      </c>
      <c r="C36" s="24" t="s">
        <v>142</v>
      </c>
      <c r="D36" s="24" t="s">
        <v>142</v>
      </c>
      <c r="E36" s="24">
        <v>5103</v>
      </c>
      <c r="F36" s="24" t="s">
        <v>252</v>
      </c>
      <c r="G36" s="24">
        <v>0</v>
      </c>
      <c r="H36" s="24">
        <v>505103</v>
      </c>
      <c r="I36" s="24" t="s">
        <v>252</v>
      </c>
      <c r="J36" s="24" t="s">
        <v>252</v>
      </c>
      <c r="K36" s="24" t="s">
        <v>473</v>
      </c>
      <c r="M36" s="24">
        <v>0</v>
      </c>
      <c r="N36" s="24">
        <v>0</v>
      </c>
      <c r="P36" s="25">
        <v>4</v>
      </c>
      <c r="Q36" s="25">
        <v>0</v>
      </c>
      <c r="R36" s="24">
        <v>0</v>
      </c>
      <c r="S36" s="25">
        <v>0</v>
      </c>
      <c r="T36" s="24"/>
      <c r="U36" s="24">
        <v>0</v>
      </c>
      <c r="V36" s="25">
        <v>0</v>
      </c>
      <c r="W36" s="24">
        <v>0</v>
      </c>
      <c r="X36" s="24">
        <v>0</v>
      </c>
      <c r="Y36" s="24">
        <v>0</v>
      </c>
      <c r="Z36" s="24">
        <v>0</v>
      </c>
      <c r="AB36" s="24">
        <v>20002</v>
      </c>
      <c r="AC36" s="24">
        <v>0</v>
      </c>
      <c r="AD36" s="24">
        <v>2000</v>
      </c>
      <c r="AE36" s="24">
        <v>600</v>
      </c>
      <c r="AG36" s="24">
        <v>1</v>
      </c>
      <c r="AH36" s="24">
        <v>0</v>
      </c>
      <c r="AI36" s="24">
        <v>0</v>
      </c>
      <c r="AJ36" s="24">
        <v>0</v>
      </c>
      <c r="AK36" s="24">
        <v>0</v>
      </c>
      <c r="AL36" s="24">
        <v>0</v>
      </c>
      <c r="AM36" s="24">
        <v>0</v>
      </c>
      <c r="AN36" s="24">
        <v>0</v>
      </c>
      <c r="AO36" s="24">
        <v>0</v>
      </c>
      <c r="AP36" s="24">
        <v>0</v>
      </c>
      <c r="AQ36" s="24">
        <v>0</v>
      </c>
      <c r="AR36" s="24">
        <v>-1</v>
      </c>
      <c r="AS36" s="24">
        <v>0</v>
      </c>
      <c r="AT36" s="24">
        <v>0</v>
      </c>
      <c r="AU36" s="24">
        <v>0</v>
      </c>
      <c r="AV36" s="24">
        <v>0</v>
      </c>
      <c r="AW36" s="24">
        <v>0</v>
      </c>
      <c r="AX36" s="24">
        <v>0</v>
      </c>
      <c r="AY36" s="24">
        <v>0</v>
      </c>
      <c r="BA36" s="24">
        <v>0</v>
      </c>
      <c r="BB36" s="24">
        <v>0</v>
      </c>
      <c r="BC36" s="24">
        <v>0</v>
      </c>
      <c r="BD36" s="24">
        <v>0</v>
      </c>
      <c r="BE36" s="24">
        <v>0</v>
      </c>
      <c r="BF36" s="24">
        <v>1</v>
      </c>
      <c r="BG36" s="25">
        <v>528</v>
      </c>
      <c r="BH36" s="24">
        <v>4</v>
      </c>
      <c r="BI36" s="24">
        <v>5103</v>
      </c>
      <c r="BJ36" s="24">
        <v>1</v>
      </c>
      <c r="BK36" s="24">
        <v>1</v>
      </c>
      <c r="BL36" s="25">
        <v>126</v>
      </c>
      <c r="BM36" s="24">
        <v>0</v>
      </c>
      <c r="BO36" s="25">
        <v>1</v>
      </c>
      <c r="BP36" s="24">
        <v>0</v>
      </c>
      <c r="BQ36" s="24">
        <v>0</v>
      </c>
      <c r="BR36" s="24">
        <v>1</v>
      </c>
      <c r="BS36" s="24">
        <v>0</v>
      </c>
      <c r="BT36" s="24">
        <v>0</v>
      </c>
      <c r="BU36" s="24">
        <v>0</v>
      </c>
      <c r="BV36" s="24">
        <v>0</v>
      </c>
      <c r="BW36" s="24">
        <v>0</v>
      </c>
      <c r="BX36" s="24">
        <v>1</v>
      </c>
      <c r="BZ36" s="24">
        <v>-1</v>
      </c>
      <c r="CA36" s="24">
        <v>0</v>
      </c>
      <c r="CB36" s="24">
        <v>0</v>
      </c>
      <c r="CC36" s="24">
        <v>0</v>
      </c>
      <c r="CD36" s="24">
        <v>0</v>
      </c>
      <c r="CE36" s="24">
        <v>0</v>
      </c>
      <c r="CG36" s="24">
        <v>-1</v>
      </c>
      <c r="CH36" s="24">
        <v>0</v>
      </c>
      <c r="CI36" s="24">
        <v>0</v>
      </c>
      <c r="CJ36" s="24">
        <v>0</v>
      </c>
      <c r="CK36" s="24">
        <v>0</v>
      </c>
      <c r="CL36" s="24">
        <v>0</v>
      </c>
      <c r="CM36" s="24">
        <v>0</v>
      </c>
      <c r="CN36" s="24">
        <v>0</v>
      </c>
      <c r="CO36" s="24">
        <v>0</v>
      </c>
      <c r="CQ36" s="24">
        <v>0</v>
      </c>
      <c r="CR36" s="24">
        <v>0</v>
      </c>
      <c r="CS36" s="24">
        <v>0</v>
      </c>
      <c r="CT36" s="24">
        <v>0</v>
      </c>
      <c r="CV36" s="24">
        <v>0</v>
      </c>
      <c r="CW36" s="24">
        <v>0</v>
      </c>
      <c r="CX36" s="24">
        <v>-1</v>
      </c>
      <c r="CY36" s="26">
        <v>0</v>
      </c>
      <c r="CZ36" s="24">
        <v>0</v>
      </c>
      <c r="DA36" s="24">
        <v>0</v>
      </c>
      <c r="DC36" s="24">
        <v>1</v>
      </c>
      <c r="DD36" s="24">
        <v>1</v>
      </c>
      <c r="DE36" s="24">
        <v>0</v>
      </c>
      <c r="DF36" s="24">
        <v>0</v>
      </c>
      <c r="DG36" s="24">
        <v>-1</v>
      </c>
      <c r="DI36" s="24">
        <v>0</v>
      </c>
      <c r="DJ36" s="24">
        <v>0</v>
      </c>
      <c r="DL36" s="24">
        <v>0</v>
      </c>
      <c r="DM36" s="24">
        <v>0</v>
      </c>
      <c r="DO36" s="24">
        <v>0</v>
      </c>
      <c r="DP36" s="24">
        <v>0</v>
      </c>
      <c r="DQ36" s="24">
        <v>0</v>
      </c>
      <c r="DR36" s="24">
        <v>0</v>
      </c>
      <c r="DS36" s="24">
        <v>0</v>
      </c>
      <c r="DT36" s="24">
        <v>0</v>
      </c>
      <c r="DV36" s="24">
        <v>0</v>
      </c>
      <c r="DW36" s="24">
        <v>0</v>
      </c>
      <c r="DX36" s="24">
        <v>0</v>
      </c>
      <c r="DY36" s="24">
        <v>0</v>
      </c>
      <c r="DZ36" s="24">
        <v>0</v>
      </c>
    </row>
    <row r="37" spans="1:130">
      <c r="A37" s="24" t="s">
        <v>142</v>
      </c>
      <c r="B37" s="24" t="s">
        <v>142</v>
      </c>
      <c r="C37" s="24" t="s">
        <v>142</v>
      </c>
      <c r="D37" s="24" t="s">
        <v>142</v>
      </c>
      <c r="E37" s="24">
        <v>5106</v>
      </c>
      <c r="F37" s="24" t="s">
        <v>411</v>
      </c>
      <c r="G37" s="24">
        <v>0</v>
      </c>
      <c r="H37" s="24">
        <v>505106</v>
      </c>
      <c r="I37" s="24" t="s">
        <v>411</v>
      </c>
      <c r="J37" s="24" t="s">
        <v>411</v>
      </c>
      <c r="K37" s="24" t="s">
        <v>640</v>
      </c>
      <c r="M37" s="24">
        <v>102</v>
      </c>
      <c r="N37" s="24">
        <v>0</v>
      </c>
      <c r="P37" s="25">
        <v>2</v>
      </c>
      <c r="Q37" s="25">
        <v>524288</v>
      </c>
      <c r="R37" s="24">
        <v>0</v>
      </c>
      <c r="S37" s="25">
        <v>0</v>
      </c>
      <c r="T37" s="24"/>
      <c r="U37" s="24">
        <v>0</v>
      </c>
      <c r="V37" s="25">
        <v>0</v>
      </c>
      <c r="W37" s="24">
        <v>0</v>
      </c>
      <c r="X37" s="24">
        <v>0</v>
      </c>
      <c r="Y37" s="24">
        <v>0</v>
      </c>
      <c r="Z37" s="24">
        <v>0</v>
      </c>
      <c r="AB37" s="24">
        <v>10001</v>
      </c>
      <c r="AC37" s="24">
        <v>-1</v>
      </c>
      <c r="AD37" s="24">
        <v>-1</v>
      </c>
      <c r="AE37" s="24">
        <v>-1</v>
      </c>
      <c r="AG37" s="24">
        <v>1</v>
      </c>
      <c r="AH37" s="24">
        <v>0</v>
      </c>
      <c r="AI37" s="24">
        <v>0</v>
      </c>
      <c r="AJ37" s="24">
        <v>0</v>
      </c>
      <c r="AK37" s="24">
        <v>0</v>
      </c>
      <c r="AL37" s="24">
        <v>0</v>
      </c>
      <c r="AM37" s="24">
        <v>0</v>
      </c>
      <c r="AN37" s="24">
        <v>0</v>
      </c>
      <c r="AO37" s="24">
        <v>0</v>
      </c>
      <c r="AP37" s="24">
        <v>0</v>
      </c>
      <c r="AQ37" s="24">
        <v>0</v>
      </c>
      <c r="AR37" s="24">
        <v>-1</v>
      </c>
      <c r="AS37" s="24">
        <v>0</v>
      </c>
      <c r="AT37" s="24">
        <v>0</v>
      </c>
      <c r="AU37" s="24">
        <v>0</v>
      </c>
      <c r="AV37" s="24">
        <v>0</v>
      </c>
      <c r="AW37" s="24">
        <v>0</v>
      </c>
      <c r="AX37" s="24">
        <v>0</v>
      </c>
      <c r="AY37" s="24">
        <v>0</v>
      </c>
      <c r="BA37" s="24">
        <v>0</v>
      </c>
      <c r="BB37" s="24">
        <v>700</v>
      </c>
      <c r="BC37" s="24">
        <v>1000</v>
      </c>
      <c r="BD37" s="24">
        <v>0</v>
      </c>
      <c r="BE37" s="24">
        <v>300</v>
      </c>
      <c r="BF37" s="24">
        <v>1</v>
      </c>
      <c r="BG37" s="25">
        <v>528</v>
      </c>
      <c r="BH37" s="24">
        <v>4</v>
      </c>
      <c r="BI37" s="24">
        <v>5106</v>
      </c>
      <c r="BJ37" s="24">
        <v>1</v>
      </c>
      <c r="BK37" s="24">
        <v>1</v>
      </c>
      <c r="BL37" s="25">
        <v>126</v>
      </c>
      <c r="BM37" s="24">
        <v>0</v>
      </c>
      <c r="BO37" s="25">
        <v>1</v>
      </c>
      <c r="BP37" s="24">
        <v>0</v>
      </c>
      <c r="BQ37" s="24">
        <v>0</v>
      </c>
      <c r="BR37" s="24">
        <v>1</v>
      </c>
      <c r="BS37" s="24">
        <v>0</v>
      </c>
      <c r="BT37" s="24">
        <v>0</v>
      </c>
      <c r="BU37" s="24">
        <v>0</v>
      </c>
      <c r="BV37" s="24">
        <v>0</v>
      </c>
      <c r="BW37" s="24">
        <v>0</v>
      </c>
      <c r="BX37" s="24">
        <v>1</v>
      </c>
      <c r="BZ37" s="24">
        <v>5106</v>
      </c>
      <c r="CA37" s="24">
        <v>0</v>
      </c>
      <c r="CB37" s="24">
        <v>0</v>
      </c>
      <c r="CC37" s="24">
        <v>0</v>
      </c>
      <c r="CD37" s="24">
        <v>0</v>
      </c>
      <c r="CE37" s="24">
        <v>0</v>
      </c>
      <c r="CG37" s="24">
        <v>-1</v>
      </c>
      <c r="CH37" s="24">
        <v>0</v>
      </c>
      <c r="CI37" s="24">
        <v>0</v>
      </c>
      <c r="CJ37" s="24">
        <v>0</v>
      </c>
      <c r="CK37" s="24">
        <v>0</v>
      </c>
      <c r="CL37" s="24">
        <v>0</v>
      </c>
      <c r="CM37" s="24">
        <v>0</v>
      </c>
      <c r="CN37" s="24">
        <v>0</v>
      </c>
      <c r="CO37" s="24">
        <v>0</v>
      </c>
      <c r="CQ37" s="24">
        <v>0</v>
      </c>
      <c r="CR37" s="24">
        <v>0</v>
      </c>
      <c r="CS37" s="24">
        <v>0</v>
      </c>
      <c r="CT37" s="24">
        <v>0</v>
      </c>
      <c r="CV37" s="24">
        <v>100203</v>
      </c>
      <c r="CW37" s="24">
        <v>0</v>
      </c>
      <c r="CX37" s="24">
        <v>-1</v>
      </c>
      <c r="CY37" s="26">
        <v>0</v>
      </c>
      <c r="CZ37" s="24">
        <v>2</v>
      </c>
      <c r="DA37" s="24">
        <v>0</v>
      </c>
      <c r="DC37" s="24">
        <v>1</v>
      </c>
      <c r="DD37" s="24">
        <v>1</v>
      </c>
      <c r="DE37" s="24">
        <v>0</v>
      </c>
      <c r="DF37" s="24">
        <v>0</v>
      </c>
      <c r="DG37" s="24">
        <v>-1</v>
      </c>
      <c r="DI37" s="24">
        <v>0</v>
      </c>
      <c r="DJ37" s="24">
        <v>0</v>
      </c>
      <c r="DL37" s="24">
        <v>0</v>
      </c>
      <c r="DM37" s="24">
        <v>0</v>
      </c>
      <c r="DO37" s="24">
        <v>0</v>
      </c>
      <c r="DP37" s="24">
        <v>0</v>
      </c>
      <c r="DQ37" s="24">
        <v>0</v>
      </c>
      <c r="DR37" s="24">
        <v>0</v>
      </c>
      <c r="DS37" s="24">
        <v>0</v>
      </c>
      <c r="DT37" s="24">
        <v>0</v>
      </c>
      <c r="DV37" s="24">
        <v>0</v>
      </c>
      <c r="DW37" s="24">
        <v>0</v>
      </c>
      <c r="DX37" s="24">
        <v>0</v>
      </c>
      <c r="DY37" s="24">
        <v>0</v>
      </c>
      <c r="DZ37" s="24">
        <v>0</v>
      </c>
    </row>
    <row r="38" spans="1:130">
      <c r="A38" s="24" t="s">
        <v>509</v>
      </c>
      <c r="B38" s="24" t="s">
        <v>142</v>
      </c>
      <c r="C38" s="24" t="s">
        <v>142</v>
      </c>
      <c r="D38" s="24" t="s">
        <v>142</v>
      </c>
      <c r="E38" s="24">
        <v>5107</v>
      </c>
      <c r="F38" s="24" t="s">
        <v>510</v>
      </c>
      <c r="G38" s="24">
        <v>0</v>
      </c>
      <c r="H38" s="24">
        <v>505107</v>
      </c>
      <c r="I38" s="24" t="s">
        <v>510</v>
      </c>
      <c r="J38" s="24" t="s">
        <v>510</v>
      </c>
      <c r="K38" s="24" t="s">
        <v>641</v>
      </c>
      <c r="M38" s="24">
        <v>102</v>
      </c>
      <c r="N38" s="24">
        <v>0</v>
      </c>
      <c r="P38" s="25">
        <v>2</v>
      </c>
      <c r="Q38" s="25">
        <v>524289</v>
      </c>
      <c r="R38" s="24">
        <v>0</v>
      </c>
      <c r="S38" s="25">
        <v>0</v>
      </c>
      <c r="T38" s="24"/>
      <c r="U38" s="24">
        <v>0</v>
      </c>
      <c r="V38" s="25">
        <v>0</v>
      </c>
      <c r="W38" s="24">
        <v>0</v>
      </c>
      <c r="X38" s="24">
        <v>0</v>
      </c>
      <c r="Y38" s="24">
        <v>0</v>
      </c>
      <c r="Z38" s="24">
        <v>0</v>
      </c>
      <c r="AB38" s="24">
        <v>10002</v>
      </c>
      <c r="AC38" s="24">
        <v>100204</v>
      </c>
      <c r="AD38" s="24">
        <v>2000</v>
      </c>
      <c r="AE38" s="24">
        <v>-1</v>
      </c>
      <c r="AG38" s="24">
        <v>1</v>
      </c>
      <c r="AH38" s="24">
        <v>0</v>
      </c>
      <c r="AI38" s="24">
        <v>0</v>
      </c>
      <c r="AJ38" s="24">
        <v>0</v>
      </c>
      <c r="AK38" s="24">
        <v>0</v>
      </c>
      <c r="AL38" s="24">
        <v>0</v>
      </c>
      <c r="AM38" s="24">
        <v>0</v>
      </c>
      <c r="AN38" s="24">
        <v>0</v>
      </c>
      <c r="AO38" s="24">
        <v>0</v>
      </c>
      <c r="AP38" s="24">
        <v>0</v>
      </c>
      <c r="AQ38" s="24">
        <v>0</v>
      </c>
      <c r="AR38" s="24">
        <v>-1</v>
      </c>
      <c r="AS38" s="24">
        <v>0</v>
      </c>
      <c r="AT38" s="24">
        <v>0</v>
      </c>
      <c r="AU38" s="24">
        <v>0</v>
      </c>
      <c r="AV38" s="24">
        <v>0</v>
      </c>
      <c r="AW38" s="24">
        <v>0</v>
      </c>
      <c r="AX38" s="24">
        <v>0</v>
      </c>
      <c r="AY38" s="24">
        <v>0</v>
      </c>
      <c r="BA38" s="24">
        <v>0</v>
      </c>
      <c r="BB38" s="24">
        <v>0</v>
      </c>
      <c r="BC38" s="24">
        <v>2000</v>
      </c>
      <c r="BD38" s="24">
        <v>0</v>
      </c>
      <c r="BE38" s="24">
        <v>0</v>
      </c>
      <c r="BF38" s="24">
        <v>1</v>
      </c>
      <c r="BG38" s="25">
        <v>17</v>
      </c>
      <c r="BH38" s="24">
        <v>1</v>
      </c>
      <c r="BI38" s="24">
        <v>0</v>
      </c>
      <c r="BJ38" s="24">
        <v>0</v>
      </c>
      <c r="BK38" s="24">
        <v>0</v>
      </c>
      <c r="BL38" s="25">
        <v>126</v>
      </c>
      <c r="BM38" s="24">
        <v>0</v>
      </c>
      <c r="BO38" s="25">
        <v>16</v>
      </c>
      <c r="BP38" s="24">
        <v>20</v>
      </c>
      <c r="BQ38" s="24">
        <v>0</v>
      </c>
      <c r="BR38" s="24">
        <v>1</v>
      </c>
      <c r="BS38" s="24">
        <v>0</v>
      </c>
      <c r="BT38" s="24">
        <v>0</v>
      </c>
      <c r="BU38" s="24">
        <v>0</v>
      </c>
      <c r="BV38" s="24">
        <v>0</v>
      </c>
      <c r="BW38" s="24">
        <v>0</v>
      </c>
      <c r="BX38" s="24">
        <v>1</v>
      </c>
      <c r="BZ38" s="24">
        <v>5107</v>
      </c>
      <c r="CA38" s="24">
        <v>0</v>
      </c>
      <c r="CB38" s="24">
        <v>0</v>
      </c>
      <c r="CC38" s="24">
        <v>0</v>
      </c>
      <c r="CD38" s="24">
        <v>0</v>
      </c>
      <c r="CE38" s="24">
        <v>0</v>
      </c>
      <c r="CG38" s="24">
        <v>-1</v>
      </c>
      <c r="CH38" s="24">
        <v>0</v>
      </c>
      <c r="CI38" s="24">
        <v>0</v>
      </c>
      <c r="CJ38" s="24">
        <v>0</v>
      </c>
      <c r="CK38" s="24">
        <v>0</v>
      </c>
      <c r="CL38" s="24">
        <v>0</v>
      </c>
      <c r="CM38" s="24">
        <v>0</v>
      </c>
      <c r="CN38" s="24">
        <v>0</v>
      </c>
      <c r="CO38" s="24">
        <v>0</v>
      </c>
      <c r="CQ38" s="24">
        <v>0</v>
      </c>
      <c r="CR38" s="24">
        <v>0</v>
      </c>
      <c r="CS38" s="24">
        <v>0</v>
      </c>
      <c r="CT38" s="24">
        <v>0</v>
      </c>
      <c r="CV38" s="24">
        <v>100204</v>
      </c>
      <c r="CW38" s="24">
        <v>9</v>
      </c>
      <c r="CX38" s="24">
        <v>2001</v>
      </c>
      <c r="CY38" s="26">
        <v>1</v>
      </c>
      <c r="CZ38" s="24">
        <v>2</v>
      </c>
      <c r="DA38" s="24">
        <v>0</v>
      </c>
      <c r="DC38" s="24">
        <v>1</v>
      </c>
      <c r="DD38" s="24">
        <v>1</v>
      </c>
      <c r="DE38" s="24">
        <v>0</v>
      </c>
      <c r="DF38" s="24">
        <v>0</v>
      </c>
      <c r="DG38" s="24">
        <v>-1</v>
      </c>
      <c r="DI38" s="24">
        <v>1</v>
      </c>
      <c r="DJ38" s="24">
        <v>30</v>
      </c>
      <c r="DL38" s="24">
        <v>0</v>
      </c>
      <c r="DM38" s="24">
        <v>0</v>
      </c>
      <c r="DO38" s="24">
        <v>0</v>
      </c>
      <c r="DP38" s="24">
        <v>0</v>
      </c>
      <c r="DQ38" s="24">
        <v>0</v>
      </c>
      <c r="DR38" s="24">
        <v>0</v>
      </c>
      <c r="DS38" s="24">
        <v>0</v>
      </c>
      <c r="DT38" s="24">
        <v>0</v>
      </c>
      <c r="DV38" s="24">
        <v>0</v>
      </c>
      <c r="DW38" s="24">
        <v>0</v>
      </c>
      <c r="DX38" s="24">
        <v>0</v>
      </c>
      <c r="DY38" s="24">
        <v>0</v>
      </c>
      <c r="DZ38" s="24">
        <v>0</v>
      </c>
    </row>
    <row r="39" spans="1:130">
      <c r="A39" s="24" t="s">
        <v>142</v>
      </c>
      <c r="B39" s="24" t="s">
        <v>142</v>
      </c>
      <c r="C39" s="24" t="s">
        <v>142</v>
      </c>
      <c r="D39" s="24" t="s">
        <v>142</v>
      </c>
      <c r="E39" s="24">
        <v>5108</v>
      </c>
      <c r="F39" s="24" t="s">
        <v>412</v>
      </c>
      <c r="G39" s="24">
        <v>0</v>
      </c>
      <c r="H39" s="24">
        <v>505108</v>
      </c>
      <c r="I39" s="24" t="s">
        <v>412</v>
      </c>
      <c r="J39" s="24" t="s">
        <v>412</v>
      </c>
      <c r="K39" s="24" t="s">
        <v>642</v>
      </c>
      <c r="M39" s="24">
        <v>102</v>
      </c>
      <c r="N39" s="24">
        <v>0</v>
      </c>
      <c r="P39" s="25">
        <v>2</v>
      </c>
      <c r="Q39" s="25">
        <v>2104068</v>
      </c>
      <c r="R39" s="24">
        <v>0</v>
      </c>
      <c r="S39" s="25">
        <v>0</v>
      </c>
      <c r="T39" s="24"/>
      <c r="U39" s="24">
        <v>0</v>
      </c>
      <c r="V39" s="25">
        <v>0</v>
      </c>
      <c r="W39" s="24">
        <v>0</v>
      </c>
      <c r="X39" s="24">
        <v>0</v>
      </c>
      <c r="Y39" s="24">
        <v>0</v>
      </c>
      <c r="Z39" s="24">
        <v>0</v>
      </c>
      <c r="AB39" s="24">
        <v>10001</v>
      </c>
      <c r="AC39" s="24">
        <v>-1</v>
      </c>
      <c r="AD39" s="24">
        <v>-1</v>
      </c>
      <c r="AE39" s="24">
        <v>-1</v>
      </c>
      <c r="AG39" s="24">
        <v>2</v>
      </c>
      <c r="AH39" s="24">
        <v>0</v>
      </c>
      <c r="AI39" s="24">
        <v>0</v>
      </c>
      <c r="AJ39" s="24">
        <v>0</v>
      </c>
      <c r="AK39" s="24">
        <v>1</v>
      </c>
      <c r="AL39" s="24">
        <v>3</v>
      </c>
      <c r="AM39" s="24">
        <v>0</v>
      </c>
      <c r="AN39" s="24">
        <v>0</v>
      </c>
      <c r="AO39" s="24">
        <v>0</v>
      </c>
      <c r="AP39" s="24">
        <v>15000</v>
      </c>
      <c r="AQ39" s="24">
        <v>0</v>
      </c>
      <c r="AR39" s="24">
        <v>300</v>
      </c>
      <c r="AS39" s="24">
        <v>300</v>
      </c>
      <c r="AT39" s="24">
        <v>0</v>
      </c>
      <c r="AU39" s="24">
        <v>7006</v>
      </c>
      <c r="AV39" s="24">
        <v>0</v>
      </c>
      <c r="AW39" s="24">
        <v>0</v>
      </c>
      <c r="AX39" s="24">
        <v>0</v>
      </c>
      <c r="AY39" s="24">
        <v>0</v>
      </c>
      <c r="BA39" s="24">
        <v>0</v>
      </c>
      <c r="BB39" s="24">
        <v>2700</v>
      </c>
      <c r="BC39" s="24">
        <v>3100</v>
      </c>
      <c r="BD39" s="24">
        <v>0</v>
      </c>
      <c r="BE39" s="24">
        <v>1000</v>
      </c>
      <c r="BF39" s="24">
        <v>1</v>
      </c>
      <c r="BG39" s="25">
        <v>528</v>
      </c>
      <c r="BH39" s="24">
        <v>4</v>
      </c>
      <c r="BI39" s="24">
        <v>5108</v>
      </c>
      <c r="BJ39" s="24">
        <v>1</v>
      </c>
      <c r="BK39" s="24">
        <v>1</v>
      </c>
      <c r="BL39" s="25">
        <v>126</v>
      </c>
      <c r="BM39" s="24">
        <v>0</v>
      </c>
      <c r="BO39" s="25">
        <v>8</v>
      </c>
      <c r="BP39" s="24">
        <v>0</v>
      </c>
      <c r="BQ39" s="24">
        <v>0</v>
      </c>
      <c r="BR39" s="24">
        <v>2</v>
      </c>
      <c r="BS39" s="24">
        <v>30</v>
      </c>
      <c r="BT39" s="24">
        <v>0</v>
      </c>
      <c r="BU39" s="24">
        <v>0</v>
      </c>
      <c r="BV39" s="24">
        <v>10</v>
      </c>
      <c r="BW39" s="24">
        <v>0</v>
      </c>
      <c r="BX39" s="24">
        <v>1</v>
      </c>
      <c r="BZ39" s="24">
        <v>5108</v>
      </c>
      <c r="CA39" s="24">
        <v>0</v>
      </c>
      <c r="CB39" s="24">
        <v>0</v>
      </c>
      <c r="CC39" s="24">
        <v>0</v>
      </c>
      <c r="CD39" s="24">
        <v>0</v>
      </c>
      <c r="CE39" s="24">
        <v>0</v>
      </c>
      <c r="CG39" s="24">
        <v>-1</v>
      </c>
      <c r="CH39" s="24">
        <v>0</v>
      </c>
      <c r="CI39" s="24">
        <v>0</v>
      </c>
      <c r="CJ39" s="24">
        <v>0</v>
      </c>
      <c r="CK39" s="24">
        <v>0</v>
      </c>
      <c r="CL39" s="24">
        <v>0</v>
      </c>
      <c r="CM39" s="24">
        <v>0</v>
      </c>
      <c r="CN39" s="24">
        <v>0</v>
      </c>
      <c r="CO39" s="24">
        <v>0</v>
      </c>
      <c r="CQ39" s="24">
        <v>0</v>
      </c>
      <c r="CR39" s="24">
        <v>0</v>
      </c>
      <c r="CS39" s="24">
        <v>0</v>
      </c>
      <c r="CT39" s="24">
        <v>0</v>
      </c>
      <c r="CV39" s="24">
        <v>100205</v>
      </c>
      <c r="CW39" s="24">
        <v>0</v>
      </c>
      <c r="CX39" s="24">
        <v>-1</v>
      </c>
      <c r="CY39" s="26">
        <v>0</v>
      </c>
      <c r="CZ39" s="24">
        <v>10</v>
      </c>
      <c r="DA39" s="24">
        <v>0</v>
      </c>
      <c r="DC39" s="24">
        <v>1</v>
      </c>
      <c r="DD39" s="24">
        <v>1</v>
      </c>
      <c r="DE39" s="24">
        <v>0</v>
      </c>
      <c r="DF39" s="24">
        <v>0</v>
      </c>
      <c r="DG39" s="24">
        <v>-1</v>
      </c>
      <c r="DI39" s="24">
        <v>0</v>
      </c>
      <c r="DJ39" s="24">
        <v>0</v>
      </c>
      <c r="DL39" s="24">
        <v>0</v>
      </c>
      <c r="DM39" s="24">
        <v>0</v>
      </c>
      <c r="DO39" s="24">
        <v>0</v>
      </c>
      <c r="DP39" s="24">
        <v>0</v>
      </c>
      <c r="DQ39" s="24">
        <v>0</v>
      </c>
      <c r="DR39" s="24">
        <v>0</v>
      </c>
      <c r="DS39" s="24">
        <v>0</v>
      </c>
      <c r="DT39" s="24">
        <v>0</v>
      </c>
      <c r="DV39" s="24">
        <v>0</v>
      </c>
      <c r="DW39" s="24">
        <v>0</v>
      </c>
      <c r="DX39" s="24">
        <v>0</v>
      </c>
      <c r="DY39" s="24">
        <v>0</v>
      </c>
      <c r="DZ39" s="24">
        <v>0</v>
      </c>
    </row>
    <row r="40" spans="1:130" s="29" customFormat="1">
      <c r="E40" s="29">
        <v>5109</v>
      </c>
      <c r="F40" s="29" t="s">
        <v>413</v>
      </c>
      <c r="G40" s="24">
        <v>0</v>
      </c>
      <c r="H40" s="29">
        <v>505109</v>
      </c>
      <c r="I40" s="29" t="s">
        <v>413</v>
      </c>
      <c r="J40" s="29" t="s">
        <v>413</v>
      </c>
      <c r="K40" s="24" t="s">
        <v>473</v>
      </c>
      <c r="M40" s="29">
        <v>0</v>
      </c>
      <c r="N40" s="29">
        <v>0</v>
      </c>
      <c r="P40" s="30">
        <v>28</v>
      </c>
      <c r="Q40" s="30">
        <v>0</v>
      </c>
      <c r="R40" s="29">
        <v>0</v>
      </c>
      <c r="S40" s="30">
        <v>0</v>
      </c>
      <c r="U40" s="29">
        <v>3</v>
      </c>
      <c r="V40" s="30">
        <v>1052673</v>
      </c>
      <c r="W40" s="29">
        <v>1</v>
      </c>
      <c r="X40" s="29">
        <v>0</v>
      </c>
      <c r="Y40" s="29">
        <v>0</v>
      </c>
      <c r="Z40" s="29">
        <v>1000</v>
      </c>
      <c r="AB40" s="29">
        <v>30001</v>
      </c>
      <c r="AC40" s="29">
        <v>0</v>
      </c>
      <c r="AD40" s="29">
        <v>0</v>
      </c>
      <c r="AE40" s="29">
        <v>0</v>
      </c>
      <c r="AG40" s="29">
        <v>1</v>
      </c>
      <c r="AH40" s="29">
        <v>0</v>
      </c>
      <c r="AI40" s="29">
        <v>0</v>
      </c>
      <c r="AJ40" s="29">
        <v>0</v>
      </c>
      <c r="AK40" s="24">
        <v>0</v>
      </c>
      <c r="AL40" s="29">
        <v>0</v>
      </c>
      <c r="AM40" s="29">
        <v>0</v>
      </c>
      <c r="AN40" s="29">
        <v>0</v>
      </c>
      <c r="AO40" s="29">
        <v>0</v>
      </c>
      <c r="AP40" s="29">
        <v>0</v>
      </c>
      <c r="AQ40" s="29">
        <v>0</v>
      </c>
      <c r="AR40" s="24">
        <v>-1</v>
      </c>
      <c r="AS40" s="29">
        <v>0</v>
      </c>
      <c r="AT40" s="29">
        <v>0</v>
      </c>
      <c r="AU40" s="29">
        <v>0</v>
      </c>
      <c r="AV40" s="29">
        <v>0</v>
      </c>
      <c r="AW40" s="29">
        <v>0</v>
      </c>
      <c r="AX40" s="29">
        <v>0</v>
      </c>
      <c r="AY40" s="29">
        <v>0</v>
      </c>
      <c r="BA40" s="29">
        <v>0</v>
      </c>
      <c r="BB40" s="29">
        <v>0</v>
      </c>
      <c r="BC40" s="29">
        <v>0</v>
      </c>
      <c r="BD40" s="29">
        <v>0</v>
      </c>
      <c r="BE40" s="29">
        <v>0</v>
      </c>
      <c r="BF40" s="29">
        <v>1</v>
      </c>
      <c r="BG40" s="30">
        <v>1024</v>
      </c>
      <c r="BH40" s="29">
        <v>4</v>
      </c>
      <c r="BI40" s="29">
        <v>5110</v>
      </c>
      <c r="BJ40" s="29">
        <v>1</v>
      </c>
      <c r="BK40" s="29">
        <v>1</v>
      </c>
      <c r="BL40" s="30">
        <v>126</v>
      </c>
      <c r="BM40" s="29">
        <v>0</v>
      </c>
      <c r="BO40" s="30">
        <v>1</v>
      </c>
      <c r="BP40" s="29">
        <v>0</v>
      </c>
      <c r="BQ40" s="24">
        <v>0</v>
      </c>
      <c r="BR40" s="29">
        <v>1</v>
      </c>
      <c r="BS40" s="29">
        <v>0</v>
      </c>
      <c r="BT40" s="29">
        <v>0</v>
      </c>
      <c r="BU40" s="29">
        <v>0</v>
      </c>
      <c r="BV40" s="29">
        <v>0</v>
      </c>
      <c r="BW40" s="29">
        <v>0</v>
      </c>
      <c r="BX40" s="29">
        <v>1</v>
      </c>
      <c r="BZ40" s="29">
        <v>-1</v>
      </c>
      <c r="CA40" s="29">
        <v>0</v>
      </c>
      <c r="CB40" s="29">
        <v>0</v>
      </c>
      <c r="CC40" s="29">
        <v>0</v>
      </c>
      <c r="CD40" s="29">
        <v>0</v>
      </c>
      <c r="CE40" s="29">
        <v>0</v>
      </c>
      <c r="CG40" s="29">
        <v>-1</v>
      </c>
      <c r="CH40" s="29">
        <v>0</v>
      </c>
      <c r="CI40" s="29">
        <v>0</v>
      </c>
      <c r="CJ40" s="29">
        <v>0</v>
      </c>
      <c r="CK40" s="29">
        <v>0</v>
      </c>
      <c r="CL40" s="29">
        <v>0</v>
      </c>
      <c r="CM40" s="29">
        <v>0</v>
      </c>
      <c r="CN40" s="29">
        <v>0</v>
      </c>
      <c r="CO40" s="29">
        <v>0</v>
      </c>
      <c r="CQ40" s="29">
        <v>0</v>
      </c>
      <c r="CR40" s="29">
        <v>0</v>
      </c>
      <c r="CS40" s="29">
        <v>0</v>
      </c>
      <c r="CT40" s="29">
        <v>0</v>
      </c>
      <c r="CV40" s="29">
        <v>0</v>
      </c>
      <c r="CW40" s="29">
        <v>0</v>
      </c>
      <c r="CX40" s="29">
        <v>-1</v>
      </c>
      <c r="CY40" s="26">
        <v>0</v>
      </c>
      <c r="CZ40" s="29">
        <v>0</v>
      </c>
      <c r="DA40" s="24">
        <v>0</v>
      </c>
      <c r="DC40" s="24">
        <v>1</v>
      </c>
      <c r="DD40" s="24">
        <v>1</v>
      </c>
      <c r="DE40" s="24">
        <v>0</v>
      </c>
      <c r="DF40" s="24">
        <v>0</v>
      </c>
      <c r="DG40" s="24">
        <v>-1</v>
      </c>
      <c r="DH40" s="24"/>
      <c r="DI40" s="24">
        <v>0</v>
      </c>
      <c r="DJ40" s="24">
        <v>0</v>
      </c>
      <c r="DK40" s="24"/>
      <c r="DL40" s="24">
        <v>0</v>
      </c>
      <c r="DM40" s="24">
        <v>0</v>
      </c>
      <c r="DN40" s="24"/>
      <c r="DO40" s="24">
        <v>0</v>
      </c>
      <c r="DP40" s="24">
        <v>0</v>
      </c>
      <c r="DQ40" s="24">
        <v>0</v>
      </c>
      <c r="DR40" s="24">
        <v>0</v>
      </c>
      <c r="DS40" s="24">
        <v>0</v>
      </c>
      <c r="DT40" s="29">
        <v>0</v>
      </c>
      <c r="DV40" s="24">
        <v>0</v>
      </c>
      <c r="DW40" s="24">
        <v>0</v>
      </c>
      <c r="DX40" s="24">
        <v>0</v>
      </c>
      <c r="DY40" s="24">
        <v>0</v>
      </c>
      <c r="DZ40" s="24">
        <v>0</v>
      </c>
    </row>
    <row r="41" spans="1:130">
      <c r="A41" s="24" t="s">
        <v>142</v>
      </c>
      <c r="B41" s="24" t="s">
        <v>142</v>
      </c>
      <c r="C41" s="24" t="s">
        <v>142</v>
      </c>
      <c r="D41" s="24" t="s">
        <v>142</v>
      </c>
      <c r="E41" s="24">
        <v>5110</v>
      </c>
      <c r="F41" s="24" t="s">
        <v>414</v>
      </c>
      <c r="G41" s="24">
        <v>0</v>
      </c>
      <c r="H41" s="24">
        <v>505110</v>
      </c>
      <c r="I41" s="24" t="s">
        <v>414</v>
      </c>
      <c r="J41" s="24" t="s">
        <v>414</v>
      </c>
      <c r="K41" s="24" t="s">
        <v>473</v>
      </c>
      <c r="M41" s="24">
        <v>0</v>
      </c>
      <c r="N41" s="24">
        <v>0</v>
      </c>
      <c r="P41" s="25">
        <v>28</v>
      </c>
      <c r="Q41" s="25">
        <v>0</v>
      </c>
      <c r="R41" s="24">
        <v>0</v>
      </c>
      <c r="S41" s="25">
        <v>0</v>
      </c>
      <c r="T41" s="24"/>
      <c r="U41" s="24">
        <v>3</v>
      </c>
      <c r="V41" s="25">
        <v>1052673</v>
      </c>
      <c r="W41" s="24">
        <v>1</v>
      </c>
      <c r="X41" s="24">
        <v>0</v>
      </c>
      <c r="Y41" s="24">
        <v>0</v>
      </c>
      <c r="Z41" s="24">
        <v>1000</v>
      </c>
      <c r="AB41" s="24">
        <v>30001</v>
      </c>
      <c r="AC41" s="24">
        <v>0</v>
      </c>
      <c r="AD41" s="24">
        <v>0</v>
      </c>
      <c r="AE41" s="24">
        <v>0</v>
      </c>
      <c r="AG41" s="24">
        <v>1</v>
      </c>
      <c r="AH41" s="24">
        <v>0</v>
      </c>
      <c r="AI41" s="24">
        <v>0</v>
      </c>
      <c r="AJ41" s="24">
        <v>0</v>
      </c>
      <c r="AK41" s="24">
        <v>0</v>
      </c>
      <c r="AL41" s="24">
        <v>0</v>
      </c>
      <c r="AM41" s="24">
        <v>0</v>
      </c>
      <c r="AN41" s="24">
        <v>0</v>
      </c>
      <c r="AO41" s="24">
        <v>0</v>
      </c>
      <c r="AP41" s="24">
        <v>0</v>
      </c>
      <c r="AQ41" s="24">
        <v>0</v>
      </c>
      <c r="AR41" s="24">
        <v>-1</v>
      </c>
      <c r="AS41" s="24">
        <v>0</v>
      </c>
      <c r="AT41" s="24">
        <v>0</v>
      </c>
      <c r="AU41" s="24">
        <v>0</v>
      </c>
      <c r="AV41" s="24">
        <v>0</v>
      </c>
      <c r="AW41" s="24">
        <v>0</v>
      </c>
      <c r="AX41" s="24">
        <v>0</v>
      </c>
      <c r="AY41" s="24">
        <v>0</v>
      </c>
      <c r="BA41" s="24">
        <v>0</v>
      </c>
      <c r="BB41" s="24">
        <v>0</v>
      </c>
      <c r="BC41" s="24">
        <v>0</v>
      </c>
      <c r="BD41" s="24">
        <v>0</v>
      </c>
      <c r="BE41" s="24">
        <v>0</v>
      </c>
      <c r="BF41" s="24">
        <v>1</v>
      </c>
      <c r="BG41" s="25">
        <v>1024</v>
      </c>
      <c r="BH41" s="24">
        <v>4</v>
      </c>
      <c r="BI41" s="24">
        <v>5111</v>
      </c>
      <c r="BJ41" s="24">
        <v>1</v>
      </c>
      <c r="BK41" s="24">
        <v>1</v>
      </c>
      <c r="BL41" s="25">
        <v>126</v>
      </c>
      <c r="BM41" s="24">
        <v>0</v>
      </c>
      <c r="BO41" s="25">
        <v>4</v>
      </c>
      <c r="BP41" s="24">
        <v>0</v>
      </c>
      <c r="BQ41" s="24">
        <v>0</v>
      </c>
      <c r="BR41" s="24">
        <v>1</v>
      </c>
      <c r="BS41" s="24">
        <v>0</v>
      </c>
      <c r="BT41" s="24">
        <v>0</v>
      </c>
      <c r="BU41" s="24">
        <v>0</v>
      </c>
      <c r="BV41" s="24">
        <v>0</v>
      </c>
      <c r="BW41" s="24">
        <v>0</v>
      </c>
      <c r="BX41" s="24">
        <v>1</v>
      </c>
      <c r="BZ41" s="24">
        <v>-1</v>
      </c>
      <c r="CA41" s="24">
        <v>0</v>
      </c>
      <c r="CB41" s="24">
        <v>0</v>
      </c>
      <c r="CC41" s="24">
        <v>0</v>
      </c>
      <c r="CD41" s="24">
        <v>0</v>
      </c>
      <c r="CE41" s="24">
        <v>0</v>
      </c>
      <c r="CG41" s="24">
        <v>-1</v>
      </c>
      <c r="CH41" s="24">
        <v>0</v>
      </c>
      <c r="CI41" s="24">
        <v>0</v>
      </c>
      <c r="CJ41" s="24">
        <v>0</v>
      </c>
      <c r="CK41" s="24">
        <v>0</v>
      </c>
      <c r="CL41" s="24">
        <v>0</v>
      </c>
      <c r="CM41" s="24">
        <v>0</v>
      </c>
      <c r="CN41" s="24">
        <v>0</v>
      </c>
      <c r="CO41" s="24">
        <v>0</v>
      </c>
      <c r="CQ41" s="24">
        <v>0</v>
      </c>
      <c r="CR41" s="24">
        <v>0</v>
      </c>
      <c r="CS41" s="24">
        <v>0</v>
      </c>
      <c r="CT41" s="24">
        <v>0</v>
      </c>
      <c r="CV41" s="24">
        <v>0</v>
      </c>
      <c r="CW41" s="24">
        <v>0</v>
      </c>
      <c r="CX41" s="24">
        <v>-1</v>
      </c>
      <c r="CY41" s="26">
        <v>0</v>
      </c>
      <c r="CZ41" s="24">
        <v>0</v>
      </c>
      <c r="DA41" s="24">
        <v>0</v>
      </c>
      <c r="DC41" s="24">
        <v>1</v>
      </c>
      <c r="DD41" s="24">
        <v>1</v>
      </c>
      <c r="DE41" s="24">
        <v>0</v>
      </c>
      <c r="DF41" s="24">
        <v>0</v>
      </c>
      <c r="DG41" s="24">
        <v>-1</v>
      </c>
      <c r="DI41" s="24">
        <v>0</v>
      </c>
      <c r="DJ41" s="24">
        <v>0</v>
      </c>
      <c r="DL41" s="24">
        <v>0</v>
      </c>
      <c r="DM41" s="24">
        <v>0</v>
      </c>
      <c r="DO41" s="24">
        <v>0</v>
      </c>
      <c r="DP41" s="24">
        <v>0</v>
      </c>
      <c r="DQ41" s="24">
        <v>0</v>
      </c>
      <c r="DR41" s="24">
        <v>0</v>
      </c>
      <c r="DS41" s="24">
        <v>0</v>
      </c>
      <c r="DT41" s="24">
        <v>0</v>
      </c>
      <c r="DV41" s="24">
        <v>0</v>
      </c>
      <c r="DW41" s="24">
        <v>0</v>
      </c>
      <c r="DX41" s="24">
        <v>0</v>
      </c>
      <c r="DY41" s="24">
        <v>0</v>
      </c>
      <c r="DZ41" s="24">
        <v>0</v>
      </c>
    </row>
    <row r="42" spans="1:130">
      <c r="A42" s="24" t="s">
        <v>142</v>
      </c>
      <c r="B42" s="24" t="s">
        <v>142</v>
      </c>
      <c r="C42" s="24" t="s">
        <v>142</v>
      </c>
      <c r="D42" s="24" t="s">
        <v>142</v>
      </c>
      <c r="E42" s="24">
        <v>5111</v>
      </c>
      <c r="F42" s="24" t="s">
        <v>501</v>
      </c>
      <c r="G42" s="24">
        <v>0</v>
      </c>
      <c r="H42" s="24">
        <v>505110</v>
      </c>
      <c r="I42" s="24" t="s">
        <v>501</v>
      </c>
      <c r="J42" s="24" t="s">
        <v>501</v>
      </c>
      <c r="K42" s="24" t="s">
        <v>473</v>
      </c>
      <c r="M42" s="24">
        <v>102</v>
      </c>
      <c r="N42" s="24">
        <v>0</v>
      </c>
      <c r="P42" s="25">
        <v>2</v>
      </c>
      <c r="Q42" s="25">
        <v>524288</v>
      </c>
      <c r="R42" s="24">
        <v>0</v>
      </c>
      <c r="S42" s="25">
        <v>0</v>
      </c>
      <c r="T42" s="24"/>
      <c r="U42" s="24">
        <v>0</v>
      </c>
      <c r="V42" s="25">
        <v>0</v>
      </c>
      <c r="W42" s="24">
        <v>0</v>
      </c>
      <c r="X42" s="24">
        <v>0</v>
      </c>
      <c r="Y42" s="24">
        <v>0</v>
      </c>
      <c r="Z42" s="24">
        <v>0</v>
      </c>
      <c r="AB42" s="24">
        <v>10001</v>
      </c>
      <c r="AC42" s="24">
        <v>-1</v>
      </c>
      <c r="AD42" s="24">
        <v>-1</v>
      </c>
      <c r="AE42" s="24">
        <v>-1</v>
      </c>
      <c r="AG42" s="24">
        <v>1</v>
      </c>
      <c r="AH42" s="24">
        <v>0</v>
      </c>
      <c r="AI42" s="24">
        <v>0</v>
      </c>
      <c r="AJ42" s="24">
        <v>0</v>
      </c>
      <c r="AK42" s="24">
        <v>0</v>
      </c>
      <c r="AL42" s="24">
        <v>0</v>
      </c>
      <c r="AM42" s="24">
        <v>0</v>
      </c>
      <c r="AN42" s="24">
        <v>0</v>
      </c>
      <c r="AO42" s="24">
        <v>0</v>
      </c>
      <c r="AP42" s="24">
        <v>0</v>
      </c>
      <c r="AQ42" s="24">
        <v>0</v>
      </c>
      <c r="AR42" s="24">
        <v>-1</v>
      </c>
      <c r="AS42" s="24">
        <v>0</v>
      </c>
      <c r="AT42" s="24">
        <v>0</v>
      </c>
      <c r="AU42" s="24">
        <v>0</v>
      </c>
      <c r="AV42" s="24">
        <v>0</v>
      </c>
      <c r="AW42" s="24">
        <v>0</v>
      </c>
      <c r="AX42" s="24">
        <v>0</v>
      </c>
      <c r="AY42" s="24">
        <v>0</v>
      </c>
      <c r="BA42" s="24">
        <v>0</v>
      </c>
      <c r="BB42" s="24">
        <v>1367</v>
      </c>
      <c r="BC42" s="24">
        <v>1667</v>
      </c>
      <c r="BD42" s="24">
        <v>0</v>
      </c>
      <c r="BE42" s="24">
        <v>300</v>
      </c>
      <c r="BF42" s="24">
        <v>1</v>
      </c>
      <c r="BG42" s="25">
        <v>512</v>
      </c>
      <c r="BH42" s="24">
        <v>4</v>
      </c>
      <c r="BI42" s="24">
        <v>5112</v>
      </c>
      <c r="BJ42" s="24">
        <v>1</v>
      </c>
      <c r="BK42" s="24">
        <v>1</v>
      </c>
      <c r="BL42" s="25">
        <v>126</v>
      </c>
      <c r="BM42" s="24">
        <v>0</v>
      </c>
      <c r="BO42" s="25">
        <v>1</v>
      </c>
      <c r="BP42" s="24">
        <v>10</v>
      </c>
      <c r="BQ42" s="24">
        <v>0</v>
      </c>
      <c r="BR42" s="24">
        <v>2</v>
      </c>
      <c r="BS42" s="24">
        <v>100</v>
      </c>
      <c r="BT42" s="24">
        <v>0</v>
      </c>
      <c r="BU42" s="24">
        <v>0</v>
      </c>
      <c r="BV42" s="24">
        <v>5</v>
      </c>
      <c r="BW42" s="24">
        <v>0</v>
      </c>
      <c r="BX42" s="24">
        <v>4</v>
      </c>
      <c r="BZ42" s="24">
        <v>-1</v>
      </c>
      <c r="CA42" s="24">
        <v>0</v>
      </c>
      <c r="CB42" s="24">
        <v>0</v>
      </c>
      <c r="CC42" s="24">
        <v>0</v>
      </c>
      <c r="CD42" s="24">
        <v>0</v>
      </c>
      <c r="CE42" s="24">
        <v>0</v>
      </c>
      <c r="CG42" s="24">
        <v>-1</v>
      </c>
      <c r="CH42" s="24">
        <v>0</v>
      </c>
      <c r="CI42" s="24">
        <v>0</v>
      </c>
      <c r="CJ42" s="24">
        <v>0</v>
      </c>
      <c r="CK42" s="24">
        <v>0</v>
      </c>
      <c r="CL42" s="24">
        <v>0</v>
      </c>
      <c r="CM42" s="24">
        <v>0</v>
      </c>
      <c r="CN42" s="24">
        <v>0</v>
      </c>
      <c r="CO42" s="24">
        <v>0</v>
      </c>
      <c r="CQ42" s="24">
        <v>0</v>
      </c>
      <c r="CR42" s="24">
        <v>0</v>
      </c>
      <c r="CS42" s="24">
        <v>0</v>
      </c>
      <c r="CT42" s="24">
        <v>0</v>
      </c>
      <c r="CV42" s="24">
        <v>100206</v>
      </c>
      <c r="CW42" s="24">
        <v>9</v>
      </c>
      <c r="CX42" s="24">
        <v>200</v>
      </c>
      <c r="CY42" s="26">
        <v>1</v>
      </c>
      <c r="CZ42" s="24">
        <v>3</v>
      </c>
      <c r="DA42" s="24">
        <v>0</v>
      </c>
      <c r="DC42" s="24">
        <v>1</v>
      </c>
      <c r="DD42" s="24">
        <v>1</v>
      </c>
      <c r="DE42" s="24">
        <v>0</v>
      </c>
      <c r="DF42" s="24">
        <v>0</v>
      </c>
      <c r="DG42" s="24">
        <v>-1</v>
      </c>
      <c r="DI42" s="24">
        <v>0</v>
      </c>
      <c r="DJ42" s="24">
        <v>0</v>
      </c>
      <c r="DL42" s="24">
        <v>0</v>
      </c>
      <c r="DM42" s="24">
        <v>0</v>
      </c>
      <c r="DO42" s="24">
        <v>0</v>
      </c>
      <c r="DP42" s="24">
        <v>0</v>
      </c>
      <c r="DQ42" s="24">
        <v>0</v>
      </c>
      <c r="DR42" s="24">
        <v>0</v>
      </c>
      <c r="DS42" s="24">
        <v>0</v>
      </c>
      <c r="DT42" s="24">
        <v>0</v>
      </c>
      <c r="DV42" s="24">
        <v>0</v>
      </c>
      <c r="DW42" s="24">
        <v>0</v>
      </c>
      <c r="DX42" s="24">
        <v>0</v>
      </c>
      <c r="DY42" s="24">
        <v>0</v>
      </c>
      <c r="DZ42" s="24">
        <v>0</v>
      </c>
    </row>
    <row r="43" spans="1:130">
      <c r="A43" s="24" t="s">
        <v>143</v>
      </c>
      <c r="B43" s="24" t="s">
        <v>143</v>
      </c>
      <c r="C43" s="24" t="s">
        <v>143</v>
      </c>
      <c r="D43" s="24" t="s">
        <v>143</v>
      </c>
      <c r="E43" s="24">
        <v>5112</v>
      </c>
      <c r="F43" s="24" t="s">
        <v>564</v>
      </c>
      <c r="G43" s="24">
        <v>0</v>
      </c>
      <c r="H43" s="24">
        <v>505112</v>
      </c>
      <c r="I43" s="24" t="s">
        <v>564</v>
      </c>
      <c r="J43" s="24" t="s">
        <v>564</v>
      </c>
      <c r="K43" s="24" t="s">
        <v>473</v>
      </c>
      <c r="M43" s="24">
        <v>0</v>
      </c>
      <c r="N43" s="24">
        <v>0</v>
      </c>
      <c r="P43" s="25">
        <v>12</v>
      </c>
      <c r="Q43" s="25">
        <v>0</v>
      </c>
      <c r="R43" s="24">
        <v>5108</v>
      </c>
      <c r="S43" s="25">
        <v>0</v>
      </c>
      <c r="T43" s="24"/>
      <c r="U43" s="24">
        <v>2</v>
      </c>
      <c r="V43" s="25">
        <v>2050</v>
      </c>
      <c r="W43" s="24">
        <v>2</v>
      </c>
      <c r="X43" s="24">
        <v>5108</v>
      </c>
      <c r="Y43" s="24">
        <v>0</v>
      </c>
      <c r="Z43" s="24">
        <v>1000</v>
      </c>
      <c r="AB43" s="24">
        <v>30001</v>
      </c>
      <c r="AC43" s="24">
        <v>-1</v>
      </c>
      <c r="AD43" s="24">
        <v>-1</v>
      </c>
      <c r="AE43" s="24">
        <v>-1</v>
      </c>
      <c r="AG43" s="24">
        <v>1</v>
      </c>
      <c r="AH43" s="24">
        <v>0</v>
      </c>
      <c r="AI43" s="24">
        <v>0</v>
      </c>
      <c r="AJ43" s="24">
        <v>0</v>
      </c>
      <c r="AK43" s="24">
        <v>0</v>
      </c>
      <c r="AL43" s="24">
        <v>0</v>
      </c>
      <c r="AM43" s="24">
        <v>0</v>
      </c>
      <c r="AN43" s="24">
        <v>0</v>
      </c>
      <c r="AO43" s="24">
        <v>0</v>
      </c>
      <c r="AP43" s="24">
        <v>0</v>
      </c>
      <c r="AQ43" s="24">
        <v>0</v>
      </c>
      <c r="AR43" s="24">
        <v>-1</v>
      </c>
      <c r="AS43" s="24">
        <v>0</v>
      </c>
      <c r="AT43" s="24">
        <v>0</v>
      </c>
      <c r="AU43" s="24">
        <v>0</v>
      </c>
      <c r="AV43" s="24">
        <v>0</v>
      </c>
      <c r="AW43" s="24">
        <v>0</v>
      </c>
      <c r="AX43" s="24">
        <v>0</v>
      </c>
      <c r="AY43" s="24">
        <v>0</v>
      </c>
      <c r="BA43" s="24">
        <v>0</v>
      </c>
      <c r="BB43" s="24">
        <v>0</v>
      </c>
      <c r="BC43" s="24">
        <v>0</v>
      </c>
      <c r="BD43" s="24">
        <v>0</v>
      </c>
      <c r="BE43" s="24">
        <v>0</v>
      </c>
      <c r="BF43" s="24">
        <v>1</v>
      </c>
      <c r="BG43" s="25">
        <v>0</v>
      </c>
      <c r="BH43" s="24">
        <v>3</v>
      </c>
      <c r="BI43" s="24">
        <v>0</v>
      </c>
      <c r="BJ43" s="24">
        <v>0</v>
      </c>
      <c r="BK43" s="24">
        <v>0</v>
      </c>
      <c r="BL43" s="25">
        <v>126</v>
      </c>
      <c r="BM43" s="24">
        <v>0</v>
      </c>
      <c r="BO43" s="25">
        <v>1</v>
      </c>
      <c r="BP43" s="24">
        <v>0</v>
      </c>
      <c r="BQ43" s="24">
        <v>0</v>
      </c>
      <c r="BR43" s="24">
        <v>1</v>
      </c>
      <c r="BS43" s="24">
        <v>0</v>
      </c>
      <c r="BT43" s="24">
        <v>0</v>
      </c>
      <c r="BU43" s="24">
        <v>0</v>
      </c>
      <c r="BV43" s="24">
        <v>0</v>
      </c>
      <c r="BW43" s="24">
        <v>0</v>
      </c>
      <c r="BX43" s="24">
        <v>1</v>
      </c>
      <c r="BZ43" s="24">
        <v>-1</v>
      </c>
      <c r="CA43" s="24">
        <v>0</v>
      </c>
      <c r="CB43" s="24">
        <v>0</v>
      </c>
      <c r="CC43" s="24">
        <v>0</v>
      </c>
      <c r="CD43" s="24">
        <v>0</v>
      </c>
      <c r="CE43" s="24">
        <v>0</v>
      </c>
      <c r="CG43" s="24">
        <v>-1</v>
      </c>
      <c r="CH43" s="24">
        <v>0</v>
      </c>
      <c r="CI43" s="24">
        <v>0</v>
      </c>
      <c r="CJ43" s="24">
        <v>0</v>
      </c>
      <c r="CK43" s="24">
        <v>0</v>
      </c>
      <c r="CL43" s="24">
        <v>0</v>
      </c>
      <c r="CM43" s="24">
        <v>0</v>
      </c>
      <c r="CN43" s="24">
        <v>0</v>
      </c>
      <c r="CO43" s="24">
        <v>0</v>
      </c>
      <c r="CQ43" s="24">
        <v>0</v>
      </c>
      <c r="CR43" s="24">
        <v>0</v>
      </c>
      <c r="CS43" s="24">
        <v>0</v>
      </c>
      <c r="CT43" s="24">
        <v>0</v>
      </c>
      <c r="CV43" s="24">
        <v>0</v>
      </c>
      <c r="CW43" s="24">
        <v>0</v>
      </c>
      <c r="CX43" s="24">
        <v>-1</v>
      </c>
      <c r="CY43" s="26">
        <v>0</v>
      </c>
      <c r="CZ43" s="24">
        <v>0</v>
      </c>
      <c r="DA43" s="24">
        <v>0</v>
      </c>
      <c r="DC43" s="24">
        <v>1</v>
      </c>
      <c r="DD43" s="24">
        <v>1</v>
      </c>
      <c r="DE43" s="24">
        <v>0</v>
      </c>
      <c r="DF43" s="24">
        <v>0</v>
      </c>
      <c r="DG43" s="24">
        <v>-1</v>
      </c>
      <c r="DI43" s="24">
        <v>0</v>
      </c>
      <c r="DJ43" s="24">
        <v>0</v>
      </c>
      <c r="DL43" s="24">
        <v>0</v>
      </c>
      <c r="DM43" s="24">
        <v>0</v>
      </c>
      <c r="DO43" s="24">
        <v>0</v>
      </c>
      <c r="DP43" s="24">
        <v>0</v>
      </c>
      <c r="DQ43" s="24">
        <v>0</v>
      </c>
      <c r="DR43" s="24">
        <v>0</v>
      </c>
      <c r="DS43" s="24">
        <v>0</v>
      </c>
      <c r="DT43" s="24">
        <v>0</v>
      </c>
      <c r="DV43" s="24">
        <v>0</v>
      </c>
      <c r="DW43" s="24">
        <v>0</v>
      </c>
      <c r="DX43" s="24">
        <v>0</v>
      </c>
      <c r="DY43" s="24">
        <v>0</v>
      </c>
      <c r="DZ43" s="24">
        <v>0</v>
      </c>
    </row>
    <row r="44" spans="1:130">
      <c r="G44" s="24" t="s">
        <v>639</v>
      </c>
      <c r="K44" s="24" t="s">
        <v>639</v>
      </c>
      <c r="S44" s="25"/>
      <c r="T44" s="24"/>
      <c r="BO44" s="25" t="s">
        <v>639</v>
      </c>
      <c r="CV44" s="24" t="s">
        <v>639</v>
      </c>
      <c r="DC44" s="24" t="s">
        <v>639</v>
      </c>
      <c r="DD44" s="24" t="s">
        <v>639</v>
      </c>
      <c r="DE44" s="24" t="s">
        <v>639</v>
      </c>
      <c r="DF44" s="24" t="s">
        <v>639</v>
      </c>
      <c r="DG44" s="24" t="s">
        <v>639</v>
      </c>
      <c r="DI44" s="24" t="s">
        <v>639</v>
      </c>
      <c r="DJ44" s="24" t="s">
        <v>639</v>
      </c>
      <c r="DL44" s="24" t="s">
        <v>639</v>
      </c>
      <c r="DM44" s="24" t="s">
        <v>639</v>
      </c>
      <c r="DO44" s="24" t="s">
        <v>639</v>
      </c>
      <c r="DP44" s="24" t="s">
        <v>639</v>
      </c>
      <c r="DQ44" s="24" t="s">
        <v>639</v>
      </c>
      <c r="DR44" s="24" t="s">
        <v>639</v>
      </c>
      <c r="DS44" s="24" t="s">
        <v>639</v>
      </c>
      <c r="DT44" s="24" t="s">
        <v>639</v>
      </c>
      <c r="DV44" s="24" t="s">
        <v>639</v>
      </c>
      <c r="DW44" s="24" t="s">
        <v>639</v>
      </c>
      <c r="DX44" s="24" t="s">
        <v>639</v>
      </c>
      <c r="DY44" s="24" t="s">
        <v>639</v>
      </c>
      <c r="DZ44" s="24" t="s">
        <v>639</v>
      </c>
    </row>
    <row r="45" spans="1:130">
      <c r="G45" s="24" t="s">
        <v>639</v>
      </c>
      <c r="K45" s="24" t="s">
        <v>639</v>
      </c>
      <c r="S45" s="25"/>
      <c r="T45" s="24"/>
      <c r="BO45" s="25" t="s">
        <v>639</v>
      </c>
      <c r="CV45" s="24" t="s">
        <v>639</v>
      </c>
      <c r="DC45" s="24" t="s">
        <v>639</v>
      </c>
      <c r="DD45" s="24" t="s">
        <v>639</v>
      </c>
      <c r="DE45" s="24" t="s">
        <v>639</v>
      </c>
      <c r="DF45" s="24" t="s">
        <v>639</v>
      </c>
      <c r="DG45" s="24" t="s">
        <v>639</v>
      </c>
      <c r="DI45" s="24" t="s">
        <v>639</v>
      </c>
      <c r="DJ45" s="24" t="s">
        <v>639</v>
      </c>
      <c r="DL45" s="24" t="s">
        <v>639</v>
      </c>
      <c r="DM45" s="24" t="s">
        <v>639</v>
      </c>
      <c r="DO45" s="24" t="s">
        <v>639</v>
      </c>
      <c r="DP45" s="24" t="s">
        <v>639</v>
      </c>
      <c r="DQ45" s="24" t="s">
        <v>639</v>
      </c>
      <c r="DR45" s="24" t="s">
        <v>639</v>
      </c>
      <c r="DS45" s="24" t="s">
        <v>639</v>
      </c>
      <c r="DT45" s="24" t="s">
        <v>639</v>
      </c>
      <c r="DV45" s="24" t="s">
        <v>639</v>
      </c>
      <c r="DW45" s="24" t="s">
        <v>639</v>
      </c>
      <c r="DX45" s="24" t="s">
        <v>639</v>
      </c>
      <c r="DY45" s="24" t="s">
        <v>639</v>
      </c>
      <c r="DZ45" s="24" t="s">
        <v>639</v>
      </c>
    </row>
    <row r="46" spans="1:130">
      <c r="G46" s="24" t="s">
        <v>639</v>
      </c>
      <c r="K46" s="24" t="s">
        <v>639</v>
      </c>
      <c r="S46" s="25"/>
      <c r="T46" s="24"/>
      <c r="BO46" s="25" t="s">
        <v>639</v>
      </c>
      <c r="CV46" s="24" t="s">
        <v>639</v>
      </c>
      <c r="DC46" s="24" t="s">
        <v>639</v>
      </c>
      <c r="DD46" s="24" t="s">
        <v>639</v>
      </c>
      <c r="DE46" s="24" t="s">
        <v>639</v>
      </c>
      <c r="DF46" s="24" t="s">
        <v>639</v>
      </c>
      <c r="DG46" s="24" t="s">
        <v>639</v>
      </c>
      <c r="DI46" s="24" t="s">
        <v>639</v>
      </c>
      <c r="DJ46" s="24" t="s">
        <v>639</v>
      </c>
      <c r="DL46" s="24" t="s">
        <v>639</v>
      </c>
      <c r="DM46" s="24" t="s">
        <v>639</v>
      </c>
      <c r="DO46" s="24" t="s">
        <v>639</v>
      </c>
      <c r="DP46" s="24" t="s">
        <v>639</v>
      </c>
      <c r="DQ46" s="24" t="s">
        <v>639</v>
      </c>
      <c r="DR46" s="24" t="s">
        <v>639</v>
      </c>
      <c r="DS46" s="24" t="s">
        <v>639</v>
      </c>
      <c r="DT46" s="24" t="s">
        <v>639</v>
      </c>
      <c r="DV46" s="24" t="s">
        <v>639</v>
      </c>
      <c r="DW46" s="24" t="s">
        <v>639</v>
      </c>
      <c r="DX46" s="24" t="s">
        <v>639</v>
      </c>
      <c r="DY46" s="24" t="s">
        <v>639</v>
      </c>
      <c r="DZ46" s="24" t="s">
        <v>639</v>
      </c>
    </row>
    <row r="47" spans="1:130">
      <c r="G47" s="24" t="s">
        <v>639</v>
      </c>
      <c r="K47" s="24" t="s">
        <v>639</v>
      </c>
      <c r="S47" s="25"/>
      <c r="T47" s="24"/>
      <c r="BO47" s="25" t="s">
        <v>639</v>
      </c>
      <c r="CV47" s="24" t="s">
        <v>639</v>
      </c>
      <c r="DC47" s="24" t="s">
        <v>639</v>
      </c>
      <c r="DD47" s="24" t="s">
        <v>639</v>
      </c>
      <c r="DE47" s="24" t="s">
        <v>639</v>
      </c>
      <c r="DF47" s="24" t="s">
        <v>639</v>
      </c>
      <c r="DG47" s="24" t="s">
        <v>639</v>
      </c>
      <c r="DI47" s="24" t="s">
        <v>639</v>
      </c>
      <c r="DJ47" s="24" t="s">
        <v>639</v>
      </c>
      <c r="DL47" s="24" t="s">
        <v>639</v>
      </c>
      <c r="DM47" s="24" t="s">
        <v>639</v>
      </c>
      <c r="DO47" s="24" t="s">
        <v>639</v>
      </c>
      <c r="DP47" s="24" t="s">
        <v>639</v>
      </c>
      <c r="DQ47" s="24" t="s">
        <v>639</v>
      </c>
      <c r="DR47" s="24" t="s">
        <v>639</v>
      </c>
      <c r="DS47" s="24" t="s">
        <v>639</v>
      </c>
      <c r="DT47" s="24" t="s">
        <v>639</v>
      </c>
      <c r="DV47" s="24" t="s">
        <v>639</v>
      </c>
      <c r="DW47" s="24" t="s">
        <v>639</v>
      </c>
      <c r="DX47" s="24" t="s">
        <v>639</v>
      </c>
      <c r="DY47" s="24" t="s">
        <v>639</v>
      </c>
      <c r="DZ47" s="24" t="s">
        <v>639</v>
      </c>
    </row>
    <row r="48" spans="1:130">
      <c r="G48" s="24" t="s">
        <v>639</v>
      </c>
      <c r="K48" s="24" t="s">
        <v>639</v>
      </c>
      <c r="S48" s="25"/>
      <c r="T48" s="24"/>
      <c r="BO48" s="25" t="s">
        <v>639</v>
      </c>
      <c r="CV48" s="24" t="s">
        <v>639</v>
      </c>
      <c r="DC48" s="24" t="s">
        <v>639</v>
      </c>
      <c r="DD48" s="24" t="s">
        <v>639</v>
      </c>
      <c r="DE48" s="24" t="s">
        <v>639</v>
      </c>
      <c r="DF48" s="24" t="s">
        <v>639</v>
      </c>
      <c r="DG48" s="24" t="s">
        <v>639</v>
      </c>
      <c r="DI48" s="24" t="s">
        <v>639</v>
      </c>
      <c r="DJ48" s="24" t="s">
        <v>639</v>
      </c>
      <c r="DL48" s="24" t="s">
        <v>639</v>
      </c>
      <c r="DM48" s="24" t="s">
        <v>639</v>
      </c>
      <c r="DO48" s="24" t="s">
        <v>639</v>
      </c>
      <c r="DP48" s="24" t="s">
        <v>639</v>
      </c>
      <c r="DQ48" s="24" t="s">
        <v>639</v>
      </c>
      <c r="DR48" s="24" t="s">
        <v>639</v>
      </c>
      <c r="DS48" s="24" t="s">
        <v>639</v>
      </c>
      <c r="DT48" s="24" t="s">
        <v>639</v>
      </c>
      <c r="DV48" s="24" t="s">
        <v>639</v>
      </c>
      <c r="DW48" s="24" t="s">
        <v>639</v>
      </c>
      <c r="DX48" s="24" t="s">
        <v>639</v>
      </c>
      <c r="DY48" s="24" t="s">
        <v>639</v>
      </c>
      <c r="DZ48" s="24" t="s">
        <v>639</v>
      </c>
    </row>
    <row r="49" spans="1:130">
      <c r="A49" s="24" t="s">
        <v>142</v>
      </c>
      <c r="B49" s="24" t="s">
        <v>142</v>
      </c>
      <c r="C49" s="24" t="s">
        <v>142</v>
      </c>
      <c r="D49" s="24" t="s">
        <v>142</v>
      </c>
      <c r="E49" s="24">
        <v>5201</v>
      </c>
      <c r="F49" s="24" t="s">
        <v>325</v>
      </c>
      <c r="G49" s="24">
        <v>0</v>
      </c>
      <c r="H49" s="24">
        <v>505201</v>
      </c>
      <c r="I49" s="24" t="s">
        <v>325</v>
      </c>
      <c r="J49" s="24" t="s">
        <v>325</v>
      </c>
      <c r="K49" s="24" t="s">
        <v>473</v>
      </c>
      <c r="M49" s="24">
        <v>0</v>
      </c>
      <c r="N49" s="24">
        <v>0</v>
      </c>
      <c r="P49" s="25">
        <v>4</v>
      </c>
      <c r="Q49" s="25">
        <v>0</v>
      </c>
      <c r="R49" s="24">
        <v>0</v>
      </c>
      <c r="S49" s="25">
        <v>0</v>
      </c>
      <c r="T49" s="24"/>
      <c r="U49" s="24">
        <v>0</v>
      </c>
      <c r="V49" s="25">
        <v>0</v>
      </c>
      <c r="W49" s="24">
        <v>0</v>
      </c>
      <c r="X49" s="24">
        <v>0</v>
      </c>
      <c r="Y49" s="24">
        <v>0</v>
      </c>
      <c r="Z49" s="24">
        <v>0</v>
      </c>
      <c r="AB49" s="24">
        <v>20003</v>
      </c>
      <c r="AC49" s="24">
        <v>-1</v>
      </c>
      <c r="AD49" s="24">
        <v>-1</v>
      </c>
      <c r="AE49" s="24">
        <v>-1</v>
      </c>
      <c r="AG49" s="24">
        <v>1</v>
      </c>
      <c r="AH49" s="24">
        <v>0</v>
      </c>
      <c r="AI49" s="24">
        <v>0</v>
      </c>
      <c r="AJ49" s="24">
        <v>0</v>
      </c>
      <c r="AK49" s="24">
        <v>0</v>
      </c>
      <c r="AL49" s="24">
        <v>0</v>
      </c>
      <c r="AM49" s="24">
        <v>0</v>
      </c>
      <c r="AN49" s="24">
        <v>0</v>
      </c>
      <c r="AO49" s="24">
        <v>0</v>
      </c>
      <c r="AP49" s="24">
        <v>0</v>
      </c>
      <c r="AQ49" s="24">
        <v>0</v>
      </c>
      <c r="AR49" s="24">
        <v>0</v>
      </c>
      <c r="AS49" s="24">
        <v>0</v>
      </c>
      <c r="AT49" s="24">
        <v>0</v>
      </c>
      <c r="AU49" s="24">
        <v>0</v>
      </c>
      <c r="AV49" s="24">
        <v>0</v>
      </c>
      <c r="AW49" s="24">
        <v>0</v>
      </c>
      <c r="AX49" s="24">
        <v>0</v>
      </c>
      <c r="AY49" s="24">
        <v>0</v>
      </c>
      <c r="BA49" s="24">
        <v>0</v>
      </c>
      <c r="BB49" s="24">
        <v>500</v>
      </c>
      <c r="BC49" s="24">
        <v>1000</v>
      </c>
      <c r="BD49" s="24">
        <v>0</v>
      </c>
      <c r="BE49" s="24">
        <v>250</v>
      </c>
      <c r="BF49" s="24">
        <v>1</v>
      </c>
      <c r="BG49" s="25">
        <v>512</v>
      </c>
      <c r="BH49" s="24">
        <v>0</v>
      </c>
      <c r="BI49" s="24">
        <v>0</v>
      </c>
      <c r="BJ49" s="24">
        <v>0</v>
      </c>
      <c r="BK49" s="24">
        <v>0</v>
      </c>
      <c r="BL49" s="25">
        <v>126</v>
      </c>
      <c r="BM49" s="24">
        <v>0</v>
      </c>
      <c r="BO49" s="25">
        <v>1</v>
      </c>
      <c r="BP49" s="24">
        <v>0</v>
      </c>
      <c r="BQ49" s="24">
        <v>0</v>
      </c>
      <c r="BR49" s="24">
        <v>1</v>
      </c>
      <c r="BS49" s="24">
        <v>0</v>
      </c>
      <c r="BT49" s="24">
        <v>100</v>
      </c>
      <c r="BU49" s="24">
        <v>30</v>
      </c>
      <c r="BV49" s="24">
        <v>0</v>
      </c>
      <c r="BW49" s="24">
        <v>0</v>
      </c>
      <c r="BX49" s="24">
        <v>1</v>
      </c>
      <c r="BZ49" s="24">
        <v>-1</v>
      </c>
      <c r="CA49" s="24">
        <v>0</v>
      </c>
      <c r="CB49" s="24">
        <v>0</v>
      </c>
      <c r="CC49" s="24">
        <v>0</v>
      </c>
      <c r="CD49" s="24">
        <v>0</v>
      </c>
      <c r="CE49" s="24">
        <v>0</v>
      </c>
      <c r="CG49" s="24">
        <v>-1</v>
      </c>
      <c r="CH49" s="24">
        <v>0</v>
      </c>
      <c r="CI49" s="24">
        <v>0</v>
      </c>
      <c r="CJ49" s="24">
        <v>0</v>
      </c>
      <c r="CK49" s="24">
        <v>0</v>
      </c>
      <c r="CL49" s="24">
        <v>0</v>
      </c>
      <c r="CM49" s="24">
        <v>0</v>
      </c>
      <c r="CN49" s="24">
        <v>0</v>
      </c>
      <c r="CO49" s="24">
        <v>0</v>
      </c>
      <c r="CQ49" s="24">
        <v>0</v>
      </c>
      <c r="CR49" s="24">
        <v>0</v>
      </c>
      <c r="CS49" s="24">
        <v>0</v>
      </c>
      <c r="CT49" s="24">
        <v>0</v>
      </c>
      <c r="CV49" s="24">
        <v>0</v>
      </c>
      <c r="CW49" s="24">
        <v>0</v>
      </c>
      <c r="CX49" s="24">
        <v>-1</v>
      </c>
      <c r="CY49" s="26">
        <v>0</v>
      </c>
      <c r="CZ49" s="24">
        <v>0</v>
      </c>
      <c r="DA49" s="24">
        <v>0</v>
      </c>
      <c r="DC49" s="24">
        <v>1</v>
      </c>
      <c r="DD49" s="24">
        <v>1</v>
      </c>
      <c r="DE49" s="24">
        <v>0</v>
      </c>
      <c r="DF49" s="24">
        <v>0</v>
      </c>
      <c r="DG49" s="24">
        <v>-1</v>
      </c>
      <c r="DI49" s="24">
        <v>0</v>
      </c>
      <c r="DJ49" s="24">
        <v>0</v>
      </c>
      <c r="DL49" s="24">
        <v>0</v>
      </c>
      <c r="DM49" s="24">
        <v>0</v>
      </c>
      <c r="DO49" s="24">
        <v>0</v>
      </c>
      <c r="DP49" s="24">
        <v>0</v>
      </c>
      <c r="DQ49" s="24">
        <v>0</v>
      </c>
      <c r="DR49" s="24">
        <v>0</v>
      </c>
      <c r="DS49" s="24">
        <v>0</v>
      </c>
      <c r="DT49" s="24">
        <v>0</v>
      </c>
      <c r="DV49" s="24">
        <v>0</v>
      </c>
      <c r="DW49" s="24">
        <v>0</v>
      </c>
      <c r="DX49" s="24">
        <v>0</v>
      </c>
      <c r="DY49" s="24">
        <v>0</v>
      </c>
      <c r="DZ49" s="24">
        <v>0</v>
      </c>
    </row>
    <row r="50" spans="1:130">
      <c r="A50" s="24" t="s">
        <v>142</v>
      </c>
      <c r="B50" s="24" t="s">
        <v>142</v>
      </c>
      <c r="C50" s="24" t="s">
        <v>142</v>
      </c>
      <c r="D50" s="24" t="s">
        <v>142</v>
      </c>
      <c r="E50" s="24">
        <v>5202</v>
      </c>
      <c r="F50" s="24" t="s">
        <v>326</v>
      </c>
      <c r="G50" s="24">
        <v>0</v>
      </c>
      <c r="H50" s="24">
        <v>505202</v>
      </c>
      <c r="I50" s="24" t="s">
        <v>326</v>
      </c>
      <c r="J50" s="24" t="s">
        <v>326</v>
      </c>
      <c r="K50" s="24" t="s">
        <v>643</v>
      </c>
      <c r="M50" s="24">
        <v>102</v>
      </c>
      <c r="N50" s="24">
        <v>0</v>
      </c>
      <c r="P50" s="25">
        <v>2</v>
      </c>
      <c r="Q50" s="25">
        <v>589824</v>
      </c>
      <c r="R50" s="24">
        <v>0</v>
      </c>
      <c r="S50" s="25">
        <v>0</v>
      </c>
      <c r="T50" s="24"/>
      <c r="U50" s="24">
        <v>0</v>
      </c>
      <c r="V50" s="25">
        <v>0</v>
      </c>
      <c r="W50" s="24">
        <v>0</v>
      </c>
      <c r="X50" s="24">
        <v>0</v>
      </c>
      <c r="Y50" s="24">
        <v>0</v>
      </c>
      <c r="Z50" s="24">
        <v>0</v>
      </c>
      <c r="AB50" s="24">
        <v>10001</v>
      </c>
      <c r="AC50" s="24">
        <v>-1</v>
      </c>
      <c r="AD50" s="24">
        <v>-1</v>
      </c>
      <c r="AE50" s="24">
        <v>-1</v>
      </c>
      <c r="AG50" s="24">
        <v>1</v>
      </c>
      <c r="AH50" s="24">
        <v>0</v>
      </c>
      <c r="AI50" s="24">
        <v>0</v>
      </c>
      <c r="AJ50" s="24">
        <v>0</v>
      </c>
      <c r="AK50" s="24">
        <v>0</v>
      </c>
      <c r="AL50" s="24">
        <v>0</v>
      </c>
      <c r="AM50" s="24">
        <v>0</v>
      </c>
      <c r="AN50" s="24">
        <v>0</v>
      </c>
      <c r="AO50" s="24">
        <v>0</v>
      </c>
      <c r="AP50" s="24">
        <v>0</v>
      </c>
      <c r="AQ50" s="24">
        <v>0</v>
      </c>
      <c r="AR50" s="24">
        <v>0</v>
      </c>
      <c r="AS50" s="24">
        <v>0</v>
      </c>
      <c r="AT50" s="24">
        <v>0</v>
      </c>
      <c r="AU50" s="24">
        <v>0</v>
      </c>
      <c r="AV50" s="24">
        <v>0</v>
      </c>
      <c r="AW50" s="24">
        <v>0</v>
      </c>
      <c r="AX50" s="24">
        <v>0</v>
      </c>
      <c r="AY50" s="24">
        <v>0</v>
      </c>
      <c r="BA50" s="24">
        <v>0</v>
      </c>
      <c r="BB50" s="24">
        <v>400</v>
      </c>
      <c r="BC50" s="24">
        <v>1000</v>
      </c>
      <c r="BD50" s="24">
        <v>0</v>
      </c>
      <c r="BE50" s="24">
        <v>250</v>
      </c>
      <c r="BF50" s="24">
        <v>1</v>
      </c>
      <c r="BG50" s="25">
        <v>1</v>
      </c>
      <c r="BH50" s="24">
        <v>1</v>
      </c>
      <c r="BI50" s="24">
        <v>0</v>
      </c>
      <c r="BJ50" s="24">
        <v>0</v>
      </c>
      <c r="BK50" s="24">
        <v>0</v>
      </c>
      <c r="BL50" s="25">
        <v>126</v>
      </c>
      <c r="BM50" s="24">
        <v>0</v>
      </c>
      <c r="BO50" s="25">
        <v>4</v>
      </c>
      <c r="BP50" s="24">
        <v>10</v>
      </c>
      <c r="BQ50" s="24">
        <v>0</v>
      </c>
      <c r="BR50" s="24">
        <v>1</v>
      </c>
      <c r="BS50" s="24">
        <v>0</v>
      </c>
      <c r="BT50" s="24">
        <v>0</v>
      </c>
      <c r="BU50" s="24">
        <v>0</v>
      </c>
      <c r="BV50" s="24">
        <v>6</v>
      </c>
      <c r="BW50" s="24">
        <v>0</v>
      </c>
      <c r="BX50" s="24">
        <v>1</v>
      </c>
      <c r="BZ50" s="24">
        <v>-1</v>
      </c>
      <c r="CA50" s="24">
        <v>0</v>
      </c>
      <c r="CB50" s="24">
        <v>0</v>
      </c>
      <c r="CC50" s="24">
        <v>0</v>
      </c>
      <c r="CD50" s="24">
        <v>0</v>
      </c>
      <c r="CE50" s="24">
        <v>0</v>
      </c>
      <c r="CG50" s="24">
        <v>-1</v>
      </c>
      <c r="CH50" s="24">
        <v>0</v>
      </c>
      <c r="CI50" s="24">
        <v>0</v>
      </c>
      <c r="CJ50" s="24">
        <v>0</v>
      </c>
      <c r="CK50" s="24">
        <v>0</v>
      </c>
      <c r="CL50" s="24">
        <v>0</v>
      </c>
      <c r="CM50" s="24">
        <v>0</v>
      </c>
      <c r="CN50" s="24">
        <v>0</v>
      </c>
      <c r="CO50" s="24">
        <v>0</v>
      </c>
      <c r="CQ50" s="24">
        <v>0</v>
      </c>
      <c r="CR50" s="24">
        <v>0</v>
      </c>
      <c r="CS50" s="24">
        <v>0</v>
      </c>
      <c r="CT50" s="24">
        <v>0</v>
      </c>
      <c r="CV50" s="24">
        <v>100201</v>
      </c>
      <c r="CW50" s="24">
        <v>4</v>
      </c>
      <c r="CX50" s="24">
        <v>100</v>
      </c>
      <c r="CY50" s="26">
        <v>3</v>
      </c>
      <c r="CZ50" s="24">
        <v>1</v>
      </c>
      <c r="DA50" s="24">
        <v>0</v>
      </c>
      <c r="DC50" s="24">
        <v>1</v>
      </c>
      <c r="DD50" s="24">
        <v>1</v>
      </c>
      <c r="DE50" s="24">
        <v>0</v>
      </c>
      <c r="DF50" s="24">
        <v>0</v>
      </c>
      <c r="DG50" s="24">
        <v>-1</v>
      </c>
      <c r="DI50" s="24">
        <v>1</v>
      </c>
      <c r="DJ50" s="24">
        <v>30</v>
      </c>
      <c r="DL50" s="24">
        <v>0</v>
      </c>
      <c r="DM50" s="24">
        <v>0</v>
      </c>
      <c r="DO50" s="24">
        <v>0</v>
      </c>
      <c r="DP50" s="24">
        <v>0</v>
      </c>
      <c r="DQ50" s="24">
        <v>0</v>
      </c>
      <c r="DR50" s="24">
        <v>0</v>
      </c>
      <c r="DS50" s="24">
        <v>0</v>
      </c>
      <c r="DT50" s="24">
        <v>0</v>
      </c>
      <c r="DV50" s="24">
        <v>0</v>
      </c>
      <c r="DW50" s="24">
        <v>0</v>
      </c>
      <c r="DX50" s="24">
        <v>0</v>
      </c>
      <c r="DY50" s="24">
        <v>0</v>
      </c>
      <c r="DZ50" s="24">
        <v>0</v>
      </c>
    </row>
    <row r="51" spans="1:130">
      <c r="A51" s="24" t="s">
        <v>142</v>
      </c>
      <c r="B51" s="24" t="s">
        <v>142</v>
      </c>
      <c r="C51" s="24" t="s">
        <v>142</v>
      </c>
      <c r="D51" s="24" t="s">
        <v>142</v>
      </c>
      <c r="E51" s="24">
        <v>5203</v>
      </c>
      <c r="F51" s="24" t="s">
        <v>264</v>
      </c>
      <c r="G51" s="24">
        <v>0</v>
      </c>
      <c r="H51" s="24">
        <v>505203</v>
      </c>
      <c r="I51" s="24" t="s">
        <v>264</v>
      </c>
      <c r="J51" s="24" t="s">
        <v>264</v>
      </c>
      <c r="K51" s="24" t="s">
        <v>644</v>
      </c>
      <c r="M51" s="24">
        <v>102</v>
      </c>
      <c r="N51" s="14">
        <v>0</v>
      </c>
      <c r="O51" s="14"/>
      <c r="P51" s="25">
        <v>2</v>
      </c>
      <c r="Q51" s="25">
        <v>528384</v>
      </c>
      <c r="R51" s="24">
        <v>0</v>
      </c>
      <c r="S51" s="25">
        <v>0</v>
      </c>
      <c r="T51" s="24"/>
      <c r="U51" s="24">
        <v>0</v>
      </c>
      <c r="V51" s="25">
        <v>0</v>
      </c>
      <c r="W51" s="24">
        <v>0</v>
      </c>
      <c r="X51" s="14">
        <v>0</v>
      </c>
      <c r="Y51" s="24">
        <v>0</v>
      </c>
      <c r="Z51" s="24">
        <v>0</v>
      </c>
      <c r="AB51" s="24">
        <v>10001</v>
      </c>
      <c r="AC51" s="24">
        <v>-1</v>
      </c>
      <c r="AD51" s="24">
        <v>-1</v>
      </c>
      <c r="AE51" s="24">
        <v>-1</v>
      </c>
      <c r="AG51" s="24">
        <v>2</v>
      </c>
      <c r="AH51" s="24">
        <v>33</v>
      </c>
      <c r="AI51" s="24">
        <v>0</v>
      </c>
      <c r="AJ51" s="24">
        <v>0</v>
      </c>
      <c r="AK51" s="24">
        <v>1</v>
      </c>
      <c r="AL51" s="24">
        <v>4</v>
      </c>
      <c r="AM51" s="24">
        <v>0</v>
      </c>
      <c r="AN51" s="24">
        <v>300</v>
      </c>
      <c r="AO51" s="24">
        <v>200</v>
      </c>
      <c r="AP51" s="24">
        <v>1000</v>
      </c>
      <c r="AQ51" s="24">
        <v>15</v>
      </c>
      <c r="AR51" s="24">
        <v>0</v>
      </c>
      <c r="AS51" s="24">
        <v>0</v>
      </c>
      <c r="AT51" s="24">
        <v>0</v>
      </c>
      <c r="AU51" s="24">
        <v>4001</v>
      </c>
      <c r="AV51" s="24">
        <v>0</v>
      </c>
      <c r="AW51" s="24">
        <v>0</v>
      </c>
      <c r="AX51" s="24">
        <v>0</v>
      </c>
      <c r="AY51" s="24">
        <v>0</v>
      </c>
      <c r="BA51" s="24">
        <v>0</v>
      </c>
      <c r="BB51" s="24">
        <v>500</v>
      </c>
      <c r="BC51" s="24">
        <v>1000</v>
      </c>
      <c r="BD51" s="24">
        <v>0</v>
      </c>
      <c r="BE51" s="24">
        <v>200</v>
      </c>
      <c r="BF51" s="24">
        <v>1</v>
      </c>
      <c r="BG51" s="25">
        <v>0</v>
      </c>
      <c r="BH51" s="24">
        <v>0</v>
      </c>
      <c r="BI51" s="24">
        <v>0</v>
      </c>
      <c r="BJ51" s="24">
        <v>0</v>
      </c>
      <c r="BK51" s="24">
        <v>0</v>
      </c>
      <c r="BL51" s="25">
        <v>126</v>
      </c>
      <c r="BM51" s="24">
        <v>0</v>
      </c>
      <c r="BO51" s="25">
        <v>8</v>
      </c>
      <c r="BP51" s="14">
        <v>20</v>
      </c>
      <c r="BQ51" s="24">
        <v>0</v>
      </c>
      <c r="BR51" s="24">
        <v>1</v>
      </c>
      <c r="BS51" s="24">
        <v>0</v>
      </c>
      <c r="BT51" s="24">
        <v>0</v>
      </c>
      <c r="BU51" s="24">
        <v>0</v>
      </c>
      <c r="BV51" s="24">
        <v>6</v>
      </c>
      <c r="BW51" s="24">
        <v>0</v>
      </c>
      <c r="BX51" s="24">
        <v>0</v>
      </c>
      <c r="BZ51" s="24">
        <v>5203</v>
      </c>
      <c r="CA51" s="24">
        <v>0</v>
      </c>
      <c r="CB51" s="24">
        <v>0</v>
      </c>
      <c r="CC51" s="24">
        <v>0</v>
      </c>
      <c r="CD51" s="24">
        <v>0</v>
      </c>
      <c r="CE51" s="24">
        <v>0</v>
      </c>
      <c r="CG51" s="24">
        <v>-1</v>
      </c>
      <c r="CH51" s="24">
        <v>0</v>
      </c>
      <c r="CI51" s="24">
        <v>0</v>
      </c>
      <c r="CJ51" s="24">
        <v>0</v>
      </c>
      <c r="CK51" s="24">
        <v>0</v>
      </c>
      <c r="CL51" s="24">
        <v>0</v>
      </c>
      <c r="CM51" s="24">
        <v>0</v>
      </c>
      <c r="CN51" s="24">
        <v>0</v>
      </c>
      <c r="CO51" s="24">
        <v>0</v>
      </c>
      <c r="CQ51" s="24">
        <v>0</v>
      </c>
      <c r="CR51" s="24">
        <v>0</v>
      </c>
      <c r="CS51" s="24">
        <v>0</v>
      </c>
      <c r="CT51" s="24">
        <v>0</v>
      </c>
      <c r="CV51" s="24">
        <v>100302</v>
      </c>
      <c r="CW51" s="24">
        <v>13</v>
      </c>
      <c r="CX51" s="24">
        <v>3001</v>
      </c>
      <c r="CY51" s="26">
        <v>1</v>
      </c>
      <c r="CZ51" s="24">
        <v>2</v>
      </c>
      <c r="DA51" s="24">
        <v>0</v>
      </c>
      <c r="DC51" s="24">
        <v>2</v>
      </c>
      <c r="DD51" s="24">
        <v>1</v>
      </c>
      <c r="DE51" s="24">
        <v>0</v>
      </c>
      <c r="DF51" s="24">
        <v>0</v>
      </c>
      <c r="DG51" s="24">
        <v>25</v>
      </c>
      <c r="DI51" s="24">
        <v>1</v>
      </c>
      <c r="DJ51" s="24">
        <v>30</v>
      </c>
      <c r="DL51" s="24">
        <v>0</v>
      </c>
      <c r="DM51" s="24">
        <v>0</v>
      </c>
      <c r="DO51" s="24">
        <v>0</v>
      </c>
      <c r="DP51" s="24">
        <v>0</v>
      </c>
      <c r="DQ51" s="24">
        <v>0</v>
      </c>
      <c r="DR51" s="24">
        <v>0</v>
      </c>
      <c r="DS51" s="24">
        <v>0</v>
      </c>
      <c r="DT51" s="24">
        <v>0</v>
      </c>
      <c r="DV51" s="24">
        <v>0</v>
      </c>
      <c r="DW51" s="24">
        <v>0</v>
      </c>
      <c r="DX51" s="24">
        <v>0</v>
      </c>
      <c r="DY51" s="24">
        <v>0</v>
      </c>
      <c r="DZ51" s="24">
        <v>0</v>
      </c>
    </row>
    <row r="52" spans="1:130">
      <c r="A52" s="24" t="s">
        <v>142</v>
      </c>
      <c r="B52" s="24" t="s">
        <v>142</v>
      </c>
      <c r="C52" s="24" t="s">
        <v>142</v>
      </c>
      <c r="D52" s="24" t="s">
        <v>142</v>
      </c>
      <c r="E52" s="24">
        <v>5204</v>
      </c>
      <c r="F52" s="24" t="s">
        <v>265</v>
      </c>
      <c r="G52" s="24">
        <v>0</v>
      </c>
      <c r="H52" s="24">
        <v>505204</v>
      </c>
      <c r="I52" s="24" t="s">
        <v>265</v>
      </c>
      <c r="J52" s="24" t="s">
        <v>265</v>
      </c>
      <c r="K52" s="24" t="s">
        <v>473</v>
      </c>
      <c r="M52" s="24">
        <v>0</v>
      </c>
      <c r="N52" s="14">
        <v>0</v>
      </c>
      <c r="O52" s="14"/>
      <c r="P52" s="25">
        <v>12</v>
      </c>
      <c r="Q52" s="25">
        <v>9728</v>
      </c>
      <c r="R52" s="24">
        <v>5206</v>
      </c>
      <c r="S52" s="25">
        <v>0</v>
      </c>
      <c r="T52" s="24"/>
      <c r="U52" s="24">
        <v>11</v>
      </c>
      <c r="V52" s="25">
        <v>2050</v>
      </c>
      <c r="W52" s="24">
        <v>4</v>
      </c>
      <c r="X52" s="14">
        <v>5203</v>
      </c>
      <c r="Y52" s="24">
        <v>0</v>
      </c>
      <c r="Z52" s="24">
        <v>1000</v>
      </c>
      <c r="AB52" s="24">
        <v>30001</v>
      </c>
      <c r="AC52" s="24">
        <v>0</v>
      </c>
      <c r="AD52" s="24">
        <v>0</v>
      </c>
      <c r="AE52" s="24">
        <v>0</v>
      </c>
      <c r="AG52" s="24">
        <v>2</v>
      </c>
      <c r="AH52" s="24">
        <v>0</v>
      </c>
      <c r="AI52" s="24">
        <v>0</v>
      </c>
      <c r="AJ52" s="24">
        <v>0</v>
      </c>
      <c r="AK52" s="24">
        <v>1</v>
      </c>
      <c r="AL52" s="24">
        <v>3</v>
      </c>
      <c r="AM52" s="24">
        <v>0</v>
      </c>
      <c r="AN52" s="24">
        <v>0</v>
      </c>
      <c r="AO52" s="24">
        <v>0</v>
      </c>
      <c r="AP52" s="24">
        <v>300</v>
      </c>
      <c r="AQ52" s="24">
        <v>0</v>
      </c>
      <c r="AR52" s="24">
        <v>200</v>
      </c>
      <c r="AS52" s="24">
        <v>200</v>
      </c>
      <c r="AT52" s="24">
        <v>3</v>
      </c>
      <c r="AU52" s="24">
        <v>2003</v>
      </c>
      <c r="AV52" s="24">
        <v>0</v>
      </c>
      <c r="AW52" s="24">
        <v>0</v>
      </c>
      <c r="AX52" s="24">
        <v>0</v>
      </c>
      <c r="AY52" s="24">
        <v>0</v>
      </c>
      <c r="BA52" s="24">
        <v>0</v>
      </c>
      <c r="BB52" s="24">
        <v>0</v>
      </c>
      <c r="BC52" s="24">
        <v>0</v>
      </c>
      <c r="BD52" s="24">
        <v>0</v>
      </c>
      <c r="BE52" s="24">
        <v>0</v>
      </c>
      <c r="BF52" s="24">
        <v>1</v>
      </c>
      <c r="BG52" s="25">
        <v>1</v>
      </c>
      <c r="BH52" s="24">
        <v>1</v>
      </c>
      <c r="BI52" s="24">
        <v>0</v>
      </c>
      <c r="BJ52" s="24">
        <v>0</v>
      </c>
      <c r="BK52" s="24">
        <v>0</v>
      </c>
      <c r="BL52" s="25">
        <v>126</v>
      </c>
      <c r="BM52" s="24">
        <v>0</v>
      </c>
      <c r="BO52" s="25">
        <v>8</v>
      </c>
      <c r="BP52" s="14">
        <v>0</v>
      </c>
      <c r="BQ52" s="24">
        <v>0</v>
      </c>
      <c r="BR52" s="24">
        <v>2</v>
      </c>
      <c r="BS52" s="24">
        <v>50</v>
      </c>
      <c r="BT52" s="24">
        <v>0</v>
      </c>
      <c r="BU52" s="24">
        <v>45</v>
      </c>
      <c r="BV52" s="24">
        <v>6</v>
      </c>
      <c r="BW52" s="24">
        <v>0</v>
      </c>
      <c r="BX52" s="24">
        <v>3</v>
      </c>
      <c r="BZ52" s="24">
        <v>-1</v>
      </c>
      <c r="CA52" s="24">
        <v>0</v>
      </c>
      <c r="CB52" s="24">
        <v>0</v>
      </c>
      <c r="CC52" s="24">
        <v>0</v>
      </c>
      <c r="CD52" s="24">
        <v>0</v>
      </c>
      <c r="CE52" s="24">
        <v>0</v>
      </c>
      <c r="CG52" s="24">
        <v>-1</v>
      </c>
      <c r="CH52" s="24">
        <v>0</v>
      </c>
      <c r="CI52" s="24">
        <v>0</v>
      </c>
      <c r="CJ52" s="24">
        <v>0</v>
      </c>
      <c r="CK52" s="24">
        <v>0</v>
      </c>
      <c r="CL52" s="24">
        <v>0</v>
      </c>
      <c r="CM52" s="24">
        <v>0</v>
      </c>
      <c r="CN52" s="24">
        <v>0</v>
      </c>
      <c r="CO52" s="24">
        <v>0</v>
      </c>
      <c r="CQ52" s="24">
        <v>0</v>
      </c>
      <c r="CR52" s="24">
        <v>0</v>
      </c>
      <c r="CS52" s="24">
        <v>0</v>
      </c>
      <c r="CT52" s="24">
        <v>0</v>
      </c>
      <c r="CV52" s="24">
        <v>0</v>
      </c>
      <c r="CW52" s="24">
        <v>0</v>
      </c>
      <c r="CX52" s="24">
        <v>3001</v>
      </c>
      <c r="CY52" s="26">
        <v>1</v>
      </c>
      <c r="CZ52" s="24">
        <v>2</v>
      </c>
      <c r="DA52" s="24">
        <v>0</v>
      </c>
      <c r="DC52" s="24">
        <v>1</v>
      </c>
      <c r="DD52" s="24">
        <v>1</v>
      </c>
      <c r="DE52" s="24">
        <v>0</v>
      </c>
      <c r="DF52" s="24">
        <v>0</v>
      </c>
      <c r="DG52" s="24">
        <v>-1</v>
      </c>
      <c r="DI52" s="24">
        <v>0</v>
      </c>
      <c r="DJ52" s="24">
        <v>0</v>
      </c>
      <c r="DL52" s="24">
        <v>0</v>
      </c>
      <c r="DM52" s="24">
        <v>0</v>
      </c>
      <c r="DO52" s="24">
        <v>0</v>
      </c>
      <c r="DP52" s="24">
        <v>0</v>
      </c>
      <c r="DQ52" s="24">
        <v>0</v>
      </c>
      <c r="DR52" s="24">
        <v>0</v>
      </c>
      <c r="DS52" s="24">
        <v>0</v>
      </c>
      <c r="DT52" s="24">
        <v>0</v>
      </c>
      <c r="DV52" s="24">
        <v>0</v>
      </c>
      <c r="DW52" s="24">
        <v>0</v>
      </c>
      <c r="DX52" s="24">
        <v>0</v>
      </c>
      <c r="DY52" s="24">
        <v>0</v>
      </c>
      <c r="DZ52" s="24">
        <v>0</v>
      </c>
    </row>
    <row r="53" spans="1:130">
      <c r="A53" s="24" t="s">
        <v>142</v>
      </c>
      <c r="B53" s="24" t="s">
        <v>142</v>
      </c>
      <c r="C53" s="24" t="s">
        <v>142</v>
      </c>
      <c r="D53" s="24" t="s">
        <v>142</v>
      </c>
      <c r="E53" s="24">
        <v>5205</v>
      </c>
      <c r="F53" s="24" t="s">
        <v>266</v>
      </c>
      <c r="G53" s="24">
        <v>0</v>
      </c>
      <c r="H53" s="24">
        <v>505205</v>
      </c>
      <c r="I53" s="24" t="s">
        <v>266</v>
      </c>
      <c r="J53" s="24" t="s">
        <v>266</v>
      </c>
      <c r="K53" s="24" t="s">
        <v>473</v>
      </c>
      <c r="M53" s="24">
        <v>0</v>
      </c>
      <c r="N53" s="14">
        <v>0</v>
      </c>
      <c r="O53" s="14"/>
      <c r="P53" s="25">
        <v>12</v>
      </c>
      <c r="Q53" s="25">
        <v>9732</v>
      </c>
      <c r="R53" s="24">
        <v>5206</v>
      </c>
      <c r="S53" s="25">
        <v>0</v>
      </c>
      <c r="T53" s="24"/>
      <c r="U53" s="24">
        <v>11</v>
      </c>
      <c r="V53" s="25">
        <v>2050</v>
      </c>
      <c r="W53" s="24">
        <v>4</v>
      </c>
      <c r="X53" s="14">
        <v>5203</v>
      </c>
      <c r="Y53" s="24">
        <v>0</v>
      </c>
      <c r="Z53" s="24">
        <v>1000</v>
      </c>
      <c r="AB53" s="24">
        <v>30001</v>
      </c>
      <c r="AC53" s="24">
        <v>0</v>
      </c>
      <c r="AD53" s="24">
        <v>0</v>
      </c>
      <c r="AE53" s="24">
        <v>0</v>
      </c>
      <c r="AG53" s="24">
        <v>2</v>
      </c>
      <c r="AH53" s="24">
        <v>0</v>
      </c>
      <c r="AI53" s="24">
        <v>0</v>
      </c>
      <c r="AJ53" s="24">
        <v>0</v>
      </c>
      <c r="AK53" s="24">
        <v>1</v>
      </c>
      <c r="AL53" s="24">
        <v>3</v>
      </c>
      <c r="AM53" s="24">
        <v>0</v>
      </c>
      <c r="AN53" s="24">
        <v>0</v>
      </c>
      <c r="AO53" s="24">
        <v>0</v>
      </c>
      <c r="AP53" s="24">
        <v>300</v>
      </c>
      <c r="AQ53" s="24">
        <v>0</v>
      </c>
      <c r="AR53" s="24">
        <v>200</v>
      </c>
      <c r="AS53" s="24">
        <v>200</v>
      </c>
      <c r="AT53" s="24">
        <v>5</v>
      </c>
      <c r="AU53" s="24">
        <v>2003</v>
      </c>
      <c r="AV53" s="24">
        <v>0</v>
      </c>
      <c r="AW53" s="24">
        <v>0</v>
      </c>
      <c r="AX53" s="24">
        <v>0</v>
      </c>
      <c r="AY53" s="24">
        <v>0</v>
      </c>
      <c r="BA53" s="24">
        <v>0</v>
      </c>
      <c r="BB53" s="24">
        <v>0</v>
      </c>
      <c r="BC53" s="24">
        <v>0</v>
      </c>
      <c r="BD53" s="24">
        <v>0</v>
      </c>
      <c r="BE53" s="24">
        <v>0</v>
      </c>
      <c r="BF53" s="24">
        <v>1</v>
      </c>
      <c r="BG53" s="25">
        <v>2</v>
      </c>
      <c r="BH53" s="24">
        <v>2</v>
      </c>
      <c r="BI53" s="24">
        <v>0</v>
      </c>
      <c r="BJ53" s="24">
        <v>0</v>
      </c>
      <c r="BK53" s="24">
        <v>0</v>
      </c>
      <c r="BL53" s="25">
        <v>126</v>
      </c>
      <c r="BM53" s="24">
        <v>0</v>
      </c>
      <c r="BO53" s="25">
        <v>8</v>
      </c>
      <c r="BP53" s="14">
        <v>0</v>
      </c>
      <c r="BQ53" s="24">
        <v>0</v>
      </c>
      <c r="BR53" s="24">
        <v>2</v>
      </c>
      <c r="BS53" s="24">
        <v>50</v>
      </c>
      <c r="BT53" s="24">
        <v>0</v>
      </c>
      <c r="BU53" s="24">
        <v>45</v>
      </c>
      <c r="BV53" s="24">
        <v>5</v>
      </c>
      <c r="BW53" s="24">
        <v>0</v>
      </c>
      <c r="BX53" s="24">
        <v>5</v>
      </c>
      <c r="BZ53" s="24">
        <v>-1</v>
      </c>
      <c r="CA53" s="24">
        <v>0</v>
      </c>
      <c r="CB53" s="24">
        <v>0</v>
      </c>
      <c r="CC53" s="24">
        <v>0</v>
      </c>
      <c r="CD53" s="24">
        <v>0</v>
      </c>
      <c r="CE53" s="24">
        <v>0</v>
      </c>
      <c r="CG53" s="24">
        <v>-1</v>
      </c>
      <c r="CH53" s="24">
        <v>0</v>
      </c>
      <c r="CI53" s="24">
        <v>0</v>
      </c>
      <c r="CJ53" s="24">
        <v>0</v>
      </c>
      <c r="CK53" s="24">
        <v>0</v>
      </c>
      <c r="CL53" s="24">
        <v>0</v>
      </c>
      <c r="CM53" s="24">
        <v>0</v>
      </c>
      <c r="CN53" s="24">
        <v>0</v>
      </c>
      <c r="CO53" s="24">
        <v>0</v>
      </c>
      <c r="CQ53" s="24">
        <v>0</v>
      </c>
      <c r="CR53" s="24">
        <v>0</v>
      </c>
      <c r="CS53" s="24">
        <v>0</v>
      </c>
      <c r="CT53" s="24">
        <v>0</v>
      </c>
      <c r="CV53" s="24">
        <v>0</v>
      </c>
      <c r="CW53" s="24">
        <v>0</v>
      </c>
      <c r="CX53" s="24">
        <v>-1</v>
      </c>
      <c r="CY53" s="26">
        <v>0</v>
      </c>
      <c r="CZ53" s="24">
        <v>0</v>
      </c>
      <c r="DA53" s="24">
        <v>0</v>
      </c>
      <c r="DC53" s="24">
        <v>1</v>
      </c>
      <c r="DD53" s="24">
        <v>1</v>
      </c>
      <c r="DE53" s="24">
        <v>0</v>
      </c>
      <c r="DF53" s="24">
        <v>0</v>
      </c>
      <c r="DG53" s="24">
        <v>-1</v>
      </c>
      <c r="DI53" s="24">
        <v>0</v>
      </c>
      <c r="DJ53" s="24">
        <v>0</v>
      </c>
      <c r="DL53" s="24">
        <v>0</v>
      </c>
      <c r="DM53" s="24">
        <v>0</v>
      </c>
      <c r="DO53" s="24">
        <v>0</v>
      </c>
      <c r="DP53" s="24">
        <v>0</v>
      </c>
      <c r="DQ53" s="24">
        <v>0</v>
      </c>
      <c r="DR53" s="24">
        <v>0</v>
      </c>
      <c r="DS53" s="24">
        <v>0</v>
      </c>
      <c r="DT53" s="24">
        <v>0</v>
      </c>
      <c r="DV53" s="24">
        <v>0</v>
      </c>
      <c r="DW53" s="24">
        <v>0</v>
      </c>
      <c r="DX53" s="24">
        <v>0</v>
      </c>
      <c r="DY53" s="24">
        <v>0</v>
      </c>
      <c r="DZ53" s="24">
        <v>0</v>
      </c>
    </row>
    <row r="54" spans="1:130">
      <c r="A54" s="24" t="s">
        <v>142</v>
      </c>
      <c r="B54" s="24" t="s">
        <v>142</v>
      </c>
      <c r="C54" s="24" t="s">
        <v>142</v>
      </c>
      <c r="D54" s="24" t="s">
        <v>142</v>
      </c>
      <c r="E54" s="24">
        <v>5206</v>
      </c>
      <c r="F54" s="24" t="s">
        <v>267</v>
      </c>
      <c r="G54" s="24">
        <v>0</v>
      </c>
      <c r="H54" s="24">
        <v>505206</v>
      </c>
      <c r="I54" s="24" t="s">
        <v>267</v>
      </c>
      <c r="J54" s="24" t="s">
        <v>267</v>
      </c>
      <c r="K54" s="24" t="s">
        <v>473</v>
      </c>
      <c r="M54" s="24">
        <v>0</v>
      </c>
      <c r="N54" s="14">
        <v>0</v>
      </c>
      <c r="O54" s="14"/>
      <c r="P54" s="25">
        <v>12</v>
      </c>
      <c r="Q54" s="25">
        <v>9732</v>
      </c>
      <c r="R54" s="24">
        <v>5206</v>
      </c>
      <c r="S54" s="25">
        <v>0</v>
      </c>
      <c r="T54" s="24"/>
      <c r="U54" s="24">
        <v>11</v>
      </c>
      <c r="V54" s="25">
        <v>2050</v>
      </c>
      <c r="W54" s="24">
        <v>4</v>
      </c>
      <c r="X54" s="14">
        <v>5203</v>
      </c>
      <c r="Y54" s="24">
        <v>0</v>
      </c>
      <c r="Z54" s="24">
        <v>1000</v>
      </c>
      <c r="AB54" s="24">
        <v>30001</v>
      </c>
      <c r="AC54" s="24">
        <v>0</v>
      </c>
      <c r="AD54" s="24">
        <v>0</v>
      </c>
      <c r="AE54" s="24">
        <v>0</v>
      </c>
      <c r="AG54" s="24">
        <v>2</v>
      </c>
      <c r="AH54" s="24">
        <v>0</v>
      </c>
      <c r="AI54" s="24">
        <v>0</v>
      </c>
      <c r="AJ54" s="24">
        <v>0</v>
      </c>
      <c r="AK54" s="24">
        <v>1</v>
      </c>
      <c r="AL54" s="24">
        <v>3</v>
      </c>
      <c r="AM54" s="24">
        <v>0</v>
      </c>
      <c r="AN54" s="24">
        <v>0</v>
      </c>
      <c r="AO54" s="24">
        <v>0</v>
      </c>
      <c r="AP54" s="24">
        <v>5000</v>
      </c>
      <c r="AQ54" s="24">
        <v>0</v>
      </c>
      <c r="AR54" s="24">
        <v>500</v>
      </c>
      <c r="AS54" s="24">
        <v>500</v>
      </c>
      <c r="AT54" s="24">
        <v>15</v>
      </c>
      <c r="AU54" s="24">
        <v>5001</v>
      </c>
      <c r="AV54" s="24">
        <v>0</v>
      </c>
      <c r="AW54" s="24">
        <v>0</v>
      </c>
      <c r="AX54" s="24">
        <v>0</v>
      </c>
      <c r="AY54" s="24">
        <v>0</v>
      </c>
      <c r="BA54" s="24">
        <v>0</v>
      </c>
      <c r="BB54" s="24">
        <v>0</v>
      </c>
      <c r="BC54" s="24">
        <v>0</v>
      </c>
      <c r="BD54" s="24">
        <v>0</v>
      </c>
      <c r="BE54" s="24">
        <v>0</v>
      </c>
      <c r="BF54" s="24">
        <v>1</v>
      </c>
      <c r="BG54" s="25">
        <v>2</v>
      </c>
      <c r="BH54" s="24">
        <v>2</v>
      </c>
      <c r="BI54" s="24">
        <v>0</v>
      </c>
      <c r="BJ54" s="24">
        <v>0</v>
      </c>
      <c r="BK54" s="24">
        <v>0</v>
      </c>
      <c r="BL54" s="25">
        <v>126</v>
      </c>
      <c r="BM54" s="24">
        <v>0</v>
      </c>
      <c r="BO54" s="25">
        <v>8</v>
      </c>
      <c r="BP54" s="14">
        <v>0</v>
      </c>
      <c r="BQ54" s="24">
        <v>0</v>
      </c>
      <c r="BR54" s="24">
        <v>2</v>
      </c>
      <c r="BS54" s="24">
        <v>50</v>
      </c>
      <c r="BT54" s="24">
        <v>0</v>
      </c>
      <c r="BU54" s="24">
        <v>45</v>
      </c>
      <c r="BV54" s="24">
        <v>5</v>
      </c>
      <c r="BW54" s="24">
        <v>0</v>
      </c>
      <c r="BX54" s="24">
        <v>5</v>
      </c>
      <c r="BZ54" s="24">
        <v>-1</v>
      </c>
      <c r="CA54" s="24">
        <v>0</v>
      </c>
      <c r="CB54" s="24">
        <v>0</v>
      </c>
      <c r="CC54" s="24">
        <v>0</v>
      </c>
      <c r="CD54" s="24">
        <v>0</v>
      </c>
      <c r="CE54" s="24">
        <v>0</v>
      </c>
      <c r="CG54" s="24">
        <v>-1</v>
      </c>
      <c r="CH54" s="24">
        <v>0</v>
      </c>
      <c r="CI54" s="24">
        <v>0</v>
      </c>
      <c r="CJ54" s="24">
        <v>0</v>
      </c>
      <c r="CK54" s="24">
        <v>0</v>
      </c>
      <c r="CL54" s="24">
        <v>0</v>
      </c>
      <c r="CM54" s="24">
        <v>0</v>
      </c>
      <c r="CN54" s="24">
        <v>0</v>
      </c>
      <c r="CO54" s="24">
        <v>0</v>
      </c>
      <c r="CQ54" s="24">
        <v>0</v>
      </c>
      <c r="CR54" s="24">
        <v>0</v>
      </c>
      <c r="CS54" s="24">
        <v>0</v>
      </c>
      <c r="CT54" s="24">
        <v>0</v>
      </c>
      <c r="CV54" s="24">
        <v>0</v>
      </c>
      <c r="CW54" s="24">
        <v>0</v>
      </c>
      <c r="CX54" s="24">
        <v>-1</v>
      </c>
      <c r="CY54" s="26">
        <v>0</v>
      </c>
      <c r="CZ54" s="24">
        <v>0</v>
      </c>
      <c r="DA54" s="24">
        <v>0</v>
      </c>
      <c r="DC54" s="24">
        <v>1</v>
      </c>
      <c r="DD54" s="24">
        <v>1</v>
      </c>
      <c r="DE54" s="24">
        <v>0</v>
      </c>
      <c r="DF54" s="24">
        <v>0</v>
      </c>
      <c r="DG54" s="24">
        <v>-1</v>
      </c>
      <c r="DI54" s="24">
        <v>0</v>
      </c>
      <c r="DJ54" s="24">
        <v>0</v>
      </c>
      <c r="DL54" s="24">
        <v>0</v>
      </c>
      <c r="DM54" s="24">
        <v>0</v>
      </c>
      <c r="DO54" s="24">
        <v>0</v>
      </c>
      <c r="DP54" s="24">
        <v>0</v>
      </c>
      <c r="DQ54" s="24">
        <v>0</v>
      </c>
      <c r="DR54" s="24">
        <v>0</v>
      </c>
      <c r="DS54" s="24">
        <v>0</v>
      </c>
      <c r="DT54" s="24">
        <v>0</v>
      </c>
      <c r="DV54" s="24">
        <v>0</v>
      </c>
      <c r="DW54" s="24">
        <v>0</v>
      </c>
      <c r="DX54" s="24">
        <v>0</v>
      </c>
      <c r="DY54" s="24">
        <v>0</v>
      </c>
      <c r="DZ54" s="24">
        <v>0</v>
      </c>
    </row>
    <row r="55" spans="1:130">
      <c r="A55" s="24" t="s">
        <v>142</v>
      </c>
      <c r="B55" s="24" t="s">
        <v>142</v>
      </c>
      <c r="C55" s="24" t="s">
        <v>142</v>
      </c>
      <c r="D55" s="24" t="s">
        <v>142</v>
      </c>
      <c r="E55" s="24">
        <v>5207</v>
      </c>
      <c r="F55" s="24" t="s">
        <v>268</v>
      </c>
      <c r="G55" s="24">
        <v>0</v>
      </c>
      <c r="H55" s="24">
        <v>505207</v>
      </c>
      <c r="I55" s="24" t="s">
        <v>268</v>
      </c>
      <c r="J55" s="24" t="s">
        <v>268</v>
      </c>
      <c r="K55" s="24" t="s">
        <v>645</v>
      </c>
      <c r="M55" s="24">
        <v>102</v>
      </c>
      <c r="N55" s="14">
        <v>0</v>
      </c>
      <c r="O55" s="14"/>
      <c r="P55" s="25">
        <v>2</v>
      </c>
      <c r="Q55" s="25">
        <v>533508</v>
      </c>
      <c r="R55" s="24">
        <v>0</v>
      </c>
      <c r="S55" s="25">
        <v>0</v>
      </c>
      <c r="T55" s="24"/>
      <c r="U55" s="24">
        <v>0</v>
      </c>
      <c r="V55" s="25">
        <v>0</v>
      </c>
      <c r="W55" s="24">
        <v>0</v>
      </c>
      <c r="X55" s="14">
        <v>0</v>
      </c>
      <c r="Y55" s="24">
        <v>0</v>
      </c>
      <c r="Z55" s="24">
        <v>0</v>
      </c>
      <c r="AB55" s="24">
        <v>10001</v>
      </c>
      <c r="AC55" s="24">
        <v>-1</v>
      </c>
      <c r="AD55" s="24">
        <v>-1</v>
      </c>
      <c r="AE55" s="24">
        <v>-1</v>
      </c>
      <c r="AG55" s="24">
        <v>2</v>
      </c>
      <c r="AH55" s="24">
        <v>0</v>
      </c>
      <c r="AI55" s="24">
        <v>0</v>
      </c>
      <c r="AJ55" s="24">
        <v>0</v>
      </c>
      <c r="AK55" s="24">
        <v>1</v>
      </c>
      <c r="AL55" s="24">
        <v>3</v>
      </c>
      <c r="AM55" s="24">
        <v>1</v>
      </c>
      <c r="AN55" s="24">
        <v>300</v>
      </c>
      <c r="AO55" s="24">
        <v>200</v>
      </c>
      <c r="AP55" s="24">
        <v>400</v>
      </c>
      <c r="AQ55" s="24">
        <v>0</v>
      </c>
      <c r="AR55" s="24">
        <v>300</v>
      </c>
      <c r="AS55" s="24">
        <v>300</v>
      </c>
      <c r="AT55" s="24">
        <v>1</v>
      </c>
      <c r="AU55" s="24">
        <v>5006</v>
      </c>
      <c r="AV55" s="24">
        <v>0</v>
      </c>
      <c r="AW55" s="24">
        <v>0</v>
      </c>
      <c r="AX55" s="24">
        <v>0</v>
      </c>
      <c r="AY55" s="24">
        <v>0</v>
      </c>
      <c r="BA55" s="24">
        <v>0</v>
      </c>
      <c r="BB55" s="24">
        <v>700</v>
      </c>
      <c r="BC55" s="24">
        <v>1000</v>
      </c>
      <c r="BD55" s="24">
        <v>0</v>
      </c>
      <c r="BE55" s="24">
        <v>800</v>
      </c>
      <c r="BF55" s="24">
        <v>1</v>
      </c>
      <c r="BG55" s="25">
        <v>2</v>
      </c>
      <c r="BH55" s="24">
        <v>2</v>
      </c>
      <c r="BI55" s="24">
        <v>0</v>
      </c>
      <c r="BJ55" s="24">
        <v>0</v>
      </c>
      <c r="BK55" s="24">
        <v>0</v>
      </c>
      <c r="BL55" s="25">
        <v>126</v>
      </c>
      <c r="BM55" s="24">
        <v>0</v>
      </c>
      <c r="BO55" s="25">
        <v>1</v>
      </c>
      <c r="BP55" s="14">
        <v>20</v>
      </c>
      <c r="BQ55" s="24">
        <v>0</v>
      </c>
      <c r="BR55" s="24">
        <v>2</v>
      </c>
      <c r="BS55" s="24">
        <v>50</v>
      </c>
      <c r="BT55" s="24">
        <v>0</v>
      </c>
      <c r="BU55" s="24">
        <v>45</v>
      </c>
      <c r="BV55" s="24">
        <v>5</v>
      </c>
      <c r="BW55" s="24">
        <v>1</v>
      </c>
      <c r="BX55" s="24">
        <v>1</v>
      </c>
      <c r="BZ55" s="24">
        <v>5206</v>
      </c>
      <c r="CA55" s="24">
        <v>0</v>
      </c>
      <c r="CB55" s="24">
        <v>0</v>
      </c>
      <c r="CC55" s="24">
        <v>0</v>
      </c>
      <c r="CD55" s="24">
        <v>0</v>
      </c>
      <c r="CE55" s="24">
        <v>0</v>
      </c>
      <c r="CG55" s="24">
        <v>-1</v>
      </c>
      <c r="CH55" s="24">
        <v>0</v>
      </c>
      <c r="CI55" s="24">
        <v>0</v>
      </c>
      <c r="CJ55" s="24">
        <v>0</v>
      </c>
      <c r="CK55" s="24">
        <v>0</v>
      </c>
      <c r="CL55" s="24">
        <v>0</v>
      </c>
      <c r="CM55" s="24">
        <v>0</v>
      </c>
      <c r="CN55" s="24">
        <v>0</v>
      </c>
      <c r="CO55" s="24">
        <v>0</v>
      </c>
      <c r="CQ55" s="24">
        <v>0</v>
      </c>
      <c r="CR55" s="24">
        <v>0</v>
      </c>
      <c r="CS55" s="24">
        <v>0</v>
      </c>
      <c r="CT55" s="24">
        <v>0</v>
      </c>
      <c r="CV55" s="24">
        <v>100105</v>
      </c>
      <c r="CW55" s="24">
        <v>0</v>
      </c>
      <c r="CX55" s="24">
        <v>3002</v>
      </c>
      <c r="CY55" s="26">
        <v>1</v>
      </c>
      <c r="CZ55" s="24">
        <v>2</v>
      </c>
      <c r="DA55" s="24">
        <v>0</v>
      </c>
      <c r="DC55" s="24">
        <v>1</v>
      </c>
      <c r="DD55" s="24">
        <v>1</v>
      </c>
      <c r="DE55" s="24">
        <v>1</v>
      </c>
      <c r="DF55" s="24">
        <v>0</v>
      </c>
      <c r="DG55" s="24">
        <v>-1</v>
      </c>
      <c r="DI55" s="24">
        <v>0</v>
      </c>
      <c r="DJ55" s="24">
        <v>0</v>
      </c>
      <c r="DL55" s="24">
        <v>0</v>
      </c>
      <c r="DM55" s="24">
        <v>0</v>
      </c>
      <c r="DO55" s="24">
        <v>0</v>
      </c>
      <c r="DP55" s="24">
        <v>0</v>
      </c>
      <c r="DQ55" s="24">
        <v>0</v>
      </c>
      <c r="DR55" s="24">
        <v>0</v>
      </c>
      <c r="DS55" s="24">
        <v>0</v>
      </c>
      <c r="DT55" s="24">
        <v>0</v>
      </c>
      <c r="DV55" s="24">
        <v>0</v>
      </c>
      <c r="DW55" s="24">
        <v>0</v>
      </c>
      <c r="DX55" s="24">
        <v>0</v>
      </c>
      <c r="DY55" s="24">
        <v>0</v>
      </c>
      <c r="DZ55" s="24">
        <v>0</v>
      </c>
    </row>
    <row r="56" spans="1:130">
      <c r="A56" s="24" t="s">
        <v>142</v>
      </c>
      <c r="B56" s="24" t="s">
        <v>142</v>
      </c>
      <c r="C56" s="24" t="s">
        <v>142</v>
      </c>
      <c r="D56" s="24" t="s">
        <v>142</v>
      </c>
      <c r="E56" s="24">
        <v>5208</v>
      </c>
      <c r="F56" s="24" t="s">
        <v>410</v>
      </c>
      <c r="G56" s="24">
        <v>0</v>
      </c>
      <c r="H56" s="24">
        <v>505208</v>
      </c>
      <c r="I56" s="24" t="s">
        <v>410</v>
      </c>
      <c r="J56" s="24" t="s">
        <v>410</v>
      </c>
      <c r="K56" s="24" t="s">
        <v>473</v>
      </c>
      <c r="M56" s="24">
        <v>102</v>
      </c>
      <c r="N56" s="14">
        <v>0</v>
      </c>
      <c r="O56" s="14"/>
      <c r="P56" s="25">
        <v>2</v>
      </c>
      <c r="Q56" s="25">
        <v>524292</v>
      </c>
      <c r="R56" s="24">
        <v>5207</v>
      </c>
      <c r="S56" s="25">
        <v>0</v>
      </c>
      <c r="T56" s="24"/>
      <c r="U56" s="24">
        <v>0</v>
      </c>
      <c r="V56" s="25">
        <v>0</v>
      </c>
      <c r="W56" s="24">
        <v>0</v>
      </c>
      <c r="X56" s="14">
        <v>0</v>
      </c>
      <c r="Y56" s="24">
        <v>0</v>
      </c>
      <c r="Z56" s="24">
        <v>0</v>
      </c>
      <c r="AB56" s="24">
        <v>10001</v>
      </c>
      <c r="AC56" s="24">
        <v>-1</v>
      </c>
      <c r="AD56" s="24">
        <v>-1</v>
      </c>
      <c r="AE56" s="24">
        <v>-1</v>
      </c>
      <c r="AG56" s="24">
        <v>1</v>
      </c>
      <c r="AH56" s="24">
        <v>0</v>
      </c>
      <c r="AI56" s="24">
        <v>0</v>
      </c>
      <c r="AJ56" s="24">
        <v>0</v>
      </c>
      <c r="AK56" s="24">
        <v>0</v>
      </c>
      <c r="AL56" s="24">
        <v>0</v>
      </c>
      <c r="AM56" s="24">
        <v>0</v>
      </c>
      <c r="AN56" s="24">
        <v>0</v>
      </c>
      <c r="AO56" s="24">
        <v>0</v>
      </c>
      <c r="AP56" s="24">
        <v>0</v>
      </c>
      <c r="AQ56" s="24">
        <v>0</v>
      </c>
      <c r="AR56" s="24">
        <v>0</v>
      </c>
      <c r="AS56" s="24">
        <v>0</v>
      </c>
      <c r="AT56" s="24">
        <v>0</v>
      </c>
      <c r="AU56" s="24">
        <v>0</v>
      </c>
      <c r="AV56" s="24">
        <v>0</v>
      </c>
      <c r="AW56" s="24">
        <v>0</v>
      </c>
      <c r="AX56" s="24">
        <v>0</v>
      </c>
      <c r="AY56" s="24">
        <v>0</v>
      </c>
      <c r="BA56" s="24">
        <v>0</v>
      </c>
      <c r="BB56" s="24">
        <v>700</v>
      </c>
      <c r="BC56" s="24">
        <v>1000</v>
      </c>
      <c r="BD56" s="24">
        <v>0</v>
      </c>
      <c r="BE56" s="24">
        <v>880</v>
      </c>
      <c r="BF56" s="24">
        <v>1</v>
      </c>
      <c r="BG56" s="25">
        <v>514</v>
      </c>
      <c r="BH56" s="24">
        <v>4</v>
      </c>
      <c r="BI56" s="24">
        <v>5208</v>
      </c>
      <c r="BJ56" s="24">
        <v>1</v>
      </c>
      <c r="BK56" s="24">
        <v>1</v>
      </c>
      <c r="BL56" s="25">
        <v>126</v>
      </c>
      <c r="BM56" s="24">
        <v>0</v>
      </c>
      <c r="BO56" s="25">
        <v>1</v>
      </c>
      <c r="BP56" s="14">
        <v>20</v>
      </c>
      <c r="BQ56" s="24">
        <v>0</v>
      </c>
      <c r="BR56" s="24">
        <v>2</v>
      </c>
      <c r="BS56" s="24">
        <v>50</v>
      </c>
      <c r="BT56" s="24">
        <v>0</v>
      </c>
      <c r="BU56" s="24">
        <v>45</v>
      </c>
      <c r="BV56" s="24">
        <v>5</v>
      </c>
      <c r="BW56" s="24">
        <v>1</v>
      </c>
      <c r="BX56" s="24">
        <v>3</v>
      </c>
      <c r="BZ56" s="24">
        <v>5207</v>
      </c>
      <c r="CA56" s="24">
        <v>0</v>
      </c>
      <c r="CB56" s="24">
        <v>0</v>
      </c>
      <c r="CC56" s="24">
        <v>0</v>
      </c>
      <c r="CD56" s="24">
        <v>0</v>
      </c>
      <c r="CE56" s="24">
        <v>0</v>
      </c>
      <c r="CG56" s="24">
        <v>-1</v>
      </c>
      <c r="CH56" s="24">
        <v>0</v>
      </c>
      <c r="CI56" s="24">
        <v>0</v>
      </c>
      <c r="CJ56" s="24">
        <v>0</v>
      </c>
      <c r="CK56" s="24">
        <v>0</v>
      </c>
      <c r="CL56" s="24">
        <v>0</v>
      </c>
      <c r="CM56" s="24">
        <v>0</v>
      </c>
      <c r="CN56" s="24">
        <v>0</v>
      </c>
      <c r="CO56" s="24">
        <v>0</v>
      </c>
      <c r="CQ56" s="24">
        <v>0</v>
      </c>
      <c r="CR56" s="24">
        <v>0</v>
      </c>
      <c r="CS56" s="24">
        <v>0</v>
      </c>
      <c r="CT56" s="24">
        <v>0</v>
      </c>
      <c r="CV56" s="24">
        <v>100105</v>
      </c>
      <c r="CW56" s="24">
        <v>0</v>
      </c>
      <c r="CX56" s="24">
        <v>-1</v>
      </c>
      <c r="CY56" s="26">
        <v>0</v>
      </c>
      <c r="CZ56" s="24">
        <v>2</v>
      </c>
      <c r="DA56" s="24">
        <v>0</v>
      </c>
      <c r="DC56" s="24">
        <v>1</v>
      </c>
      <c r="DD56" s="24">
        <v>1</v>
      </c>
      <c r="DE56" s="24">
        <v>1</v>
      </c>
      <c r="DF56" s="24">
        <v>0</v>
      </c>
      <c r="DG56" s="24">
        <v>-1</v>
      </c>
      <c r="DI56" s="24">
        <v>0</v>
      </c>
      <c r="DJ56" s="24">
        <v>0</v>
      </c>
      <c r="DL56" s="24">
        <v>0</v>
      </c>
      <c r="DM56" s="24">
        <v>0</v>
      </c>
      <c r="DO56" s="24">
        <v>0</v>
      </c>
      <c r="DP56" s="24">
        <v>0</v>
      </c>
      <c r="DQ56" s="24">
        <v>0</v>
      </c>
      <c r="DR56" s="24">
        <v>0</v>
      </c>
      <c r="DS56" s="24">
        <v>0</v>
      </c>
      <c r="DT56" s="24">
        <v>0</v>
      </c>
      <c r="DV56" s="24">
        <v>0</v>
      </c>
      <c r="DW56" s="24">
        <v>0</v>
      </c>
      <c r="DX56" s="24">
        <v>0</v>
      </c>
      <c r="DY56" s="24">
        <v>0</v>
      </c>
      <c r="DZ56" s="24">
        <v>0</v>
      </c>
    </row>
    <row r="57" spans="1:130">
      <c r="A57" s="24" t="s">
        <v>142</v>
      </c>
      <c r="B57" s="24" t="s">
        <v>142</v>
      </c>
      <c r="C57" s="24" t="s">
        <v>142</v>
      </c>
      <c r="D57" s="24" t="s">
        <v>142</v>
      </c>
      <c r="E57" s="24">
        <v>5209</v>
      </c>
      <c r="F57" s="24" t="s">
        <v>315</v>
      </c>
      <c r="G57" s="24">
        <v>0</v>
      </c>
      <c r="H57" s="24">
        <v>505209</v>
      </c>
      <c r="I57" s="24" t="s">
        <v>315</v>
      </c>
      <c r="J57" s="24" t="s">
        <v>315</v>
      </c>
      <c r="K57" s="24" t="s">
        <v>646</v>
      </c>
      <c r="M57" s="24">
        <v>102</v>
      </c>
      <c r="N57" s="14">
        <v>0</v>
      </c>
      <c r="O57" s="14"/>
      <c r="P57" s="25">
        <v>2</v>
      </c>
      <c r="Q57" s="25">
        <v>2097152</v>
      </c>
      <c r="R57" s="24">
        <v>0</v>
      </c>
      <c r="S57" s="25">
        <v>0</v>
      </c>
      <c r="T57" s="24"/>
      <c r="U57" s="24">
        <v>0</v>
      </c>
      <c r="V57" s="25">
        <v>0</v>
      </c>
      <c r="W57" s="24">
        <v>0</v>
      </c>
      <c r="X57" s="14">
        <v>0</v>
      </c>
      <c r="Y57" s="24">
        <v>0</v>
      </c>
      <c r="Z57" s="24">
        <v>0</v>
      </c>
      <c r="AB57" s="24">
        <v>10001</v>
      </c>
      <c r="AC57" s="24">
        <v>-1</v>
      </c>
      <c r="AD57" s="24">
        <v>-1</v>
      </c>
      <c r="AE57" s="24">
        <v>-1</v>
      </c>
      <c r="AG57" s="24">
        <v>1</v>
      </c>
      <c r="AH57" s="24">
        <v>0</v>
      </c>
      <c r="AI57" s="24">
        <v>0</v>
      </c>
      <c r="AJ57" s="24">
        <v>0</v>
      </c>
      <c r="AK57" s="24">
        <v>0</v>
      </c>
      <c r="AL57" s="24">
        <v>0</v>
      </c>
      <c r="AM57" s="24">
        <v>0</v>
      </c>
      <c r="AN57" s="24">
        <v>0</v>
      </c>
      <c r="AO57" s="24">
        <v>0</v>
      </c>
      <c r="AP57" s="24">
        <v>0</v>
      </c>
      <c r="AQ57" s="24">
        <v>0</v>
      </c>
      <c r="AR57" s="24">
        <v>0</v>
      </c>
      <c r="AS57" s="24">
        <v>0</v>
      </c>
      <c r="AT57" s="24">
        <v>0</v>
      </c>
      <c r="AU57" s="24">
        <v>0</v>
      </c>
      <c r="AV57" s="24">
        <v>0</v>
      </c>
      <c r="AW57" s="24">
        <v>0</v>
      </c>
      <c r="AX57" s="24">
        <v>0</v>
      </c>
      <c r="AY57" s="24">
        <v>0</v>
      </c>
      <c r="BA57" s="24">
        <v>0</v>
      </c>
      <c r="BB57" s="24">
        <v>2700</v>
      </c>
      <c r="BC57" s="24">
        <v>3000</v>
      </c>
      <c r="BD57" s="24">
        <v>0</v>
      </c>
      <c r="BE57" s="24">
        <v>2500</v>
      </c>
      <c r="BF57" s="24">
        <v>1</v>
      </c>
      <c r="BG57" s="25">
        <v>528</v>
      </c>
      <c r="BH57" s="24">
        <v>4</v>
      </c>
      <c r="BI57" s="24">
        <v>5209</v>
      </c>
      <c r="BJ57" s="24">
        <v>1</v>
      </c>
      <c r="BK57" s="24">
        <v>1</v>
      </c>
      <c r="BL57" s="25">
        <v>126</v>
      </c>
      <c r="BM57" s="24">
        <v>0</v>
      </c>
      <c r="BO57" s="25">
        <v>1</v>
      </c>
      <c r="BP57" s="14">
        <v>0</v>
      </c>
      <c r="BQ57" s="24">
        <v>0</v>
      </c>
      <c r="BR57" s="24">
        <v>1</v>
      </c>
      <c r="BS57" s="24">
        <v>0</v>
      </c>
      <c r="BT57" s="24">
        <v>0</v>
      </c>
      <c r="BU57" s="24">
        <v>0</v>
      </c>
      <c r="BV57" s="24">
        <v>0</v>
      </c>
      <c r="BW57" s="24">
        <v>0</v>
      </c>
      <c r="BX57" s="24">
        <v>1</v>
      </c>
      <c r="BZ57" s="24">
        <v>5209</v>
      </c>
      <c r="CA57" s="24">
        <v>0</v>
      </c>
      <c r="CB57" s="24">
        <v>0</v>
      </c>
      <c r="CC57" s="24">
        <v>0</v>
      </c>
      <c r="CD57" s="24">
        <v>0</v>
      </c>
      <c r="CE57" s="24">
        <v>0</v>
      </c>
      <c r="CG57" s="24">
        <v>-1</v>
      </c>
      <c r="CH57" s="24">
        <v>0</v>
      </c>
      <c r="CI57" s="24">
        <v>0</v>
      </c>
      <c r="CJ57" s="24">
        <v>0</v>
      </c>
      <c r="CK57" s="24">
        <v>0</v>
      </c>
      <c r="CL57" s="24">
        <v>0</v>
      </c>
      <c r="CM57" s="24">
        <v>0</v>
      </c>
      <c r="CN57" s="24">
        <v>0</v>
      </c>
      <c r="CO57" s="24">
        <v>0</v>
      </c>
      <c r="CQ57" s="24">
        <v>0</v>
      </c>
      <c r="CR57" s="24">
        <v>0</v>
      </c>
      <c r="CS57" s="24">
        <v>0</v>
      </c>
      <c r="CT57" s="24">
        <v>0</v>
      </c>
      <c r="CV57" s="24">
        <v>100304</v>
      </c>
      <c r="CW57" s="24">
        <v>0</v>
      </c>
      <c r="CX57" s="24">
        <v>-1</v>
      </c>
      <c r="CY57" s="26">
        <v>0</v>
      </c>
      <c r="CZ57" s="24">
        <v>10</v>
      </c>
      <c r="DA57" s="24">
        <v>0</v>
      </c>
      <c r="DC57" s="24">
        <v>1</v>
      </c>
      <c r="DD57" s="24">
        <v>1</v>
      </c>
      <c r="DE57" s="24">
        <v>0</v>
      </c>
      <c r="DF57" s="24">
        <v>0</v>
      </c>
      <c r="DG57" s="24">
        <v>-1</v>
      </c>
      <c r="DI57" s="24">
        <v>0</v>
      </c>
      <c r="DJ57" s="24">
        <v>0</v>
      </c>
      <c r="DL57" s="24">
        <v>0</v>
      </c>
      <c r="DM57" s="24">
        <v>0</v>
      </c>
      <c r="DO57" s="24">
        <v>0</v>
      </c>
      <c r="DP57" s="24">
        <v>0</v>
      </c>
      <c r="DQ57" s="24">
        <v>0</v>
      </c>
      <c r="DR57" s="24">
        <v>0</v>
      </c>
      <c r="DS57" s="24">
        <v>0</v>
      </c>
      <c r="DT57" s="24">
        <v>0</v>
      </c>
      <c r="DV57" s="24">
        <v>0</v>
      </c>
      <c r="DW57" s="24">
        <v>0</v>
      </c>
      <c r="DX57" s="24">
        <v>0</v>
      </c>
      <c r="DY57" s="24">
        <v>0</v>
      </c>
      <c r="DZ57" s="24">
        <v>0</v>
      </c>
    </row>
    <row r="58" spans="1:130">
      <c r="A58" s="24" t="s">
        <v>142</v>
      </c>
      <c r="B58" s="24" t="s">
        <v>142</v>
      </c>
      <c r="C58" s="24" t="s">
        <v>142</v>
      </c>
      <c r="D58" s="24" t="s">
        <v>142</v>
      </c>
      <c r="E58" s="24">
        <v>5210</v>
      </c>
      <c r="F58" s="24" t="s">
        <v>327</v>
      </c>
      <c r="G58" s="24">
        <v>0</v>
      </c>
      <c r="H58" s="24">
        <v>505210</v>
      </c>
      <c r="I58" s="24" t="s">
        <v>327</v>
      </c>
      <c r="J58" s="24" t="s">
        <v>327</v>
      </c>
      <c r="K58" s="24" t="s">
        <v>473</v>
      </c>
      <c r="M58" s="24">
        <v>0</v>
      </c>
      <c r="N58" s="14">
        <v>0</v>
      </c>
      <c r="O58" s="14"/>
      <c r="P58" s="25">
        <v>16</v>
      </c>
      <c r="Q58" s="25">
        <v>4</v>
      </c>
      <c r="R58" s="24">
        <v>0</v>
      </c>
      <c r="S58" s="25">
        <v>0</v>
      </c>
      <c r="T58" s="24"/>
      <c r="U58" s="24">
        <v>0</v>
      </c>
      <c r="V58" s="25">
        <v>0</v>
      </c>
      <c r="W58" s="24">
        <v>0</v>
      </c>
      <c r="X58" s="14">
        <v>0</v>
      </c>
      <c r="Y58" s="24">
        <v>0</v>
      </c>
      <c r="Z58" s="24">
        <v>0</v>
      </c>
      <c r="AB58" s="24">
        <v>20001</v>
      </c>
      <c r="AC58" s="24">
        <v>-1</v>
      </c>
      <c r="AD58" s="24">
        <v>-1</v>
      </c>
      <c r="AE58" s="24">
        <v>-1</v>
      </c>
      <c r="AG58" s="24">
        <v>1</v>
      </c>
      <c r="AH58" s="24">
        <v>0</v>
      </c>
      <c r="AI58" s="24">
        <v>0</v>
      </c>
      <c r="AJ58" s="24">
        <v>0</v>
      </c>
      <c r="AK58" s="24">
        <v>0</v>
      </c>
      <c r="AL58" s="24">
        <v>0</v>
      </c>
      <c r="AM58" s="24">
        <v>0</v>
      </c>
      <c r="AN58" s="24">
        <v>0</v>
      </c>
      <c r="AO58" s="24">
        <v>0</v>
      </c>
      <c r="AP58" s="24">
        <v>0</v>
      </c>
      <c r="AQ58" s="24">
        <v>0</v>
      </c>
      <c r="AR58" s="24">
        <v>0</v>
      </c>
      <c r="AS58" s="24">
        <v>0</v>
      </c>
      <c r="AT58" s="24">
        <v>0</v>
      </c>
      <c r="AU58" s="24">
        <v>0</v>
      </c>
      <c r="AV58" s="24">
        <v>0</v>
      </c>
      <c r="AW58" s="24">
        <v>0</v>
      </c>
      <c r="AX58" s="24">
        <v>0</v>
      </c>
      <c r="AY58" s="24">
        <v>0</v>
      </c>
      <c r="BA58" s="24">
        <v>0</v>
      </c>
      <c r="BB58" s="24">
        <v>0</v>
      </c>
      <c r="BC58" s="24">
        <v>15000</v>
      </c>
      <c r="BD58" s="24">
        <v>0</v>
      </c>
      <c r="BE58" s="24">
        <v>3000</v>
      </c>
      <c r="BF58" s="24">
        <v>5</v>
      </c>
      <c r="BG58" s="25">
        <v>2</v>
      </c>
      <c r="BH58" s="24">
        <v>2</v>
      </c>
      <c r="BI58" s="24">
        <v>0</v>
      </c>
      <c r="BJ58" s="24">
        <v>0</v>
      </c>
      <c r="BK58" s="24">
        <v>0</v>
      </c>
      <c r="BL58" s="25">
        <v>126</v>
      </c>
      <c r="BM58" s="24">
        <v>0</v>
      </c>
      <c r="BO58" s="25">
        <v>1</v>
      </c>
      <c r="BP58" s="14">
        <v>20</v>
      </c>
      <c r="BQ58" s="24">
        <v>0</v>
      </c>
      <c r="BR58" s="24">
        <v>1</v>
      </c>
      <c r="BS58" s="24">
        <v>0</v>
      </c>
      <c r="BT58" s="24">
        <v>0</v>
      </c>
      <c r="BU58" s="24">
        <v>0</v>
      </c>
      <c r="BV58" s="24">
        <v>0</v>
      </c>
      <c r="BW58" s="24">
        <v>0</v>
      </c>
      <c r="BX58" s="24">
        <v>1</v>
      </c>
      <c r="BZ58" s="24">
        <v>-1</v>
      </c>
      <c r="CA58" s="24">
        <v>0</v>
      </c>
      <c r="CB58" s="24">
        <v>0</v>
      </c>
      <c r="CC58" s="24">
        <v>0</v>
      </c>
      <c r="CD58" s="24">
        <v>0</v>
      </c>
      <c r="CE58" s="24">
        <v>0</v>
      </c>
      <c r="CG58" s="24">
        <v>-1</v>
      </c>
      <c r="CH58" s="24">
        <v>0</v>
      </c>
      <c r="CI58" s="24">
        <v>0</v>
      </c>
      <c r="CJ58" s="24">
        <v>0</v>
      </c>
      <c r="CK58" s="24">
        <v>0</v>
      </c>
      <c r="CL58" s="24">
        <v>0</v>
      </c>
      <c r="CM58" s="24">
        <v>0</v>
      </c>
      <c r="CN58" s="24">
        <v>0</v>
      </c>
      <c r="CO58" s="24">
        <v>0</v>
      </c>
      <c r="CQ58" s="24">
        <v>0</v>
      </c>
      <c r="CR58" s="24">
        <v>0</v>
      </c>
      <c r="CS58" s="24">
        <v>0</v>
      </c>
      <c r="CT58" s="24">
        <v>0</v>
      </c>
      <c r="CV58" s="24">
        <v>0</v>
      </c>
      <c r="CW58" s="24">
        <v>0</v>
      </c>
      <c r="CX58" s="24">
        <v>-1</v>
      </c>
      <c r="CY58" s="26">
        <v>0</v>
      </c>
      <c r="CZ58" s="24">
        <v>0</v>
      </c>
      <c r="DA58" s="24">
        <v>0</v>
      </c>
      <c r="DC58" s="24">
        <v>1</v>
      </c>
      <c r="DD58" s="24">
        <v>1</v>
      </c>
      <c r="DE58" s="24">
        <v>0</v>
      </c>
      <c r="DF58" s="24">
        <v>0</v>
      </c>
      <c r="DG58" s="24">
        <v>-1</v>
      </c>
      <c r="DI58" s="24">
        <v>0</v>
      </c>
      <c r="DJ58" s="24">
        <v>0</v>
      </c>
      <c r="DL58" s="24">
        <v>0</v>
      </c>
      <c r="DM58" s="24">
        <v>0</v>
      </c>
      <c r="DO58" s="24">
        <v>0</v>
      </c>
      <c r="DP58" s="24">
        <v>0</v>
      </c>
      <c r="DQ58" s="24">
        <v>0</v>
      </c>
      <c r="DR58" s="24">
        <v>0</v>
      </c>
      <c r="DS58" s="24">
        <v>0</v>
      </c>
      <c r="DT58" s="24">
        <v>0</v>
      </c>
      <c r="DV58" s="24">
        <v>0</v>
      </c>
      <c r="DW58" s="24">
        <v>0</v>
      </c>
      <c r="DX58" s="24">
        <v>0</v>
      </c>
      <c r="DY58" s="24">
        <v>0</v>
      </c>
      <c r="DZ58" s="24">
        <v>0</v>
      </c>
    </row>
    <row r="59" spans="1:130">
      <c r="A59" s="24" t="s">
        <v>142</v>
      </c>
      <c r="B59" s="24" t="s">
        <v>142</v>
      </c>
      <c r="C59" s="24" t="s">
        <v>142</v>
      </c>
      <c r="D59" s="24" t="s">
        <v>142</v>
      </c>
      <c r="E59" s="24">
        <v>5211</v>
      </c>
      <c r="F59" s="24" t="s">
        <v>503</v>
      </c>
      <c r="G59" s="24">
        <v>0</v>
      </c>
      <c r="H59" s="24">
        <v>505211</v>
      </c>
      <c r="I59" s="24" t="s">
        <v>503</v>
      </c>
      <c r="J59" s="24" t="s">
        <v>503</v>
      </c>
      <c r="K59" s="24" t="s">
        <v>473</v>
      </c>
      <c r="M59" s="24">
        <v>102</v>
      </c>
      <c r="N59" s="24">
        <v>0</v>
      </c>
      <c r="P59" s="25">
        <v>2</v>
      </c>
      <c r="Q59" s="25">
        <v>524288</v>
      </c>
      <c r="R59" s="24">
        <v>0</v>
      </c>
      <c r="S59" s="25">
        <v>0</v>
      </c>
      <c r="T59" s="24"/>
      <c r="U59" s="24">
        <v>0</v>
      </c>
      <c r="V59" s="25">
        <v>0</v>
      </c>
      <c r="W59" s="24">
        <v>0</v>
      </c>
      <c r="X59" s="24">
        <v>0</v>
      </c>
      <c r="Y59" s="24">
        <v>0</v>
      </c>
      <c r="Z59" s="24">
        <v>0</v>
      </c>
      <c r="AB59" s="24">
        <v>10001</v>
      </c>
      <c r="AC59" s="24">
        <v>-1</v>
      </c>
      <c r="AD59" s="24">
        <v>-1</v>
      </c>
      <c r="AE59" s="24">
        <v>-1</v>
      </c>
      <c r="AG59" s="24">
        <v>1</v>
      </c>
      <c r="AH59" s="24">
        <v>0</v>
      </c>
      <c r="AI59" s="24">
        <v>0</v>
      </c>
      <c r="AJ59" s="24">
        <v>0</v>
      </c>
      <c r="AK59" s="24">
        <v>0</v>
      </c>
      <c r="AL59" s="24">
        <v>0</v>
      </c>
      <c r="AM59" s="24">
        <v>0</v>
      </c>
      <c r="AN59" s="24">
        <v>0</v>
      </c>
      <c r="AO59" s="24">
        <v>0</v>
      </c>
      <c r="AP59" s="24">
        <v>0</v>
      </c>
      <c r="AQ59" s="24">
        <v>0</v>
      </c>
      <c r="AR59" s="24">
        <v>0</v>
      </c>
      <c r="AS59" s="24">
        <v>0</v>
      </c>
      <c r="AT59" s="24">
        <v>0</v>
      </c>
      <c r="AU59" s="24">
        <v>0</v>
      </c>
      <c r="AV59" s="24">
        <v>0</v>
      </c>
      <c r="AW59" s="24">
        <v>0</v>
      </c>
      <c r="AX59" s="24">
        <v>0</v>
      </c>
      <c r="AY59" s="24">
        <v>0</v>
      </c>
      <c r="BA59" s="24">
        <v>0</v>
      </c>
      <c r="BB59" s="24">
        <v>1300</v>
      </c>
      <c r="BC59" s="24">
        <v>1600</v>
      </c>
      <c r="BD59" s="24">
        <v>0</v>
      </c>
      <c r="BE59" s="24">
        <v>300</v>
      </c>
      <c r="BF59" s="24">
        <v>1</v>
      </c>
      <c r="BG59" s="25">
        <v>512</v>
      </c>
      <c r="BH59" s="24">
        <v>4</v>
      </c>
      <c r="BI59" s="24">
        <v>5210</v>
      </c>
      <c r="BJ59" s="24">
        <v>1</v>
      </c>
      <c r="BK59" s="24">
        <v>1</v>
      </c>
      <c r="BL59" s="25">
        <v>126</v>
      </c>
      <c r="BM59" s="24">
        <v>0</v>
      </c>
      <c r="BO59" s="25">
        <v>1</v>
      </c>
      <c r="BP59" s="24">
        <v>10</v>
      </c>
      <c r="BQ59" s="24">
        <v>0</v>
      </c>
      <c r="BR59" s="24">
        <v>2</v>
      </c>
      <c r="BS59" s="24">
        <v>100</v>
      </c>
      <c r="BT59" s="24">
        <v>0</v>
      </c>
      <c r="BU59" s="24">
        <v>0</v>
      </c>
      <c r="BV59" s="24">
        <v>5</v>
      </c>
      <c r="BW59" s="24">
        <v>0</v>
      </c>
      <c r="BX59" s="24">
        <v>4</v>
      </c>
      <c r="BZ59" s="24">
        <v>-1</v>
      </c>
      <c r="CA59" s="24">
        <v>0</v>
      </c>
      <c r="CB59" s="24">
        <v>0</v>
      </c>
      <c r="CC59" s="24">
        <v>0</v>
      </c>
      <c r="CD59" s="24">
        <v>0</v>
      </c>
      <c r="CE59" s="24">
        <v>0</v>
      </c>
      <c r="CG59" s="24">
        <v>-1</v>
      </c>
      <c r="CH59" s="24">
        <v>0</v>
      </c>
      <c r="CI59" s="24">
        <v>0</v>
      </c>
      <c r="CJ59" s="24">
        <v>0</v>
      </c>
      <c r="CK59" s="24">
        <v>0</v>
      </c>
      <c r="CL59" s="24">
        <v>0</v>
      </c>
      <c r="CM59" s="24">
        <v>0</v>
      </c>
      <c r="CN59" s="24">
        <v>0</v>
      </c>
      <c r="CO59" s="24">
        <v>0</v>
      </c>
      <c r="CQ59" s="24">
        <v>0</v>
      </c>
      <c r="CR59" s="24">
        <v>0</v>
      </c>
      <c r="CS59" s="24">
        <v>0</v>
      </c>
      <c r="CT59" s="24">
        <v>0</v>
      </c>
      <c r="CV59" s="24">
        <v>100305</v>
      </c>
      <c r="CW59" s="24">
        <v>13</v>
      </c>
      <c r="CX59" s="24">
        <v>200</v>
      </c>
      <c r="CY59" s="26">
        <v>1</v>
      </c>
      <c r="CZ59" s="24">
        <v>3</v>
      </c>
      <c r="DA59" s="24">
        <v>0</v>
      </c>
      <c r="DC59" s="24">
        <v>1</v>
      </c>
      <c r="DD59" s="24">
        <v>1</v>
      </c>
      <c r="DE59" s="24">
        <v>0</v>
      </c>
      <c r="DF59" s="24">
        <v>0</v>
      </c>
      <c r="DG59" s="24">
        <v>-1</v>
      </c>
      <c r="DI59" s="24">
        <v>0</v>
      </c>
      <c r="DJ59" s="24">
        <v>0</v>
      </c>
      <c r="DL59" s="24">
        <v>0</v>
      </c>
      <c r="DM59" s="24">
        <v>0</v>
      </c>
      <c r="DO59" s="24">
        <v>0</v>
      </c>
      <c r="DP59" s="24">
        <v>0</v>
      </c>
      <c r="DQ59" s="24">
        <v>0</v>
      </c>
      <c r="DR59" s="24">
        <v>0</v>
      </c>
      <c r="DS59" s="24">
        <v>0</v>
      </c>
      <c r="DT59" s="24">
        <v>0</v>
      </c>
      <c r="DV59" s="24">
        <v>0</v>
      </c>
      <c r="DW59" s="24">
        <v>0</v>
      </c>
      <c r="DX59" s="24">
        <v>0</v>
      </c>
      <c r="DY59" s="24">
        <v>0</v>
      </c>
      <c r="DZ59" s="24">
        <v>0</v>
      </c>
    </row>
    <row r="60" spans="1:130">
      <c r="K60" s="24" t="s">
        <v>639</v>
      </c>
      <c r="S60" s="25"/>
      <c r="T60" s="24"/>
      <c r="BO60" s="25" t="s">
        <v>639</v>
      </c>
    </row>
    <row r="61" spans="1:130">
      <c r="K61" s="24" t="s">
        <v>639</v>
      </c>
      <c r="S61" s="25"/>
      <c r="T61" s="24"/>
      <c r="BO61" s="25" t="s">
        <v>639</v>
      </c>
    </row>
    <row r="62" spans="1:130">
      <c r="A62" s="24" t="s">
        <v>142</v>
      </c>
      <c r="B62" s="24" t="s">
        <v>142</v>
      </c>
      <c r="C62" s="24" t="s">
        <v>142</v>
      </c>
      <c r="D62" s="24" t="s">
        <v>142</v>
      </c>
      <c r="E62" s="24">
        <v>5401</v>
      </c>
      <c r="F62" s="24" t="s">
        <v>704</v>
      </c>
      <c r="G62" s="24">
        <v>0</v>
      </c>
      <c r="H62" s="24">
        <v>505401</v>
      </c>
      <c r="I62" s="24" t="s">
        <v>704</v>
      </c>
      <c r="J62" s="24" t="s">
        <v>704</v>
      </c>
      <c r="K62" s="24" t="s">
        <v>473</v>
      </c>
      <c r="M62" s="24">
        <v>0</v>
      </c>
      <c r="N62" s="24">
        <v>0</v>
      </c>
      <c r="P62" s="25">
        <v>12</v>
      </c>
      <c r="Q62" s="25">
        <v>0</v>
      </c>
      <c r="R62" s="24">
        <v>0</v>
      </c>
      <c r="S62" s="25">
        <v>0</v>
      </c>
      <c r="T62" s="24"/>
      <c r="U62" s="24">
        <v>3</v>
      </c>
      <c r="V62" s="25">
        <v>1044</v>
      </c>
      <c r="W62" s="24">
        <v>0</v>
      </c>
      <c r="X62" s="24">
        <v>1</v>
      </c>
      <c r="Y62" s="24">
        <v>0</v>
      </c>
      <c r="Z62" s="24">
        <v>100</v>
      </c>
      <c r="AB62" s="24">
        <v>30001</v>
      </c>
      <c r="AC62" s="24">
        <v>-1</v>
      </c>
      <c r="AD62" s="24">
        <v>-1</v>
      </c>
      <c r="AE62" s="24">
        <v>-1</v>
      </c>
      <c r="AG62" s="24">
        <v>1</v>
      </c>
      <c r="AH62" s="24">
        <v>0</v>
      </c>
      <c r="AI62" s="24">
        <v>0</v>
      </c>
      <c r="AJ62" s="24">
        <v>0</v>
      </c>
      <c r="AK62" s="24">
        <v>0</v>
      </c>
      <c r="AL62" s="24">
        <v>0</v>
      </c>
      <c r="AM62" s="24">
        <v>0</v>
      </c>
      <c r="AN62" s="24">
        <v>0</v>
      </c>
      <c r="AO62" s="24">
        <v>0</v>
      </c>
      <c r="AP62" s="24">
        <v>0</v>
      </c>
      <c r="AQ62" s="24">
        <v>0</v>
      </c>
      <c r="AR62" s="24">
        <v>0</v>
      </c>
      <c r="AS62" s="24">
        <v>0</v>
      </c>
      <c r="AT62" s="24">
        <v>0</v>
      </c>
      <c r="AU62" s="24">
        <v>0</v>
      </c>
      <c r="AV62" s="24">
        <v>0</v>
      </c>
      <c r="AW62" s="24">
        <v>0</v>
      </c>
      <c r="AX62" s="24">
        <v>0</v>
      </c>
      <c r="AY62" s="24">
        <v>0</v>
      </c>
      <c r="BA62" s="24">
        <v>0</v>
      </c>
      <c r="BB62" s="24">
        <v>0</v>
      </c>
      <c r="BC62" s="24">
        <v>0</v>
      </c>
      <c r="BD62" s="24">
        <v>0</v>
      </c>
      <c r="BE62" s="24">
        <v>0</v>
      </c>
      <c r="BF62" s="24">
        <v>1</v>
      </c>
      <c r="BG62" s="25">
        <v>512</v>
      </c>
      <c r="BH62" s="24">
        <v>13</v>
      </c>
      <c r="BI62" s="24">
        <v>5</v>
      </c>
      <c r="BJ62" s="24">
        <v>1</v>
      </c>
      <c r="BK62" s="24">
        <v>-1</v>
      </c>
      <c r="BL62" s="25">
        <v>126</v>
      </c>
      <c r="BM62" s="24">
        <v>0</v>
      </c>
      <c r="BO62" s="25">
        <v>1</v>
      </c>
      <c r="BP62" s="24">
        <v>0</v>
      </c>
      <c r="BQ62" s="24">
        <v>0</v>
      </c>
      <c r="BR62" s="24">
        <v>1</v>
      </c>
      <c r="BS62" s="24">
        <v>0</v>
      </c>
      <c r="BT62" s="24">
        <v>0</v>
      </c>
      <c r="BU62" s="24">
        <v>0</v>
      </c>
      <c r="BV62" s="24">
        <v>0</v>
      </c>
      <c r="BW62" s="24">
        <v>0</v>
      </c>
      <c r="BX62" s="24">
        <v>1</v>
      </c>
      <c r="BZ62" s="24">
        <v>5401</v>
      </c>
      <c r="CA62" s="24">
        <v>0</v>
      </c>
      <c r="CB62" s="24">
        <v>0</v>
      </c>
      <c r="CC62" s="24">
        <v>0</v>
      </c>
      <c r="CD62" s="24">
        <v>0</v>
      </c>
      <c r="CE62" s="24">
        <v>0</v>
      </c>
      <c r="CG62" s="24">
        <v>-1</v>
      </c>
      <c r="CH62" s="24">
        <v>0</v>
      </c>
      <c r="CI62" s="24">
        <v>0</v>
      </c>
      <c r="CJ62" s="24">
        <v>0</v>
      </c>
      <c r="CK62" s="24">
        <v>0</v>
      </c>
      <c r="CL62" s="24">
        <v>0</v>
      </c>
      <c r="CM62" s="24">
        <v>0</v>
      </c>
      <c r="CN62" s="24">
        <v>0</v>
      </c>
      <c r="CO62" s="24">
        <v>0</v>
      </c>
      <c r="CQ62" s="24">
        <v>0</v>
      </c>
      <c r="CR62" s="24">
        <v>0</v>
      </c>
      <c r="CS62" s="24">
        <v>0</v>
      </c>
      <c r="CT62" s="24">
        <v>0</v>
      </c>
      <c r="CV62" s="24">
        <v>0</v>
      </c>
      <c r="CW62" s="24">
        <v>0</v>
      </c>
      <c r="CX62" s="24">
        <v>-1</v>
      </c>
      <c r="CY62" s="26">
        <v>0</v>
      </c>
      <c r="CZ62" s="24">
        <v>0</v>
      </c>
      <c r="DA62" s="24">
        <v>0</v>
      </c>
      <c r="DC62" s="24">
        <v>0</v>
      </c>
      <c r="DD62" s="24">
        <v>0</v>
      </c>
      <c r="DE62" s="24">
        <v>0</v>
      </c>
      <c r="DF62" s="24">
        <v>0</v>
      </c>
      <c r="DG62" s="24">
        <v>-1</v>
      </c>
      <c r="DI62" s="24">
        <v>0</v>
      </c>
      <c r="DJ62" s="24">
        <v>0</v>
      </c>
      <c r="DL62" s="24">
        <v>0</v>
      </c>
      <c r="DM62" s="24">
        <v>0</v>
      </c>
      <c r="DO62" s="24">
        <v>0</v>
      </c>
      <c r="DP62" s="24">
        <v>0</v>
      </c>
      <c r="DQ62" s="24">
        <v>0</v>
      </c>
      <c r="DR62" s="24">
        <v>0</v>
      </c>
      <c r="DS62" s="24">
        <v>0</v>
      </c>
      <c r="DT62" s="24">
        <v>0</v>
      </c>
      <c r="DV62" s="24">
        <v>0</v>
      </c>
      <c r="DW62" s="24">
        <v>0</v>
      </c>
      <c r="DX62" s="24">
        <v>0</v>
      </c>
      <c r="DY62" s="24">
        <v>0</v>
      </c>
      <c r="DZ62" s="24">
        <v>0</v>
      </c>
    </row>
    <row r="63" spans="1:130">
      <c r="A63" s="24" t="s">
        <v>142</v>
      </c>
      <c r="B63" s="24" t="s">
        <v>142</v>
      </c>
      <c r="C63" s="24" t="s">
        <v>142</v>
      </c>
      <c r="D63" s="24" t="s">
        <v>142</v>
      </c>
      <c r="E63" s="24">
        <v>5402</v>
      </c>
      <c r="F63" s="24" t="s">
        <v>703</v>
      </c>
      <c r="G63" s="24">
        <v>0</v>
      </c>
      <c r="H63" s="24">
        <v>505402</v>
      </c>
      <c r="I63" s="24" t="s">
        <v>703</v>
      </c>
      <c r="J63" s="24" t="s">
        <v>703</v>
      </c>
      <c r="K63" s="24" t="s">
        <v>473</v>
      </c>
      <c r="M63" s="24">
        <v>102</v>
      </c>
      <c r="N63" s="24">
        <v>0</v>
      </c>
      <c r="P63" s="25">
        <v>2</v>
      </c>
      <c r="Q63" s="25">
        <v>524288</v>
      </c>
      <c r="R63" s="24">
        <v>0</v>
      </c>
      <c r="S63" s="25">
        <v>0</v>
      </c>
      <c r="T63" s="24"/>
      <c r="U63" s="24">
        <v>0</v>
      </c>
      <c r="V63" s="25">
        <v>0</v>
      </c>
      <c r="W63" s="24">
        <v>0</v>
      </c>
      <c r="X63" s="24">
        <v>0</v>
      </c>
      <c r="Y63" s="24">
        <v>0</v>
      </c>
      <c r="Z63" s="24">
        <v>0</v>
      </c>
      <c r="AB63" s="24">
        <v>10001</v>
      </c>
      <c r="AC63" s="24">
        <v>-1</v>
      </c>
      <c r="AD63" s="24">
        <v>-1</v>
      </c>
      <c r="AE63" s="24">
        <v>-1</v>
      </c>
      <c r="AG63" s="24">
        <v>1</v>
      </c>
      <c r="AH63" s="24">
        <v>0</v>
      </c>
      <c r="AI63" s="24">
        <v>0</v>
      </c>
      <c r="AJ63" s="24">
        <v>0</v>
      </c>
      <c r="AK63" s="24">
        <v>0</v>
      </c>
      <c r="AL63" s="24">
        <v>0</v>
      </c>
      <c r="AM63" s="24">
        <v>0</v>
      </c>
      <c r="AN63" s="24">
        <v>0</v>
      </c>
      <c r="AO63" s="24">
        <v>0</v>
      </c>
      <c r="AP63" s="24">
        <v>0</v>
      </c>
      <c r="AQ63" s="24">
        <v>0</v>
      </c>
      <c r="AR63" s="24">
        <v>0</v>
      </c>
      <c r="AS63" s="24">
        <v>0</v>
      </c>
      <c r="AT63" s="24">
        <v>0</v>
      </c>
      <c r="AU63" s="24">
        <v>0</v>
      </c>
      <c r="AV63" s="24">
        <v>0</v>
      </c>
      <c r="AW63" s="24">
        <v>0</v>
      </c>
      <c r="AX63" s="24">
        <v>0</v>
      </c>
      <c r="AY63" s="24">
        <v>0</v>
      </c>
      <c r="BA63" s="24">
        <v>0</v>
      </c>
      <c r="BB63" s="24">
        <v>1667</v>
      </c>
      <c r="BC63" s="24">
        <v>1667</v>
      </c>
      <c r="BD63" s="24">
        <v>0</v>
      </c>
      <c r="BE63" s="24">
        <v>0</v>
      </c>
      <c r="BF63" s="24">
        <v>1</v>
      </c>
      <c r="BG63" s="25">
        <v>1</v>
      </c>
      <c r="BH63" s="24">
        <v>1</v>
      </c>
      <c r="BI63" s="24">
        <v>0</v>
      </c>
      <c r="BJ63" s="24">
        <v>0</v>
      </c>
      <c r="BK63" s="24">
        <v>0</v>
      </c>
      <c r="BL63" s="25">
        <v>126</v>
      </c>
      <c r="BM63" s="24">
        <v>0</v>
      </c>
      <c r="BO63" s="25">
        <v>16</v>
      </c>
      <c r="BP63" s="24">
        <v>0</v>
      </c>
      <c r="BQ63" s="24">
        <v>0</v>
      </c>
      <c r="BR63" s="24">
        <v>1</v>
      </c>
      <c r="BS63" s="24">
        <v>0</v>
      </c>
      <c r="BT63" s="24">
        <v>0</v>
      </c>
      <c r="BU63" s="24">
        <v>0</v>
      </c>
      <c r="BV63" s="24">
        <v>0</v>
      </c>
      <c r="BW63" s="24">
        <v>0</v>
      </c>
      <c r="BX63" s="24">
        <v>1</v>
      </c>
      <c r="BZ63" s="24">
        <v>-1</v>
      </c>
      <c r="CA63" s="24">
        <v>0</v>
      </c>
      <c r="CB63" s="24">
        <v>0</v>
      </c>
      <c r="CC63" s="24">
        <v>0</v>
      </c>
      <c r="CD63" s="24">
        <v>0</v>
      </c>
      <c r="CE63" s="24">
        <v>0</v>
      </c>
      <c r="CG63" s="24">
        <v>-1</v>
      </c>
      <c r="CH63" s="24">
        <v>0</v>
      </c>
      <c r="CI63" s="24">
        <v>0</v>
      </c>
      <c r="CJ63" s="24">
        <v>0</v>
      </c>
      <c r="CK63" s="24">
        <v>0</v>
      </c>
      <c r="CL63" s="24">
        <v>0</v>
      </c>
      <c r="CM63" s="24">
        <v>0</v>
      </c>
      <c r="CN63" s="24">
        <v>0</v>
      </c>
      <c r="CO63" s="24">
        <v>0</v>
      </c>
      <c r="CQ63" s="24">
        <v>0.56850000000000001</v>
      </c>
      <c r="CR63" s="24">
        <v>0</v>
      </c>
      <c r="CS63" s="24">
        <v>0</v>
      </c>
      <c r="CT63" s="24">
        <v>0</v>
      </c>
      <c r="CV63" s="24">
        <v>100510</v>
      </c>
      <c r="CW63" s="24">
        <v>17</v>
      </c>
      <c r="CX63" s="24">
        <v>-1</v>
      </c>
      <c r="CY63" s="26">
        <v>1</v>
      </c>
      <c r="CZ63" s="24">
        <v>3</v>
      </c>
      <c r="DA63" s="24">
        <v>0</v>
      </c>
      <c r="DC63" s="24">
        <v>0</v>
      </c>
      <c r="DD63" s="24">
        <v>0</v>
      </c>
      <c r="DE63" s="24">
        <v>0</v>
      </c>
      <c r="DF63" s="24">
        <v>0</v>
      </c>
      <c r="DG63" s="24">
        <v>-1</v>
      </c>
      <c r="DI63" s="24">
        <v>0</v>
      </c>
      <c r="DJ63" s="24">
        <v>0</v>
      </c>
      <c r="DL63" s="24">
        <v>0</v>
      </c>
      <c r="DM63" s="24">
        <v>0</v>
      </c>
      <c r="DO63" s="24">
        <v>0</v>
      </c>
      <c r="DP63" s="24">
        <v>0</v>
      </c>
      <c r="DQ63" s="24">
        <v>0</v>
      </c>
      <c r="DR63" s="24">
        <v>0</v>
      </c>
      <c r="DS63" s="24">
        <v>0</v>
      </c>
      <c r="DT63" s="24">
        <v>0</v>
      </c>
      <c r="DV63" s="24">
        <v>0</v>
      </c>
      <c r="DW63" s="24">
        <v>0</v>
      </c>
      <c r="DX63" s="24">
        <v>0</v>
      </c>
      <c r="DY63" s="24">
        <v>0</v>
      </c>
      <c r="DZ63" s="24">
        <v>0</v>
      </c>
    </row>
    <row r="64" spans="1:130">
      <c r="A64" s="24" t="s">
        <v>142</v>
      </c>
      <c r="B64" s="24" t="s">
        <v>142</v>
      </c>
      <c r="C64" s="24" t="s">
        <v>142</v>
      </c>
      <c r="D64" s="24" t="s">
        <v>142</v>
      </c>
      <c r="E64" s="24">
        <v>5403</v>
      </c>
      <c r="F64" s="24" t="s">
        <v>708</v>
      </c>
      <c r="G64" s="24">
        <v>0</v>
      </c>
      <c r="H64" s="24">
        <v>505403</v>
      </c>
      <c r="I64" s="24" t="s">
        <v>708</v>
      </c>
      <c r="J64" s="24" t="s">
        <v>708</v>
      </c>
      <c r="K64" s="24" t="s">
        <v>794</v>
      </c>
      <c r="M64" s="24">
        <v>102</v>
      </c>
      <c r="N64" s="24">
        <v>0</v>
      </c>
      <c r="P64" s="25">
        <v>2</v>
      </c>
      <c r="Q64" s="25">
        <v>655360</v>
      </c>
      <c r="R64" s="24">
        <v>0</v>
      </c>
      <c r="S64" s="25">
        <v>1</v>
      </c>
      <c r="T64" s="24"/>
      <c r="U64" s="24">
        <v>0</v>
      </c>
      <c r="V64" s="25">
        <v>0</v>
      </c>
      <c r="W64" s="24">
        <v>0</v>
      </c>
      <c r="X64" s="24">
        <v>0</v>
      </c>
      <c r="Y64" s="24">
        <v>0</v>
      </c>
      <c r="Z64" s="24">
        <v>0</v>
      </c>
      <c r="AB64" s="24">
        <v>10001</v>
      </c>
      <c r="AC64" s="24">
        <v>-1</v>
      </c>
      <c r="AD64" s="24">
        <v>-1</v>
      </c>
      <c r="AE64" s="24">
        <v>-1</v>
      </c>
      <c r="AG64" s="24">
        <v>1</v>
      </c>
      <c r="AH64" s="24">
        <v>0</v>
      </c>
      <c r="AI64" s="24">
        <v>0</v>
      </c>
      <c r="AJ64" s="24">
        <v>0</v>
      </c>
      <c r="AK64" s="24">
        <v>0</v>
      </c>
      <c r="AL64" s="24">
        <v>0</v>
      </c>
      <c r="AM64" s="24">
        <v>0</v>
      </c>
      <c r="AN64" s="24">
        <v>0</v>
      </c>
      <c r="AO64" s="24">
        <v>0</v>
      </c>
      <c r="AP64" s="24">
        <v>0</v>
      </c>
      <c r="AQ64" s="24">
        <v>0</v>
      </c>
      <c r="AR64" s="24">
        <v>0</v>
      </c>
      <c r="AS64" s="24">
        <v>0</v>
      </c>
      <c r="AT64" s="24">
        <v>0</v>
      </c>
      <c r="AU64" s="24">
        <v>0</v>
      </c>
      <c r="AV64" s="24">
        <v>0</v>
      </c>
      <c r="AW64" s="24">
        <v>0</v>
      </c>
      <c r="AX64" s="24">
        <v>0</v>
      </c>
      <c r="AY64" s="24">
        <v>0</v>
      </c>
      <c r="BA64" s="24">
        <v>0</v>
      </c>
      <c r="BB64" s="24">
        <v>433</v>
      </c>
      <c r="BC64" s="24">
        <v>733</v>
      </c>
      <c r="BD64" s="24">
        <v>100</v>
      </c>
      <c r="BE64" s="24">
        <v>100</v>
      </c>
      <c r="BF64" s="24">
        <v>1</v>
      </c>
      <c r="BG64" s="25">
        <v>1</v>
      </c>
      <c r="BH64" s="24">
        <v>1</v>
      </c>
      <c r="BI64" s="24">
        <v>0</v>
      </c>
      <c r="BJ64" s="24">
        <v>0</v>
      </c>
      <c r="BK64" s="24">
        <v>0</v>
      </c>
      <c r="BL64" s="25">
        <v>126</v>
      </c>
      <c r="BM64" s="24">
        <v>0</v>
      </c>
      <c r="BO64" s="25">
        <v>16</v>
      </c>
      <c r="BP64" s="24">
        <v>4</v>
      </c>
      <c r="BQ64" s="24">
        <v>0</v>
      </c>
      <c r="BR64" s="24">
        <v>3</v>
      </c>
      <c r="BS64" s="24">
        <v>1</v>
      </c>
      <c r="BT64" s="24">
        <v>40</v>
      </c>
      <c r="BU64" s="24">
        <v>60</v>
      </c>
      <c r="BV64" s="24">
        <v>6</v>
      </c>
      <c r="BW64" s="24">
        <v>0</v>
      </c>
      <c r="BX64" s="24">
        <v>4</v>
      </c>
      <c r="BZ64" s="24">
        <v>-1</v>
      </c>
      <c r="CA64" s="24">
        <v>0</v>
      </c>
      <c r="CB64" s="24">
        <v>0</v>
      </c>
      <c r="CC64" s="24">
        <v>0</v>
      </c>
      <c r="CD64" s="24">
        <v>0</v>
      </c>
      <c r="CE64" s="24">
        <v>0</v>
      </c>
      <c r="CG64" s="24">
        <v>-1</v>
      </c>
      <c r="CH64" s="24">
        <v>0</v>
      </c>
      <c r="CI64" s="24">
        <v>0</v>
      </c>
      <c r="CJ64" s="24">
        <v>0</v>
      </c>
      <c r="CK64" s="24">
        <v>0</v>
      </c>
      <c r="CL64" s="24">
        <v>0</v>
      </c>
      <c r="CM64" s="24">
        <v>0</v>
      </c>
      <c r="CN64" s="24">
        <v>0</v>
      </c>
      <c r="CO64" s="24">
        <v>0</v>
      </c>
      <c r="CQ64" s="24">
        <v>1.00667</v>
      </c>
      <c r="CR64" s="24">
        <v>0</v>
      </c>
      <c r="CS64" s="24">
        <v>0</v>
      </c>
      <c r="CT64" s="24">
        <v>0</v>
      </c>
      <c r="CV64" s="24">
        <v>100501</v>
      </c>
      <c r="CW64" s="24">
        <v>17</v>
      </c>
      <c r="CX64" s="24">
        <v>5001</v>
      </c>
      <c r="CY64" s="26">
        <v>1</v>
      </c>
      <c r="CZ64" s="24">
        <v>1</v>
      </c>
      <c r="DA64" s="24">
        <v>0</v>
      </c>
      <c r="DC64" s="24">
        <v>1</v>
      </c>
      <c r="DD64" s="24">
        <v>1</v>
      </c>
      <c r="DE64" s="24">
        <v>0</v>
      </c>
      <c r="DF64" s="24">
        <v>0</v>
      </c>
      <c r="DG64" s="24">
        <v>-1</v>
      </c>
      <c r="DI64" s="24">
        <v>0</v>
      </c>
      <c r="DJ64" s="24">
        <v>0</v>
      </c>
      <c r="DL64" s="24">
        <v>5403</v>
      </c>
      <c r="DM64" s="24">
        <v>1</v>
      </c>
      <c r="DO64" s="24">
        <v>0</v>
      </c>
      <c r="DP64" s="24">
        <v>0</v>
      </c>
      <c r="DQ64" s="24">
        <v>0</v>
      </c>
      <c r="DR64" s="24">
        <v>0</v>
      </c>
      <c r="DS64" s="24">
        <v>0</v>
      </c>
      <c r="DT64" s="24">
        <v>0</v>
      </c>
      <c r="DV64" s="24">
        <v>0</v>
      </c>
      <c r="DW64" s="24">
        <v>0</v>
      </c>
      <c r="DX64" s="24">
        <v>0</v>
      </c>
      <c r="DY64" s="24">
        <v>0</v>
      </c>
      <c r="DZ64" s="24">
        <v>0</v>
      </c>
    </row>
    <row r="65" spans="1:130">
      <c r="A65" s="24" t="s">
        <v>142</v>
      </c>
      <c r="B65" s="24" t="s">
        <v>142</v>
      </c>
      <c r="C65" s="24" t="s">
        <v>142</v>
      </c>
      <c r="D65" s="24" t="s">
        <v>142</v>
      </c>
      <c r="E65" s="24">
        <v>5404</v>
      </c>
      <c r="F65" s="24" t="s">
        <v>709</v>
      </c>
      <c r="G65" s="24">
        <v>0</v>
      </c>
      <c r="H65" s="24">
        <v>505404</v>
      </c>
      <c r="I65" s="24" t="s">
        <v>709</v>
      </c>
      <c r="J65" s="24" t="s">
        <v>709</v>
      </c>
      <c r="K65" s="24" t="s">
        <v>473</v>
      </c>
      <c r="M65" s="24">
        <v>102</v>
      </c>
      <c r="N65" s="24">
        <v>0</v>
      </c>
      <c r="P65" s="25">
        <v>2</v>
      </c>
      <c r="Q65" s="25">
        <v>655360</v>
      </c>
      <c r="R65" s="24">
        <v>5403</v>
      </c>
      <c r="S65" s="25">
        <v>1</v>
      </c>
      <c r="T65" s="24"/>
      <c r="U65" s="24">
        <v>0</v>
      </c>
      <c r="V65" s="25">
        <v>0</v>
      </c>
      <c r="W65" s="24">
        <v>0</v>
      </c>
      <c r="X65" s="24">
        <v>0</v>
      </c>
      <c r="Y65" s="24">
        <v>0</v>
      </c>
      <c r="Z65" s="24">
        <v>0</v>
      </c>
      <c r="AB65" s="24">
        <v>10001</v>
      </c>
      <c r="AC65" s="24">
        <v>-1</v>
      </c>
      <c r="AD65" s="24">
        <v>-1</v>
      </c>
      <c r="AE65" s="24">
        <v>-1</v>
      </c>
      <c r="AG65" s="24">
        <v>1</v>
      </c>
      <c r="AH65" s="24">
        <v>0</v>
      </c>
      <c r="AI65" s="24">
        <v>0</v>
      </c>
      <c r="AJ65" s="24">
        <v>0</v>
      </c>
      <c r="AK65" s="24">
        <v>0</v>
      </c>
      <c r="AL65" s="24">
        <v>0</v>
      </c>
      <c r="AM65" s="24">
        <v>0</v>
      </c>
      <c r="AN65" s="24">
        <v>0</v>
      </c>
      <c r="AO65" s="24">
        <v>0</v>
      </c>
      <c r="AP65" s="24">
        <v>0</v>
      </c>
      <c r="AQ65" s="24">
        <v>0</v>
      </c>
      <c r="AR65" s="24">
        <v>0</v>
      </c>
      <c r="AS65" s="24">
        <v>0</v>
      </c>
      <c r="AT65" s="24">
        <v>0</v>
      </c>
      <c r="AU65" s="24">
        <v>0</v>
      </c>
      <c r="AV65" s="24">
        <v>0</v>
      </c>
      <c r="AW65" s="24">
        <v>0</v>
      </c>
      <c r="AX65" s="24">
        <v>0</v>
      </c>
      <c r="AY65" s="24">
        <v>0</v>
      </c>
      <c r="BA65" s="24">
        <v>0</v>
      </c>
      <c r="BB65" s="24">
        <v>533</v>
      </c>
      <c r="BC65" s="24">
        <v>833</v>
      </c>
      <c r="BD65" s="24">
        <v>100</v>
      </c>
      <c r="BE65" s="24">
        <v>100</v>
      </c>
      <c r="BF65" s="24">
        <v>1</v>
      </c>
      <c r="BG65" s="25">
        <v>1</v>
      </c>
      <c r="BH65" s="24">
        <v>1</v>
      </c>
      <c r="BI65" s="24">
        <v>0</v>
      </c>
      <c r="BJ65" s="24">
        <v>0</v>
      </c>
      <c r="BK65" s="24">
        <v>0</v>
      </c>
      <c r="BL65" s="25">
        <v>126</v>
      </c>
      <c r="BM65" s="24">
        <v>0</v>
      </c>
      <c r="BO65" s="25">
        <v>16</v>
      </c>
      <c r="BP65" s="24">
        <v>4</v>
      </c>
      <c r="BQ65" s="24">
        <v>0</v>
      </c>
      <c r="BR65" s="24">
        <v>3</v>
      </c>
      <c r="BS65" s="24">
        <v>1</v>
      </c>
      <c r="BT65" s="24">
        <v>40</v>
      </c>
      <c r="BU65" s="24">
        <v>60</v>
      </c>
      <c r="BV65" s="24">
        <v>6</v>
      </c>
      <c r="BW65" s="24">
        <v>0</v>
      </c>
      <c r="BX65" s="24">
        <v>4</v>
      </c>
      <c r="BZ65" s="24">
        <v>-1</v>
      </c>
      <c r="CA65" s="24">
        <v>0</v>
      </c>
      <c r="CB65" s="24">
        <v>0</v>
      </c>
      <c r="CC65" s="24">
        <v>0</v>
      </c>
      <c r="CD65" s="24">
        <v>0</v>
      </c>
      <c r="CE65" s="24">
        <v>0</v>
      </c>
      <c r="CG65" s="24">
        <v>-1</v>
      </c>
      <c r="CH65" s="24">
        <v>0</v>
      </c>
      <c r="CI65" s="24">
        <v>0</v>
      </c>
      <c r="CJ65" s="24">
        <v>0</v>
      </c>
      <c r="CK65" s="24">
        <v>0</v>
      </c>
      <c r="CL65" s="24">
        <v>0</v>
      </c>
      <c r="CM65" s="24">
        <v>0</v>
      </c>
      <c r="CN65" s="24">
        <v>0</v>
      </c>
      <c r="CO65" s="24">
        <v>0</v>
      </c>
      <c r="CQ65" s="24">
        <v>0.70469999999999999</v>
      </c>
      <c r="CR65" s="24">
        <v>0</v>
      </c>
      <c r="CS65" s="24">
        <v>0</v>
      </c>
      <c r="CT65" s="24">
        <v>0</v>
      </c>
      <c r="CV65" s="24">
        <v>100502</v>
      </c>
      <c r="CW65" s="24">
        <v>17</v>
      </c>
      <c r="CX65" s="24">
        <v>5002</v>
      </c>
      <c r="CY65" s="26">
        <v>1</v>
      </c>
      <c r="CZ65" s="24">
        <v>1</v>
      </c>
      <c r="DA65" s="24">
        <v>0</v>
      </c>
      <c r="DC65" s="24">
        <v>1</v>
      </c>
      <c r="DD65" s="24">
        <v>1</v>
      </c>
      <c r="DE65" s="24">
        <v>0</v>
      </c>
      <c r="DF65" s="24">
        <v>0</v>
      </c>
      <c r="DG65" s="24">
        <v>-1</v>
      </c>
      <c r="DI65" s="24">
        <v>0</v>
      </c>
      <c r="DJ65" s="24">
        <v>0</v>
      </c>
      <c r="DL65" s="24">
        <v>5403</v>
      </c>
      <c r="DM65" s="24">
        <v>2</v>
      </c>
      <c r="DO65" s="24">
        <v>0</v>
      </c>
      <c r="DP65" s="24">
        <v>0</v>
      </c>
      <c r="DQ65" s="24">
        <v>0</v>
      </c>
      <c r="DR65" s="24">
        <v>0</v>
      </c>
      <c r="DS65" s="24">
        <v>0</v>
      </c>
      <c r="DT65" s="24">
        <v>0</v>
      </c>
      <c r="DV65" s="24">
        <v>0</v>
      </c>
      <c r="DW65" s="24">
        <v>0</v>
      </c>
      <c r="DX65" s="24">
        <v>0</v>
      </c>
      <c r="DY65" s="24">
        <v>0</v>
      </c>
      <c r="DZ65" s="24">
        <v>0</v>
      </c>
    </row>
    <row r="66" spans="1:130">
      <c r="A66" s="24" t="s">
        <v>142</v>
      </c>
      <c r="B66" s="24" t="s">
        <v>142</v>
      </c>
      <c r="C66" s="24" t="s">
        <v>142</v>
      </c>
      <c r="D66" s="24" t="s">
        <v>142</v>
      </c>
      <c r="E66" s="24">
        <v>5405</v>
      </c>
      <c r="F66" s="24" t="s">
        <v>710</v>
      </c>
      <c r="G66" s="24">
        <v>0</v>
      </c>
      <c r="H66" s="24">
        <v>505405</v>
      </c>
      <c r="I66" s="24" t="s">
        <v>710</v>
      </c>
      <c r="J66" s="24" t="s">
        <v>710</v>
      </c>
      <c r="K66" s="24" t="s">
        <v>473</v>
      </c>
      <c r="M66" s="24">
        <v>102</v>
      </c>
      <c r="N66" s="24">
        <v>0</v>
      </c>
      <c r="P66" s="25">
        <v>2</v>
      </c>
      <c r="Q66" s="25">
        <v>655360</v>
      </c>
      <c r="R66" s="24">
        <v>5403</v>
      </c>
      <c r="S66" s="25">
        <v>1</v>
      </c>
      <c r="T66" s="24"/>
      <c r="U66" s="24">
        <v>0</v>
      </c>
      <c r="V66" s="25">
        <v>0</v>
      </c>
      <c r="W66" s="24">
        <v>0</v>
      </c>
      <c r="X66" s="24">
        <v>0</v>
      </c>
      <c r="Y66" s="24">
        <v>0</v>
      </c>
      <c r="Z66" s="24">
        <v>0</v>
      </c>
      <c r="AB66" s="24">
        <v>10001</v>
      </c>
      <c r="AC66" s="24">
        <v>-1</v>
      </c>
      <c r="AD66" s="24">
        <v>-1</v>
      </c>
      <c r="AE66" s="24">
        <v>-1</v>
      </c>
      <c r="AG66" s="24">
        <v>1</v>
      </c>
      <c r="AH66" s="24">
        <v>0</v>
      </c>
      <c r="AI66" s="24">
        <v>0</v>
      </c>
      <c r="AJ66" s="24">
        <v>0</v>
      </c>
      <c r="AK66" s="24">
        <v>0</v>
      </c>
      <c r="AL66" s="24">
        <v>0</v>
      </c>
      <c r="AM66" s="24">
        <v>0</v>
      </c>
      <c r="AN66" s="24">
        <v>0</v>
      </c>
      <c r="AO66" s="24">
        <v>0</v>
      </c>
      <c r="AP66" s="24">
        <v>0</v>
      </c>
      <c r="AQ66" s="24">
        <v>0</v>
      </c>
      <c r="AR66" s="24">
        <v>0</v>
      </c>
      <c r="AS66" s="24">
        <v>0</v>
      </c>
      <c r="AT66" s="24">
        <v>0</v>
      </c>
      <c r="AU66" s="24">
        <v>0</v>
      </c>
      <c r="AV66" s="24">
        <v>0</v>
      </c>
      <c r="AW66" s="24">
        <v>0</v>
      </c>
      <c r="AX66" s="24">
        <v>0</v>
      </c>
      <c r="AY66" s="24">
        <v>0</v>
      </c>
      <c r="BA66" s="24">
        <v>0</v>
      </c>
      <c r="BB66" s="24">
        <v>1000</v>
      </c>
      <c r="BC66" s="24">
        <v>2100</v>
      </c>
      <c r="BD66" s="24">
        <v>300</v>
      </c>
      <c r="BE66" s="24">
        <v>300</v>
      </c>
      <c r="BF66" s="24">
        <v>1</v>
      </c>
      <c r="BG66" s="25">
        <v>1</v>
      </c>
      <c r="BH66" s="24">
        <v>1</v>
      </c>
      <c r="BI66" s="24">
        <v>0</v>
      </c>
      <c r="BJ66" s="24">
        <v>0</v>
      </c>
      <c r="BK66" s="24">
        <v>0</v>
      </c>
      <c r="BL66" s="25">
        <v>126</v>
      </c>
      <c r="BM66" s="24">
        <v>0</v>
      </c>
      <c r="BO66" s="25">
        <v>16</v>
      </c>
      <c r="BP66" s="24">
        <v>4</v>
      </c>
      <c r="BQ66" s="24">
        <v>0</v>
      </c>
      <c r="BR66" s="24">
        <v>3</v>
      </c>
      <c r="BS66" s="24">
        <v>1</v>
      </c>
      <c r="BT66" s="24">
        <v>40</v>
      </c>
      <c r="BU66" s="24">
        <v>60</v>
      </c>
      <c r="BV66" s="24">
        <v>6</v>
      </c>
      <c r="BW66" s="24">
        <v>0</v>
      </c>
      <c r="BX66" s="24">
        <v>4</v>
      </c>
      <c r="BZ66" s="24">
        <v>-1</v>
      </c>
      <c r="CA66" s="24">
        <v>0</v>
      </c>
      <c r="CB66" s="24">
        <v>0</v>
      </c>
      <c r="CC66" s="24">
        <v>0</v>
      </c>
      <c r="CD66" s="24">
        <v>0</v>
      </c>
      <c r="CE66" s="24">
        <v>0</v>
      </c>
      <c r="CG66" s="24">
        <v>-1</v>
      </c>
      <c r="CH66" s="24">
        <v>0</v>
      </c>
      <c r="CI66" s="24">
        <v>0</v>
      </c>
      <c r="CJ66" s="24">
        <v>0</v>
      </c>
      <c r="CK66" s="24">
        <v>0</v>
      </c>
      <c r="CL66" s="24">
        <v>0</v>
      </c>
      <c r="CM66" s="24">
        <v>0</v>
      </c>
      <c r="CN66" s="24">
        <v>0</v>
      </c>
      <c r="CO66" s="24">
        <v>0</v>
      </c>
      <c r="CQ66" s="24">
        <v>0.80081000000000002</v>
      </c>
      <c r="CR66" s="24">
        <v>0</v>
      </c>
      <c r="CS66" s="24">
        <v>0</v>
      </c>
      <c r="CT66" s="24">
        <v>0</v>
      </c>
      <c r="CV66" s="24">
        <v>100503</v>
      </c>
      <c r="CW66" s="24">
        <v>17</v>
      </c>
      <c r="CX66" s="24">
        <v>5003</v>
      </c>
      <c r="CY66" s="26">
        <v>1</v>
      </c>
      <c r="CZ66" s="24">
        <v>1</v>
      </c>
      <c r="DA66" s="24">
        <v>0</v>
      </c>
      <c r="DC66" s="24">
        <v>1</v>
      </c>
      <c r="DD66" s="24">
        <v>1</v>
      </c>
      <c r="DE66" s="24">
        <v>0</v>
      </c>
      <c r="DF66" s="24">
        <v>0</v>
      </c>
      <c r="DG66" s="24">
        <v>-1</v>
      </c>
      <c r="DI66" s="24">
        <v>0</v>
      </c>
      <c r="DJ66" s="24">
        <v>0</v>
      </c>
      <c r="DL66" s="24">
        <v>5403</v>
      </c>
      <c r="DM66" s="24">
        <v>3</v>
      </c>
      <c r="DO66" s="24">
        <v>0</v>
      </c>
      <c r="DP66" s="24">
        <v>0</v>
      </c>
      <c r="DQ66" s="24">
        <v>0</v>
      </c>
      <c r="DR66" s="24">
        <v>0</v>
      </c>
      <c r="DS66" s="24">
        <v>0</v>
      </c>
      <c r="DT66" s="24">
        <v>0</v>
      </c>
      <c r="DV66" s="24">
        <v>0</v>
      </c>
      <c r="DW66" s="24">
        <v>0</v>
      </c>
      <c r="DX66" s="24">
        <v>0</v>
      </c>
      <c r="DY66" s="24">
        <v>0</v>
      </c>
      <c r="DZ66" s="24">
        <v>0</v>
      </c>
    </row>
    <row r="67" spans="1:130">
      <c r="A67" s="24" t="s">
        <v>142</v>
      </c>
      <c r="B67" s="24" t="s">
        <v>142</v>
      </c>
      <c r="C67" s="24" t="s">
        <v>142</v>
      </c>
      <c r="D67" s="24" t="s">
        <v>142</v>
      </c>
      <c r="E67" s="24">
        <v>5406</v>
      </c>
      <c r="F67" s="24" t="s">
        <v>706</v>
      </c>
      <c r="G67" s="24">
        <v>0</v>
      </c>
      <c r="H67" s="24">
        <v>505406</v>
      </c>
      <c r="I67" s="24" t="s">
        <v>706</v>
      </c>
      <c r="J67" s="24" t="s">
        <v>706</v>
      </c>
      <c r="K67" s="24" t="s">
        <v>473</v>
      </c>
      <c r="M67" s="24">
        <v>102</v>
      </c>
      <c r="N67" s="24">
        <v>0</v>
      </c>
      <c r="P67" s="25">
        <v>2</v>
      </c>
      <c r="Q67" s="25">
        <v>655360</v>
      </c>
      <c r="R67" s="24">
        <v>0</v>
      </c>
      <c r="S67" s="25">
        <v>1</v>
      </c>
      <c r="T67" s="24"/>
      <c r="U67" s="24">
        <v>0</v>
      </c>
      <c r="V67" s="25">
        <v>0</v>
      </c>
      <c r="W67" s="24">
        <v>0</v>
      </c>
      <c r="X67" s="24">
        <v>0</v>
      </c>
      <c r="Y67" s="24">
        <v>0</v>
      </c>
      <c r="Z67" s="24">
        <v>0</v>
      </c>
      <c r="AB67" s="24">
        <v>10001</v>
      </c>
      <c r="AC67" s="24">
        <v>-1</v>
      </c>
      <c r="AD67" s="24">
        <v>-1</v>
      </c>
      <c r="AE67" s="24">
        <v>-1</v>
      </c>
      <c r="AG67" s="24">
        <v>1</v>
      </c>
      <c r="AH67" s="24">
        <v>0</v>
      </c>
      <c r="AI67" s="24">
        <v>0</v>
      </c>
      <c r="AJ67" s="24">
        <v>0</v>
      </c>
      <c r="AK67" s="24">
        <v>0</v>
      </c>
      <c r="AL67" s="24">
        <v>0</v>
      </c>
      <c r="AM67" s="24">
        <v>0</v>
      </c>
      <c r="AN67" s="24">
        <v>0</v>
      </c>
      <c r="AO67" s="24">
        <v>0</v>
      </c>
      <c r="AP67" s="24">
        <v>0</v>
      </c>
      <c r="AQ67" s="24">
        <v>0</v>
      </c>
      <c r="AR67" s="24">
        <v>0</v>
      </c>
      <c r="AS67" s="24">
        <v>0</v>
      </c>
      <c r="AT67" s="24">
        <v>0</v>
      </c>
      <c r="AU67" s="24">
        <v>0</v>
      </c>
      <c r="AV67" s="24">
        <v>0</v>
      </c>
      <c r="AW67" s="24">
        <v>0</v>
      </c>
      <c r="AX67" s="24">
        <v>0</v>
      </c>
      <c r="AY67" s="24">
        <v>0</v>
      </c>
      <c r="BA67" s="24">
        <v>0</v>
      </c>
      <c r="BB67" s="24">
        <v>1150</v>
      </c>
      <c r="BC67" s="24">
        <v>2533</v>
      </c>
      <c r="BD67" s="24">
        <v>300</v>
      </c>
      <c r="BE67" s="24">
        <v>300</v>
      </c>
      <c r="BF67" s="24">
        <v>4</v>
      </c>
      <c r="BG67" s="25">
        <v>1</v>
      </c>
      <c r="BH67" s="24">
        <v>1</v>
      </c>
      <c r="BI67" s="24">
        <v>0</v>
      </c>
      <c r="BJ67" s="24">
        <v>0</v>
      </c>
      <c r="BK67" s="24">
        <v>0</v>
      </c>
      <c r="BL67" s="25">
        <v>126</v>
      </c>
      <c r="BM67" s="24">
        <v>0</v>
      </c>
      <c r="BO67" s="25">
        <v>16</v>
      </c>
      <c r="BP67" s="24">
        <v>4</v>
      </c>
      <c r="BQ67" s="24">
        <v>0</v>
      </c>
      <c r="BR67" s="24">
        <v>3</v>
      </c>
      <c r="BS67" s="24">
        <v>1</v>
      </c>
      <c r="BT67" s="24">
        <v>40</v>
      </c>
      <c r="BU67" s="24">
        <v>60</v>
      </c>
      <c r="BV67" s="24">
        <v>6</v>
      </c>
      <c r="BW67" s="24">
        <v>0</v>
      </c>
      <c r="BX67" s="24">
        <v>4</v>
      </c>
      <c r="BZ67" s="24">
        <v>-1</v>
      </c>
      <c r="CA67" s="24">
        <v>0</v>
      </c>
      <c r="CB67" s="24">
        <v>0</v>
      </c>
      <c r="CC67" s="24">
        <v>0</v>
      </c>
      <c r="CD67" s="24">
        <v>0</v>
      </c>
      <c r="CE67" s="24">
        <v>0</v>
      </c>
      <c r="CG67" s="24">
        <v>-1</v>
      </c>
      <c r="CH67" s="24">
        <v>0</v>
      </c>
      <c r="CI67" s="24">
        <v>0</v>
      </c>
      <c r="CJ67" s="24">
        <v>0</v>
      </c>
      <c r="CK67" s="24">
        <v>0</v>
      </c>
      <c r="CL67" s="24">
        <v>0</v>
      </c>
      <c r="CM67" s="24">
        <v>0</v>
      </c>
      <c r="CN67" s="24">
        <v>0</v>
      </c>
      <c r="CO67" s="24">
        <v>0</v>
      </c>
      <c r="CQ67" s="24">
        <v>0.94511000000000001</v>
      </c>
      <c r="CR67" s="24">
        <v>0</v>
      </c>
      <c r="CS67" s="24">
        <v>0</v>
      </c>
      <c r="CT67" s="24">
        <v>0</v>
      </c>
      <c r="CV67" s="24">
        <v>100507</v>
      </c>
      <c r="CW67" s="24">
        <v>17</v>
      </c>
      <c r="CX67" s="24">
        <v>5004</v>
      </c>
      <c r="CY67" s="26">
        <v>1</v>
      </c>
      <c r="CZ67" s="24">
        <v>1</v>
      </c>
      <c r="DA67" s="24">
        <v>0</v>
      </c>
      <c r="DC67" s="24">
        <v>1</v>
      </c>
      <c r="DD67" s="24">
        <v>1</v>
      </c>
      <c r="DE67" s="24">
        <v>0</v>
      </c>
      <c r="DF67" s="24">
        <v>0</v>
      </c>
      <c r="DG67" s="24">
        <v>-1</v>
      </c>
      <c r="DI67" s="24">
        <v>0</v>
      </c>
      <c r="DJ67" s="24">
        <v>0</v>
      </c>
      <c r="DL67" s="24">
        <v>5406</v>
      </c>
      <c r="DM67" s="24">
        <v>1</v>
      </c>
      <c r="DO67" s="24">
        <v>0</v>
      </c>
      <c r="DP67" s="24">
        <v>0</v>
      </c>
      <c r="DQ67" s="24">
        <v>0</v>
      </c>
      <c r="DR67" s="24">
        <v>0</v>
      </c>
      <c r="DS67" s="24">
        <v>0</v>
      </c>
      <c r="DT67" s="24">
        <v>0</v>
      </c>
      <c r="DV67" s="24">
        <v>0</v>
      </c>
      <c r="DW67" s="24">
        <v>0</v>
      </c>
      <c r="DX67" s="24">
        <v>0</v>
      </c>
      <c r="DY67" s="24">
        <v>0</v>
      </c>
      <c r="DZ67" s="24">
        <v>0</v>
      </c>
    </row>
    <row r="68" spans="1:130">
      <c r="A68" s="24" t="s">
        <v>142</v>
      </c>
      <c r="B68" s="24" t="s">
        <v>142</v>
      </c>
      <c r="C68" s="24" t="s">
        <v>142</v>
      </c>
      <c r="D68" s="24" t="s">
        <v>142</v>
      </c>
      <c r="E68" s="24">
        <v>5407</v>
      </c>
      <c r="F68" s="24" t="s">
        <v>705</v>
      </c>
      <c r="G68" s="24">
        <v>0</v>
      </c>
      <c r="H68" s="24">
        <v>505407</v>
      </c>
      <c r="I68" s="24" t="s">
        <v>705</v>
      </c>
      <c r="J68" s="24" t="s">
        <v>705</v>
      </c>
      <c r="K68" s="24" t="s">
        <v>473</v>
      </c>
      <c r="M68" s="24">
        <v>102</v>
      </c>
      <c r="N68" s="24">
        <v>0</v>
      </c>
      <c r="P68" s="25">
        <v>2</v>
      </c>
      <c r="Q68" s="25">
        <v>655360</v>
      </c>
      <c r="R68" s="24">
        <v>0</v>
      </c>
      <c r="S68" s="25">
        <v>1</v>
      </c>
      <c r="T68" s="24"/>
      <c r="U68" s="24">
        <v>0</v>
      </c>
      <c r="V68" s="25">
        <v>0</v>
      </c>
      <c r="W68" s="24">
        <v>0</v>
      </c>
      <c r="X68" s="24">
        <v>0</v>
      </c>
      <c r="Y68" s="24">
        <v>0</v>
      </c>
      <c r="Z68" s="24">
        <v>0</v>
      </c>
      <c r="AB68" s="24">
        <v>10001</v>
      </c>
      <c r="AC68" s="24">
        <v>-1</v>
      </c>
      <c r="AD68" s="24">
        <v>-1</v>
      </c>
      <c r="AE68" s="24">
        <v>-1</v>
      </c>
      <c r="AG68" s="24">
        <v>1</v>
      </c>
      <c r="AH68" s="24">
        <v>0</v>
      </c>
      <c r="AI68" s="24">
        <v>0</v>
      </c>
      <c r="AJ68" s="24">
        <v>0</v>
      </c>
      <c r="AK68" s="24">
        <v>0</v>
      </c>
      <c r="AL68" s="24">
        <v>0</v>
      </c>
      <c r="AM68" s="24">
        <v>0</v>
      </c>
      <c r="AN68" s="24">
        <v>0</v>
      </c>
      <c r="AO68" s="24">
        <v>0</v>
      </c>
      <c r="AP68" s="24">
        <v>0</v>
      </c>
      <c r="AQ68" s="24">
        <v>0</v>
      </c>
      <c r="AR68" s="24">
        <v>0</v>
      </c>
      <c r="AS68" s="24">
        <v>0</v>
      </c>
      <c r="AT68" s="24">
        <v>0</v>
      </c>
      <c r="AU68" s="24">
        <v>0</v>
      </c>
      <c r="AV68" s="24">
        <v>0</v>
      </c>
      <c r="AW68" s="24">
        <v>0</v>
      </c>
      <c r="AX68" s="24">
        <v>0</v>
      </c>
      <c r="AY68" s="24">
        <v>0</v>
      </c>
      <c r="BA68" s="24">
        <v>0</v>
      </c>
      <c r="BB68" s="24">
        <v>1782</v>
      </c>
      <c r="BC68" s="24">
        <v>3433</v>
      </c>
      <c r="BD68" s="24">
        <v>750</v>
      </c>
      <c r="BE68" s="24">
        <v>750</v>
      </c>
      <c r="BF68" s="24">
        <v>1</v>
      </c>
      <c r="BG68" s="25">
        <v>1</v>
      </c>
      <c r="BH68" s="24">
        <v>1</v>
      </c>
      <c r="BI68" s="24">
        <v>0</v>
      </c>
      <c r="BJ68" s="24">
        <v>0</v>
      </c>
      <c r="BK68" s="24">
        <v>0</v>
      </c>
      <c r="BL68" s="25">
        <v>126</v>
      </c>
      <c r="BM68" s="24">
        <v>0</v>
      </c>
      <c r="BO68" s="25">
        <v>16</v>
      </c>
      <c r="BP68" s="24">
        <v>4</v>
      </c>
      <c r="BQ68" s="24">
        <v>0</v>
      </c>
      <c r="BR68" s="24">
        <v>3</v>
      </c>
      <c r="BS68" s="24">
        <v>1</v>
      </c>
      <c r="BT68" s="24">
        <v>40</v>
      </c>
      <c r="BU68" s="24">
        <v>60</v>
      </c>
      <c r="BV68" s="24">
        <v>6</v>
      </c>
      <c r="BW68" s="24">
        <v>0</v>
      </c>
      <c r="BX68" s="24">
        <v>4</v>
      </c>
      <c r="BZ68" s="24">
        <v>-1</v>
      </c>
      <c r="CA68" s="24">
        <v>0</v>
      </c>
      <c r="CB68" s="24">
        <v>0</v>
      </c>
      <c r="CC68" s="24">
        <v>0</v>
      </c>
      <c r="CD68" s="24">
        <v>0</v>
      </c>
      <c r="CE68" s="24">
        <v>0</v>
      </c>
      <c r="CG68" s="24">
        <v>-1</v>
      </c>
      <c r="CH68" s="24">
        <v>0</v>
      </c>
      <c r="CI68" s="24">
        <v>0</v>
      </c>
      <c r="CJ68" s="24">
        <v>0</v>
      </c>
      <c r="CK68" s="24">
        <v>0</v>
      </c>
      <c r="CL68" s="24">
        <v>0</v>
      </c>
      <c r="CM68" s="24">
        <v>0</v>
      </c>
      <c r="CN68" s="24">
        <v>0</v>
      </c>
      <c r="CO68" s="24">
        <v>0</v>
      </c>
      <c r="CQ68" s="24">
        <v>2.0821200000000002</v>
      </c>
      <c r="CR68" s="24">
        <v>0</v>
      </c>
      <c r="CS68" s="24">
        <v>0</v>
      </c>
      <c r="CT68" s="24">
        <v>0</v>
      </c>
      <c r="CV68" s="24">
        <v>100508</v>
      </c>
      <c r="CW68" s="24">
        <v>17</v>
      </c>
      <c r="CX68" s="24">
        <v>5005</v>
      </c>
      <c r="CY68" s="26">
        <v>1</v>
      </c>
      <c r="CZ68" s="24">
        <v>1</v>
      </c>
      <c r="DA68" s="24">
        <v>0</v>
      </c>
      <c r="DC68" s="24">
        <v>1</v>
      </c>
      <c r="DD68" s="24">
        <v>1</v>
      </c>
      <c r="DE68" s="24">
        <v>0</v>
      </c>
      <c r="DF68" s="24">
        <v>0</v>
      </c>
      <c r="DG68" s="24">
        <v>-1</v>
      </c>
      <c r="DI68" s="24">
        <v>0</v>
      </c>
      <c r="DJ68" s="24">
        <v>0</v>
      </c>
      <c r="DL68" s="24">
        <v>5407</v>
      </c>
      <c r="DM68" s="24">
        <v>1</v>
      </c>
      <c r="DO68" s="24">
        <v>0</v>
      </c>
      <c r="DP68" s="24">
        <v>0</v>
      </c>
      <c r="DQ68" s="24">
        <v>0</v>
      </c>
      <c r="DR68" s="24">
        <v>0</v>
      </c>
      <c r="DS68" s="24">
        <v>0</v>
      </c>
      <c r="DT68" s="24">
        <v>0</v>
      </c>
      <c r="DV68" s="24">
        <v>0</v>
      </c>
      <c r="DW68" s="24">
        <v>0</v>
      </c>
      <c r="DX68" s="24">
        <v>0</v>
      </c>
      <c r="DY68" s="24">
        <v>0</v>
      </c>
      <c r="DZ68" s="24">
        <v>0</v>
      </c>
    </row>
    <row r="69" spans="1:130">
      <c r="A69" s="24" t="s">
        <v>142</v>
      </c>
      <c r="B69" s="24" t="s">
        <v>142</v>
      </c>
      <c r="C69" s="24" t="s">
        <v>142</v>
      </c>
      <c r="D69" s="24" t="s">
        <v>142</v>
      </c>
      <c r="E69" s="24">
        <v>5408</v>
      </c>
      <c r="F69" s="24" t="s">
        <v>711</v>
      </c>
      <c r="G69" s="24">
        <v>0</v>
      </c>
      <c r="H69" s="24">
        <v>505408</v>
      </c>
      <c r="I69" s="24" t="s">
        <v>711</v>
      </c>
      <c r="J69" s="24" t="s">
        <v>711</v>
      </c>
      <c r="K69" s="24" t="s">
        <v>795</v>
      </c>
      <c r="M69" s="24">
        <v>102</v>
      </c>
      <c r="N69" s="24">
        <v>0</v>
      </c>
      <c r="P69" s="25">
        <v>2</v>
      </c>
      <c r="Q69" s="25">
        <v>655616</v>
      </c>
      <c r="R69" s="24">
        <v>0</v>
      </c>
      <c r="S69" s="25">
        <v>0</v>
      </c>
      <c r="T69" s="24"/>
      <c r="U69" s="24">
        <v>0</v>
      </c>
      <c r="V69" s="25">
        <v>0</v>
      </c>
      <c r="W69" s="24">
        <v>0</v>
      </c>
      <c r="X69" s="24">
        <v>0</v>
      </c>
      <c r="Y69" s="24">
        <v>0</v>
      </c>
      <c r="Z69" s="24">
        <v>0</v>
      </c>
      <c r="AB69" s="24">
        <v>10001</v>
      </c>
      <c r="AC69" s="24">
        <v>-1</v>
      </c>
      <c r="AD69" s="24">
        <v>-1</v>
      </c>
      <c r="AE69" s="24">
        <v>-1</v>
      </c>
      <c r="AG69" s="24">
        <v>1</v>
      </c>
      <c r="AH69" s="24">
        <v>0</v>
      </c>
      <c r="AI69" s="24">
        <v>0</v>
      </c>
      <c r="AJ69" s="24">
        <v>0</v>
      </c>
      <c r="AK69" s="24">
        <v>0</v>
      </c>
      <c r="AL69" s="24">
        <v>0</v>
      </c>
      <c r="AM69" s="24">
        <v>0</v>
      </c>
      <c r="AN69" s="24">
        <v>0</v>
      </c>
      <c r="AO69" s="24">
        <v>0</v>
      </c>
      <c r="AP69" s="24">
        <v>0</v>
      </c>
      <c r="AQ69" s="24">
        <v>0</v>
      </c>
      <c r="AR69" s="24">
        <v>0</v>
      </c>
      <c r="AS69" s="24">
        <v>0</v>
      </c>
      <c r="AT69" s="24">
        <v>0</v>
      </c>
      <c r="AU69" s="24">
        <v>0</v>
      </c>
      <c r="AV69" s="24">
        <v>0</v>
      </c>
      <c r="AW69" s="24">
        <v>0</v>
      </c>
      <c r="AX69" s="24">
        <v>0</v>
      </c>
      <c r="AY69" s="24">
        <v>0</v>
      </c>
      <c r="BA69" s="24">
        <v>0</v>
      </c>
      <c r="BB69" s="24">
        <v>1333</v>
      </c>
      <c r="BC69" s="24">
        <v>2333</v>
      </c>
      <c r="BD69" s="24">
        <v>300</v>
      </c>
      <c r="BE69" s="24">
        <v>300</v>
      </c>
      <c r="BF69" s="24">
        <v>1</v>
      </c>
      <c r="BG69" s="25">
        <v>1</v>
      </c>
      <c r="BH69" s="24">
        <v>1</v>
      </c>
      <c r="BI69" s="24">
        <v>0</v>
      </c>
      <c r="BJ69" s="24">
        <v>0</v>
      </c>
      <c r="BK69" s="24">
        <v>0</v>
      </c>
      <c r="BL69" s="25">
        <v>126</v>
      </c>
      <c r="BM69" s="24">
        <v>0</v>
      </c>
      <c r="BO69" s="25">
        <v>16</v>
      </c>
      <c r="BP69" s="24">
        <v>4</v>
      </c>
      <c r="BQ69" s="24">
        <v>0</v>
      </c>
      <c r="BR69" s="24">
        <v>3</v>
      </c>
      <c r="BS69" s="24">
        <v>1</v>
      </c>
      <c r="BT69" s="24">
        <v>40</v>
      </c>
      <c r="BU69" s="24">
        <v>60</v>
      </c>
      <c r="BV69" s="24">
        <v>6</v>
      </c>
      <c r="BW69" s="24">
        <v>0</v>
      </c>
      <c r="BX69" s="24">
        <v>4</v>
      </c>
      <c r="BZ69" s="24">
        <v>5408</v>
      </c>
      <c r="CA69" s="24">
        <v>0</v>
      </c>
      <c r="CB69" s="24">
        <v>0</v>
      </c>
      <c r="CC69" s="24">
        <v>0</v>
      </c>
      <c r="CD69" s="24">
        <v>0</v>
      </c>
      <c r="CE69" s="24">
        <v>0</v>
      </c>
      <c r="CG69" s="24">
        <v>-1</v>
      </c>
      <c r="CH69" s="24">
        <v>0</v>
      </c>
      <c r="CI69" s="24">
        <v>0</v>
      </c>
      <c r="CJ69" s="24">
        <v>0</v>
      </c>
      <c r="CK69" s="24">
        <v>0</v>
      </c>
      <c r="CL69" s="24">
        <v>0</v>
      </c>
      <c r="CM69" s="24">
        <v>0</v>
      </c>
      <c r="CN69" s="24">
        <v>0</v>
      </c>
      <c r="CO69" s="24">
        <v>0</v>
      </c>
      <c r="CQ69" s="24">
        <v>6.4683999999999999</v>
      </c>
      <c r="CR69" s="24">
        <v>0</v>
      </c>
      <c r="CS69" s="24">
        <v>0</v>
      </c>
      <c r="CT69" s="24">
        <v>0</v>
      </c>
      <c r="CV69" s="24">
        <v>100509</v>
      </c>
      <c r="CW69" s="24">
        <v>17</v>
      </c>
      <c r="CX69" s="24">
        <v>5006</v>
      </c>
      <c r="CY69" s="26">
        <v>4</v>
      </c>
      <c r="CZ69" s="24">
        <v>2</v>
      </c>
      <c r="DA69" s="24">
        <v>0</v>
      </c>
      <c r="DC69" s="24">
        <v>1</v>
      </c>
      <c r="DD69" s="24">
        <v>1</v>
      </c>
      <c r="DE69" s="24">
        <v>0</v>
      </c>
      <c r="DF69" s="24">
        <v>0</v>
      </c>
      <c r="DG69" s="24">
        <v>-1</v>
      </c>
      <c r="DI69" s="24">
        <v>0</v>
      </c>
      <c r="DJ69" s="24">
        <v>0</v>
      </c>
      <c r="DL69" s="24">
        <v>0</v>
      </c>
      <c r="DM69" s="24">
        <v>0</v>
      </c>
      <c r="DO69" s="24">
        <v>0</v>
      </c>
      <c r="DP69" s="24">
        <v>0</v>
      </c>
      <c r="DQ69" s="24">
        <v>0</v>
      </c>
      <c r="DR69" s="24">
        <v>0</v>
      </c>
      <c r="DS69" s="24">
        <v>0</v>
      </c>
      <c r="DT69" s="24">
        <v>0</v>
      </c>
      <c r="DV69" s="24">
        <v>0</v>
      </c>
      <c r="DW69" s="24">
        <v>0</v>
      </c>
      <c r="DX69" s="24">
        <v>0</v>
      </c>
      <c r="DY69" s="24">
        <v>0</v>
      </c>
      <c r="DZ69" s="24">
        <v>0</v>
      </c>
    </row>
    <row r="70" spans="1:130">
      <c r="A70" s="24" t="s">
        <v>142</v>
      </c>
      <c r="B70" s="24" t="s">
        <v>142</v>
      </c>
      <c r="C70" s="24" t="s">
        <v>142</v>
      </c>
      <c r="D70" s="24" t="s">
        <v>142</v>
      </c>
      <c r="E70" s="24">
        <v>5409</v>
      </c>
      <c r="F70" s="24" t="s">
        <v>712</v>
      </c>
      <c r="G70" s="24">
        <v>0</v>
      </c>
      <c r="H70" s="24">
        <v>505409</v>
      </c>
      <c r="I70" s="24" t="s">
        <v>712</v>
      </c>
      <c r="J70" s="24" t="s">
        <v>712</v>
      </c>
      <c r="K70" s="24" t="s">
        <v>473</v>
      </c>
      <c r="M70" s="24">
        <v>0</v>
      </c>
      <c r="N70" s="24">
        <v>0</v>
      </c>
      <c r="P70" s="25">
        <v>12</v>
      </c>
      <c r="Q70" s="25">
        <v>0</v>
      </c>
      <c r="R70" s="24">
        <v>5408</v>
      </c>
      <c r="S70" s="25">
        <v>0</v>
      </c>
      <c r="T70" s="24"/>
      <c r="U70" s="24">
        <v>3</v>
      </c>
      <c r="V70" s="25">
        <v>4098</v>
      </c>
      <c r="W70" s="24">
        <v>1</v>
      </c>
      <c r="X70" s="24">
        <v>5408</v>
      </c>
      <c r="Y70" s="24">
        <v>0</v>
      </c>
      <c r="Z70" s="24">
        <v>1000</v>
      </c>
      <c r="AB70" s="24">
        <v>30001</v>
      </c>
      <c r="AC70" s="24">
        <v>0</v>
      </c>
      <c r="AD70" s="24">
        <v>0</v>
      </c>
      <c r="AE70" s="24">
        <v>0</v>
      </c>
      <c r="AG70" s="24">
        <v>1</v>
      </c>
      <c r="AH70" s="24">
        <v>0</v>
      </c>
      <c r="AI70" s="24">
        <v>0</v>
      </c>
      <c r="AJ70" s="24">
        <v>0</v>
      </c>
      <c r="AK70" s="24">
        <v>0</v>
      </c>
      <c r="AL70" s="24">
        <v>0</v>
      </c>
      <c r="AM70" s="24">
        <v>0</v>
      </c>
      <c r="AN70" s="24">
        <v>0</v>
      </c>
      <c r="AO70" s="24">
        <v>0</v>
      </c>
      <c r="AP70" s="24">
        <v>0</v>
      </c>
      <c r="AQ70" s="24">
        <v>0</v>
      </c>
      <c r="AR70" s="24">
        <v>0</v>
      </c>
      <c r="AS70" s="24">
        <v>0</v>
      </c>
      <c r="AT70" s="24">
        <v>0</v>
      </c>
      <c r="AU70" s="24">
        <v>0</v>
      </c>
      <c r="AV70" s="24">
        <v>0</v>
      </c>
      <c r="AW70" s="24">
        <v>0</v>
      </c>
      <c r="AX70" s="24">
        <v>0</v>
      </c>
      <c r="AY70" s="24">
        <v>0</v>
      </c>
      <c r="BA70" s="24">
        <v>0</v>
      </c>
      <c r="BB70" s="24">
        <v>0</v>
      </c>
      <c r="BC70" s="24">
        <v>0</v>
      </c>
      <c r="BD70" s="24">
        <v>0</v>
      </c>
      <c r="BE70" s="24">
        <v>0</v>
      </c>
      <c r="BF70" s="24">
        <v>1</v>
      </c>
      <c r="BG70" s="25">
        <v>1</v>
      </c>
      <c r="BH70" s="24">
        <v>4</v>
      </c>
      <c r="BI70" s="24">
        <v>5409</v>
      </c>
      <c r="BJ70" s="24">
        <v>1</v>
      </c>
      <c r="BK70" s="24">
        <v>1</v>
      </c>
      <c r="BL70" s="25">
        <v>126</v>
      </c>
      <c r="BM70" s="24">
        <v>0</v>
      </c>
      <c r="BO70" s="25">
        <v>4</v>
      </c>
      <c r="BP70" s="24">
        <v>0</v>
      </c>
      <c r="BQ70" s="24">
        <v>0</v>
      </c>
      <c r="BR70" s="24">
        <v>3</v>
      </c>
      <c r="BS70" s="24">
        <v>1</v>
      </c>
      <c r="BT70" s="24">
        <v>40</v>
      </c>
      <c r="BU70" s="24">
        <v>60</v>
      </c>
      <c r="BV70" s="24">
        <v>6</v>
      </c>
      <c r="BW70" s="24">
        <v>0</v>
      </c>
      <c r="BX70" s="24">
        <v>4</v>
      </c>
      <c r="BZ70" s="24">
        <v>-1</v>
      </c>
      <c r="CA70" s="24">
        <v>0</v>
      </c>
      <c r="CB70" s="24">
        <v>0</v>
      </c>
      <c r="CC70" s="24">
        <v>0</v>
      </c>
      <c r="CD70" s="24">
        <v>0</v>
      </c>
      <c r="CE70" s="24">
        <v>0</v>
      </c>
      <c r="CG70" s="24">
        <v>-1</v>
      </c>
      <c r="CH70" s="24">
        <v>0</v>
      </c>
      <c r="CI70" s="24">
        <v>0</v>
      </c>
      <c r="CJ70" s="24">
        <v>0</v>
      </c>
      <c r="CK70" s="24">
        <v>0</v>
      </c>
      <c r="CL70" s="24">
        <v>0</v>
      </c>
      <c r="CM70" s="24">
        <v>0</v>
      </c>
      <c r="CN70" s="24">
        <v>0</v>
      </c>
      <c r="CO70" s="24">
        <v>0</v>
      </c>
      <c r="CQ70" s="24">
        <v>0</v>
      </c>
      <c r="CR70" s="24">
        <v>0</v>
      </c>
      <c r="CS70" s="24">
        <v>0</v>
      </c>
      <c r="CT70" s="24">
        <v>0</v>
      </c>
      <c r="CV70" s="24">
        <v>0</v>
      </c>
      <c r="CW70" s="24">
        <v>0</v>
      </c>
      <c r="CX70" s="24">
        <v>-1</v>
      </c>
      <c r="CY70" s="26">
        <v>0</v>
      </c>
      <c r="CZ70" s="24">
        <v>0</v>
      </c>
      <c r="DA70" s="24">
        <v>0</v>
      </c>
      <c r="DC70" s="24">
        <v>0</v>
      </c>
      <c r="DD70" s="24">
        <v>0</v>
      </c>
      <c r="DE70" s="24">
        <v>0</v>
      </c>
      <c r="DF70" s="24">
        <v>0</v>
      </c>
      <c r="DG70" s="24">
        <v>-1</v>
      </c>
      <c r="DI70" s="24">
        <v>0</v>
      </c>
      <c r="DJ70" s="24">
        <v>0</v>
      </c>
      <c r="DL70" s="24">
        <v>0</v>
      </c>
      <c r="DM70" s="24">
        <v>0</v>
      </c>
      <c r="DO70" s="24">
        <v>0</v>
      </c>
      <c r="DP70" s="24">
        <v>0</v>
      </c>
      <c r="DQ70" s="24">
        <v>0</v>
      </c>
      <c r="DR70" s="24">
        <v>0</v>
      </c>
      <c r="DS70" s="24">
        <v>0</v>
      </c>
      <c r="DT70" s="24">
        <v>0</v>
      </c>
      <c r="DV70" s="24">
        <v>0</v>
      </c>
      <c r="DW70" s="24">
        <v>0</v>
      </c>
      <c r="DX70" s="24">
        <v>0</v>
      </c>
      <c r="DY70" s="24">
        <v>0</v>
      </c>
      <c r="DZ70" s="24">
        <v>0</v>
      </c>
    </row>
    <row r="71" spans="1:130">
      <c r="A71" s="24" t="s">
        <v>142</v>
      </c>
      <c r="B71" s="24" t="s">
        <v>142</v>
      </c>
      <c r="C71" s="24" t="s">
        <v>142</v>
      </c>
      <c r="D71" s="24" t="s">
        <v>142</v>
      </c>
      <c r="E71" s="24">
        <v>5410</v>
      </c>
      <c r="F71" s="24" t="s">
        <v>713</v>
      </c>
      <c r="G71" s="24">
        <v>0</v>
      </c>
      <c r="H71" s="24">
        <v>505410</v>
      </c>
      <c r="I71" s="24" t="s">
        <v>713</v>
      </c>
      <c r="J71" s="24" t="s">
        <v>713</v>
      </c>
      <c r="K71" s="24" t="s">
        <v>473</v>
      </c>
      <c r="M71" s="24">
        <v>0</v>
      </c>
      <c r="N71" s="24">
        <v>0</v>
      </c>
      <c r="P71" s="25">
        <v>12</v>
      </c>
      <c r="Q71" s="25">
        <v>0</v>
      </c>
      <c r="R71" s="24">
        <v>5408</v>
      </c>
      <c r="S71" s="25">
        <v>0</v>
      </c>
      <c r="T71" s="24"/>
      <c r="U71" s="24">
        <v>3</v>
      </c>
      <c r="V71" s="25">
        <v>4098</v>
      </c>
      <c r="W71" s="24">
        <v>1</v>
      </c>
      <c r="X71" s="24">
        <v>5408</v>
      </c>
      <c r="Y71" s="24">
        <v>0</v>
      </c>
      <c r="Z71" s="24">
        <v>1000</v>
      </c>
      <c r="AB71" s="24">
        <v>30001</v>
      </c>
      <c r="AC71" s="24">
        <v>0</v>
      </c>
      <c r="AD71" s="24">
        <v>0</v>
      </c>
      <c r="AE71" s="24">
        <v>0</v>
      </c>
      <c r="AG71" s="24">
        <v>1</v>
      </c>
      <c r="AH71" s="24">
        <v>0</v>
      </c>
      <c r="AI71" s="24">
        <v>0</v>
      </c>
      <c r="AJ71" s="24">
        <v>0</v>
      </c>
      <c r="AK71" s="24">
        <v>0</v>
      </c>
      <c r="AL71" s="24">
        <v>0</v>
      </c>
      <c r="AM71" s="24">
        <v>0</v>
      </c>
      <c r="AN71" s="24">
        <v>0</v>
      </c>
      <c r="AO71" s="24">
        <v>0</v>
      </c>
      <c r="AP71" s="24">
        <v>0</v>
      </c>
      <c r="AQ71" s="24">
        <v>0</v>
      </c>
      <c r="AR71" s="24">
        <v>0</v>
      </c>
      <c r="AS71" s="24">
        <v>0</v>
      </c>
      <c r="AT71" s="24">
        <v>0</v>
      </c>
      <c r="AU71" s="24">
        <v>0</v>
      </c>
      <c r="AV71" s="24">
        <v>0</v>
      </c>
      <c r="AW71" s="24">
        <v>0</v>
      </c>
      <c r="AX71" s="24">
        <v>0</v>
      </c>
      <c r="AY71" s="24">
        <v>0</v>
      </c>
      <c r="BA71" s="24">
        <v>0</v>
      </c>
      <c r="BB71" s="24">
        <v>0</v>
      </c>
      <c r="BC71" s="24">
        <v>0</v>
      </c>
      <c r="BD71" s="24">
        <v>0</v>
      </c>
      <c r="BE71" s="24">
        <v>0</v>
      </c>
      <c r="BF71" s="24">
        <v>1</v>
      </c>
      <c r="BG71" s="25">
        <v>1</v>
      </c>
      <c r="BH71" s="24">
        <v>13</v>
      </c>
      <c r="BI71" s="24">
        <v>5</v>
      </c>
      <c r="BJ71" s="24">
        <v>1</v>
      </c>
      <c r="BK71" s="24">
        <v>-1</v>
      </c>
      <c r="BL71" s="25">
        <v>126</v>
      </c>
      <c r="BM71" s="24">
        <v>0</v>
      </c>
      <c r="BO71" s="25">
        <v>1</v>
      </c>
      <c r="BP71" s="24">
        <v>0</v>
      </c>
      <c r="BQ71" s="24">
        <v>0</v>
      </c>
      <c r="BR71" s="24">
        <v>1</v>
      </c>
      <c r="BS71" s="24">
        <v>0</v>
      </c>
      <c r="BT71" s="24">
        <v>0</v>
      </c>
      <c r="BU71" s="24">
        <v>0</v>
      </c>
      <c r="BV71" s="24">
        <v>0</v>
      </c>
      <c r="BW71" s="24">
        <v>0</v>
      </c>
      <c r="BX71" s="24">
        <v>1</v>
      </c>
      <c r="BZ71" s="24">
        <v>-1</v>
      </c>
      <c r="CA71" s="24">
        <v>0</v>
      </c>
      <c r="CB71" s="24">
        <v>0</v>
      </c>
      <c r="CC71" s="24">
        <v>0</v>
      </c>
      <c r="CD71" s="24">
        <v>0</v>
      </c>
      <c r="CE71" s="24">
        <v>0</v>
      </c>
      <c r="CG71" s="24">
        <v>-1</v>
      </c>
      <c r="CH71" s="24">
        <v>0</v>
      </c>
      <c r="CI71" s="24">
        <v>0</v>
      </c>
      <c r="CJ71" s="24">
        <v>0</v>
      </c>
      <c r="CK71" s="24">
        <v>0</v>
      </c>
      <c r="CL71" s="24">
        <v>0</v>
      </c>
      <c r="CM71" s="24">
        <v>0</v>
      </c>
      <c r="CN71" s="24">
        <v>0</v>
      </c>
      <c r="CO71" s="24">
        <v>0</v>
      </c>
      <c r="CQ71" s="24">
        <v>0</v>
      </c>
      <c r="CR71" s="24">
        <v>0</v>
      </c>
      <c r="CS71" s="24">
        <v>0</v>
      </c>
      <c r="CT71" s="24">
        <v>0</v>
      </c>
      <c r="CV71" s="24">
        <v>0</v>
      </c>
      <c r="CW71" s="24">
        <v>0</v>
      </c>
      <c r="CX71" s="24">
        <v>-1</v>
      </c>
      <c r="CY71" s="26">
        <v>0</v>
      </c>
      <c r="CZ71" s="24">
        <v>0</v>
      </c>
      <c r="DA71" s="24">
        <v>0</v>
      </c>
      <c r="DC71" s="24">
        <v>0</v>
      </c>
      <c r="DD71" s="24">
        <v>0</v>
      </c>
      <c r="DE71" s="24">
        <v>0</v>
      </c>
      <c r="DF71" s="24">
        <v>0</v>
      </c>
      <c r="DG71" s="24">
        <v>-1</v>
      </c>
      <c r="DI71" s="24">
        <v>0</v>
      </c>
      <c r="DJ71" s="24">
        <v>0</v>
      </c>
      <c r="DL71" s="24">
        <v>0</v>
      </c>
      <c r="DM71" s="24">
        <v>0</v>
      </c>
      <c r="DO71" s="24">
        <v>0</v>
      </c>
      <c r="DP71" s="24">
        <v>0</v>
      </c>
      <c r="DQ71" s="24">
        <v>0</v>
      </c>
      <c r="DR71" s="24">
        <v>0</v>
      </c>
      <c r="DS71" s="24">
        <v>0</v>
      </c>
      <c r="DT71" s="24">
        <v>0</v>
      </c>
      <c r="DV71" s="24">
        <v>0</v>
      </c>
      <c r="DW71" s="24">
        <v>0</v>
      </c>
      <c r="DX71" s="24">
        <v>0</v>
      </c>
      <c r="DY71" s="24">
        <v>0</v>
      </c>
      <c r="DZ71" s="24">
        <v>0</v>
      </c>
    </row>
    <row r="72" spans="1:130">
      <c r="A72" s="24" t="s">
        <v>142</v>
      </c>
      <c r="B72" s="24" t="s">
        <v>142</v>
      </c>
      <c r="C72" s="24" t="s">
        <v>142</v>
      </c>
      <c r="D72" s="24" t="s">
        <v>142</v>
      </c>
      <c r="E72" s="24">
        <v>5411</v>
      </c>
      <c r="F72" s="24" t="s">
        <v>714</v>
      </c>
      <c r="G72" s="24">
        <v>0</v>
      </c>
      <c r="H72" s="24">
        <v>505411</v>
      </c>
      <c r="I72" s="24" t="s">
        <v>714</v>
      </c>
      <c r="J72" s="24" t="s">
        <v>714</v>
      </c>
      <c r="K72" s="24" t="s">
        <v>796</v>
      </c>
      <c r="M72" s="24">
        <v>102</v>
      </c>
      <c r="N72" s="24">
        <v>0</v>
      </c>
      <c r="P72" s="25">
        <v>2</v>
      </c>
      <c r="Q72" s="25">
        <v>524544</v>
      </c>
      <c r="R72" s="24">
        <v>0</v>
      </c>
      <c r="S72" s="25">
        <v>0</v>
      </c>
      <c r="T72" s="24"/>
      <c r="U72" s="24">
        <v>0</v>
      </c>
      <c r="V72" s="25">
        <v>0</v>
      </c>
      <c r="W72" s="24">
        <v>0</v>
      </c>
      <c r="X72" s="24">
        <v>0</v>
      </c>
      <c r="Y72" s="24">
        <v>0</v>
      </c>
      <c r="Z72" s="24">
        <v>0</v>
      </c>
      <c r="AB72" s="24">
        <v>10001</v>
      </c>
      <c r="AC72" s="24">
        <v>-1</v>
      </c>
      <c r="AD72" s="24">
        <v>-1</v>
      </c>
      <c r="AE72" s="24">
        <v>-1</v>
      </c>
      <c r="AG72" s="24">
        <v>1</v>
      </c>
      <c r="AH72" s="24">
        <v>0</v>
      </c>
      <c r="AI72" s="24">
        <v>0</v>
      </c>
      <c r="AJ72" s="24">
        <v>0</v>
      </c>
      <c r="AK72" s="24">
        <v>0</v>
      </c>
      <c r="AL72" s="24">
        <v>0</v>
      </c>
      <c r="AM72" s="24">
        <v>0</v>
      </c>
      <c r="AN72" s="24">
        <v>0</v>
      </c>
      <c r="AO72" s="24">
        <v>0</v>
      </c>
      <c r="AP72" s="24">
        <v>0</v>
      </c>
      <c r="AQ72" s="24">
        <v>0</v>
      </c>
      <c r="AR72" s="24">
        <v>0</v>
      </c>
      <c r="AS72" s="24">
        <v>0</v>
      </c>
      <c r="AT72" s="24">
        <v>0</v>
      </c>
      <c r="AU72" s="24">
        <v>0</v>
      </c>
      <c r="AV72" s="24">
        <v>0</v>
      </c>
      <c r="AW72" s="24">
        <v>0</v>
      </c>
      <c r="AX72" s="24">
        <v>0</v>
      </c>
      <c r="AY72" s="24">
        <v>0</v>
      </c>
      <c r="BA72" s="24">
        <v>0</v>
      </c>
      <c r="BB72" s="24">
        <v>1950</v>
      </c>
      <c r="BC72" s="24">
        <v>2900</v>
      </c>
      <c r="BD72" s="24">
        <v>400</v>
      </c>
      <c r="BE72" s="24">
        <v>300</v>
      </c>
      <c r="BF72" s="24">
        <v>5</v>
      </c>
      <c r="BG72" s="25">
        <v>1</v>
      </c>
      <c r="BH72" s="24">
        <v>1</v>
      </c>
      <c r="BI72" s="24">
        <v>0</v>
      </c>
      <c r="BJ72" s="24">
        <v>0</v>
      </c>
      <c r="BK72" s="24">
        <v>0</v>
      </c>
      <c r="BL72" s="25">
        <v>126</v>
      </c>
      <c r="BM72" s="24">
        <v>0</v>
      </c>
      <c r="BO72" s="25">
        <v>1</v>
      </c>
      <c r="BP72" s="24">
        <v>5</v>
      </c>
      <c r="BQ72" s="24">
        <v>0</v>
      </c>
      <c r="BR72" s="24">
        <v>2</v>
      </c>
      <c r="BS72" s="24">
        <v>50</v>
      </c>
      <c r="BT72" s="24">
        <v>0</v>
      </c>
      <c r="BU72" s="24">
        <v>0</v>
      </c>
      <c r="BV72" s="24">
        <v>6</v>
      </c>
      <c r="BW72" s="24">
        <v>0</v>
      </c>
      <c r="BX72" s="24">
        <v>4</v>
      </c>
      <c r="BZ72" s="24">
        <v>5411</v>
      </c>
      <c r="CA72" s="24">
        <v>0</v>
      </c>
      <c r="CB72" s="24">
        <v>0</v>
      </c>
      <c r="CC72" s="24">
        <v>0</v>
      </c>
      <c r="CD72" s="24">
        <v>0</v>
      </c>
      <c r="CE72" s="24">
        <v>0</v>
      </c>
      <c r="CG72" s="24">
        <v>-1</v>
      </c>
      <c r="CH72" s="24">
        <v>0</v>
      </c>
      <c r="CI72" s="24">
        <v>0</v>
      </c>
      <c r="CJ72" s="24">
        <v>0</v>
      </c>
      <c r="CK72" s="24">
        <v>0</v>
      </c>
      <c r="CL72" s="24">
        <v>0</v>
      </c>
      <c r="CM72" s="24">
        <v>0</v>
      </c>
      <c r="CN72" s="24">
        <v>0</v>
      </c>
      <c r="CO72" s="24">
        <v>0</v>
      </c>
      <c r="CQ72" s="24">
        <v>0</v>
      </c>
      <c r="CR72" s="24">
        <v>0</v>
      </c>
      <c r="CS72" s="24">
        <v>0</v>
      </c>
      <c r="CT72" s="24">
        <v>0</v>
      </c>
      <c r="CV72" s="24">
        <v>100511</v>
      </c>
      <c r="CW72" s="24">
        <v>17</v>
      </c>
      <c r="CX72" s="24">
        <v>1001</v>
      </c>
      <c r="CY72" s="26">
        <v>1</v>
      </c>
      <c r="CZ72" s="24">
        <v>2</v>
      </c>
      <c r="DA72" s="24">
        <v>0</v>
      </c>
      <c r="DC72" s="24">
        <v>0</v>
      </c>
      <c r="DD72" s="24">
        <v>0</v>
      </c>
      <c r="DE72" s="24">
        <v>0</v>
      </c>
      <c r="DF72" s="24">
        <v>0</v>
      </c>
      <c r="DG72" s="24">
        <v>-1</v>
      </c>
      <c r="DI72" s="24">
        <v>0</v>
      </c>
      <c r="DJ72" s="24">
        <v>0</v>
      </c>
      <c r="DL72" s="24">
        <v>0</v>
      </c>
      <c r="DM72" s="24">
        <v>0</v>
      </c>
      <c r="DO72" s="24">
        <v>0</v>
      </c>
      <c r="DP72" s="24">
        <v>0</v>
      </c>
      <c r="DQ72" s="24">
        <v>0</v>
      </c>
      <c r="DR72" s="24">
        <v>0</v>
      </c>
      <c r="DS72" s="24">
        <v>0</v>
      </c>
      <c r="DT72" s="24">
        <v>0</v>
      </c>
      <c r="DV72" s="24">
        <v>0</v>
      </c>
      <c r="DW72" s="24">
        <v>0</v>
      </c>
      <c r="DX72" s="24">
        <v>0</v>
      </c>
      <c r="DY72" s="24">
        <v>0</v>
      </c>
      <c r="DZ72" s="24">
        <v>0</v>
      </c>
    </row>
    <row r="73" spans="1:130">
      <c r="A73" s="24" t="s">
        <v>142</v>
      </c>
      <c r="B73" s="24" t="s">
        <v>142</v>
      </c>
      <c r="C73" s="24" t="s">
        <v>142</v>
      </c>
      <c r="D73" s="24" t="s">
        <v>142</v>
      </c>
      <c r="E73" s="24">
        <v>5412</v>
      </c>
      <c r="F73" s="24" t="s">
        <v>715</v>
      </c>
      <c r="G73" s="24">
        <v>0</v>
      </c>
      <c r="H73" s="24">
        <v>505412</v>
      </c>
      <c r="I73" s="24" t="s">
        <v>715</v>
      </c>
      <c r="J73" s="24" t="s">
        <v>715</v>
      </c>
      <c r="K73" s="24" t="s">
        <v>473</v>
      </c>
      <c r="M73" s="24">
        <v>0</v>
      </c>
      <c r="N73" s="24">
        <v>0</v>
      </c>
      <c r="P73" s="25">
        <v>12</v>
      </c>
      <c r="Q73" s="25">
        <v>0</v>
      </c>
      <c r="R73" s="24">
        <v>5411</v>
      </c>
      <c r="S73" s="25">
        <v>0</v>
      </c>
      <c r="T73" s="24"/>
      <c r="U73" s="24">
        <v>1</v>
      </c>
      <c r="V73" s="25">
        <v>2050</v>
      </c>
      <c r="W73" s="24">
        <v>1</v>
      </c>
      <c r="X73" s="24">
        <v>5411</v>
      </c>
      <c r="Y73" s="24">
        <v>0</v>
      </c>
      <c r="Z73" s="24">
        <v>1000</v>
      </c>
      <c r="AB73" s="24">
        <v>30001</v>
      </c>
      <c r="AC73" s="24">
        <v>0</v>
      </c>
      <c r="AD73" s="24">
        <v>0</v>
      </c>
      <c r="AE73" s="24">
        <v>0</v>
      </c>
      <c r="AG73" s="24">
        <v>1</v>
      </c>
      <c r="AH73" s="24">
        <v>0</v>
      </c>
      <c r="AI73" s="24">
        <v>0</v>
      </c>
      <c r="AJ73" s="24">
        <v>0</v>
      </c>
      <c r="AK73" s="24">
        <v>0</v>
      </c>
      <c r="AL73" s="24">
        <v>0</v>
      </c>
      <c r="AM73" s="24">
        <v>0</v>
      </c>
      <c r="AN73" s="24">
        <v>0</v>
      </c>
      <c r="AO73" s="24">
        <v>0</v>
      </c>
      <c r="AP73" s="24">
        <v>0</v>
      </c>
      <c r="AQ73" s="24">
        <v>0</v>
      </c>
      <c r="AR73" s="24">
        <v>0</v>
      </c>
      <c r="AS73" s="24">
        <v>0</v>
      </c>
      <c r="AT73" s="24">
        <v>0</v>
      </c>
      <c r="AU73" s="24">
        <v>0</v>
      </c>
      <c r="AV73" s="24">
        <v>0</v>
      </c>
      <c r="AW73" s="24">
        <v>0</v>
      </c>
      <c r="AX73" s="24">
        <v>0</v>
      </c>
      <c r="AY73" s="24">
        <v>0</v>
      </c>
      <c r="BA73" s="24">
        <v>0</v>
      </c>
      <c r="BB73" s="24">
        <v>0</v>
      </c>
      <c r="BC73" s="24">
        <v>0</v>
      </c>
      <c r="BD73" s="24">
        <v>0</v>
      </c>
      <c r="BE73" s="24">
        <v>0</v>
      </c>
      <c r="BF73" s="24">
        <v>1</v>
      </c>
      <c r="BG73" s="25">
        <v>512</v>
      </c>
      <c r="BH73" s="24">
        <v>13</v>
      </c>
      <c r="BI73" s="24">
        <v>5</v>
      </c>
      <c r="BJ73" s="24">
        <v>3</v>
      </c>
      <c r="BK73" s="24">
        <v>-1</v>
      </c>
      <c r="BL73" s="25">
        <v>126</v>
      </c>
      <c r="BM73" s="24">
        <v>0</v>
      </c>
      <c r="BO73" s="25">
        <v>1</v>
      </c>
      <c r="BP73" s="24">
        <v>0</v>
      </c>
      <c r="BQ73" s="24">
        <v>0</v>
      </c>
      <c r="BR73" s="24">
        <v>1</v>
      </c>
      <c r="BS73" s="24">
        <v>0</v>
      </c>
      <c r="BT73" s="24">
        <v>0</v>
      </c>
      <c r="BU73" s="24">
        <v>0</v>
      </c>
      <c r="BV73" s="24">
        <v>0</v>
      </c>
      <c r="BW73" s="24">
        <v>0</v>
      </c>
      <c r="BX73" s="24">
        <v>1</v>
      </c>
      <c r="BZ73" s="24">
        <v>-1</v>
      </c>
      <c r="CA73" s="24">
        <v>0</v>
      </c>
      <c r="CB73" s="24">
        <v>0</v>
      </c>
      <c r="CC73" s="24">
        <v>0</v>
      </c>
      <c r="CD73" s="24">
        <v>0</v>
      </c>
      <c r="CE73" s="24">
        <v>0</v>
      </c>
      <c r="CG73" s="24">
        <v>-1</v>
      </c>
      <c r="CH73" s="24">
        <v>0</v>
      </c>
      <c r="CI73" s="24">
        <v>0</v>
      </c>
      <c r="CJ73" s="24">
        <v>0</v>
      </c>
      <c r="CK73" s="24">
        <v>0</v>
      </c>
      <c r="CL73" s="24">
        <v>0</v>
      </c>
      <c r="CM73" s="24">
        <v>0</v>
      </c>
      <c r="CN73" s="24">
        <v>0</v>
      </c>
      <c r="CO73" s="24">
        <v>0</v>
      </c>
      <c r="CQ73" s="24">
        <v>0</v>
      </c>
      <c r="CR73" s="24">
        <v>0</v>
      </c>
      <c r="CS73" s="24">
        <v>0</v>
      </c>
      <c r="CT73" s="24">
        <v>0</v>
      </c>
      <c r="CV73" s="24">
        <v>0</v>
      </c>
      <c r="CW73" s="24">
        <v>0</v>
      </c>
      <c r="CX73" s="24">
        <v>-1</v>
      </c>
      <c r="CY73" s="26">
        <v>0</v>
      </c>
      <c r="CZ73" s="24">
        <v>0</v>
      </c>
      <c r="DA73" s="24">
        <v>0</v>
      </c>
      <c r="DC73" s="24">
        <v>0</v>
      </c>
      <c r="DD73" s="24">
        <v>0</v>
      </c>
      <c r="DE73" s="24">
        <v>0</v>
      </c>
      <c r="DF73" s="24">
        <v>0</v>
      </c>
      <c r="DG73" s="24">
        <v>-1</v>
      </c>
      <c r="DI73" s="24">
        <v>0</v>
      </c>
      <c r="DJ73" s="24">
        <v>0</v>
      </c>
      <c r="DL73" s="24">
        <v>0</v>
      </c>
      <c r="DM73" s="24">
        <v>0</v>
      </c>
      <c r="DO73" s="24">
        <v>0</v>
      </c>
      <c r="DP73" s="24">
        <v>0</v>
      </c>
      <c r="DQ73" s="24">
        <v>0</v>
      </c>
      <c r="DR73" s="24">
        <v>0</v>
      </c>
      <c r="DS73" s="24">
        <v>0</v>
      </c>
      <c r="DT73" s="24">
        <v>0</v>
      </c>
      <c r="DV73" s="24">
        <v>0</v>
      </c>
      <c r="DW73" s="24">
        <v>0</v>
      </c>
      <c r="DX73" s="24">
        <v>0</v>
      </c>
      <c r="DY73" s="24">
        <v>0</v>
      </c>
      <c r="DZ73" s="24">
        <v>0</v>
      </c>
    </row>
    <row r="74" spans="1:130">
      <c r="A74" s="24" t="s">
        <v>142</v>
      </c>
      <c r="B74" s="24" t="s">
        <v>142</v>
      </c>
      <c r="C74" s="24" t="s">
        <v>142</v>
      </c>
      <c r="D74" s="24" t="s">
        <v>142</v>
      </c>
      <c r="E74" s="24">
        <v>5413</v>
      </c>
      <c r="F74" s="24" t="s">
        <v>716</v>
      </c>
      <c r="G74" s="24">
        <v>0</v>
      </c>
      <c r="H74" s="24">
        <v>505413</v>
      </c>
      <c r="I74" s="24" t="s">
        <v>716</v>
      </c>
      <c r="J74" s="24" t="s">
        <v>716</v>
      </c>
      <c r="K74" s="24" t="s">
        <v>473</v>
      </c>
      <c r="M74" s="24">
        <v>102</v>
      </c>
      <c r="N74" s="24">
        <v>0</v>
      </c>
      <c r="P74" s="25">
        <v>2</v>
      </c>
      <c r="Q74" s="25">
        <v>524544</v>
      </c>
      <c r="R74" s="24">
        <v>0</v>
      </c>
      <c r="S74" s="25">
        <v>0</v>
      </c>
      <c r="T74" s="24"/>
      <c r="U74" s="24">
        <v>0</v>
      </c>
      <c r="V74" s="25">
        <v>0</v>
      </c>
      <c r="W74" s="24">
        <v>0</v>
      </c>
      <c r="X74" s="24">
        <v>0</v>
      </c>
      <c r="Y74" s="24">
        <v>0</v>
      </c>
      <c r="Z74" s="24">
        <v>0</v>
      </c>
      <c r="AB74" s="24">
        <v>10001</v>
      </c>
      <c r="AC74" s="24">
        <v>-1</v>
      </c>
      <c r="AD74" s="24">
        <v>-1</v>
      </c>
      <c r="AE74" s="24">
        <v>-1</v>
      </c>
      <c r="AG74" s="24">
        <v>1</v>
      </c>
      <c r="AH74" s="24">
        <v>0</v>
      </c>
      <c r="AI74" s="24">
        <v>0</v>
      </c>
      <c r="AJ74" s="24">
        <v>0</v>
      </c>
      <c r="AK74" s="24">
        <v>0</v>
      </c>
      <c r="AL74" s="24">
        <v>0</v>
      </c>
      <c r="AM74" s="24">
        <v>0</v>
      </c>
      <c r="AN74" s="24">
        <v>0</v>
      </c>
      <c r="AO74" s="24">
        <v>0</v>
      </c>
      <c r="AP74" s="24">
        <v>0</v>
      </c>
      <c r="AQ74" s="24">
        <v>0</v>
      </c>
      <c r="AR74" s="24">
        <v>0</v>
      </c>
      <c r="AS74" s="24">
        <v>0</v>
      </c>
      <c r="AT74" s="24">
        <v>0</v>
      </c>
      <c r="AU74" s="24">
        <v>0</v>
      </c>
      <c r="AV74" s="24">
        <v>0</v>
      </c>
      <c r="AW74" s="24">
        <v>0</v>
      </c>
      <c r="AX74" s="24">
        <v>0</v>
      </c>
      <c r="AY74" s="24">
        <v>0</v>
      </c>
      <c r="BA74" s="24">
        <v>0</v>
      </c>
      <c r="BB74" s="24">
        <v>1950</v>
      </c>
      <c r="BC74" s="24">
        <v>2900</v>
      </c>
      <c r="BD74" s="24">
        <v>400</v>
      </c>
      <c r="BE74" s="24">
        <v>300</v>
      </c>
      <c r="BF74" s="24">
        <v>5</v>
      </c>
      <c r="BG74" s="25">
        <v>1</v>
      </c>
      <c r="BH74" s="24">
        <v>1</v>
      </c>
      <c r="BI74" s="24">
        <v>0</v>
      </c>
      <c r="BJ74" s="24">
        <v>0</v>
      </c>
      <c r="BK74" s="24">
        <v>0</v>
      </c>
      <c r="BL74" s="25">
        <v>126</v>
      </c>
      <c r="BM74" s="24">
        <v>0</v>
      </c>
      <c r="BO74" s="25">
        <v>1</v>
      </c>
      <c r="BP74" s="24">
        <v>5</v>
      </c>
      <c r="BQ74" s="24">
        <v>0</v>
      </c>
      <c r="BR74" s="24">
        <v>2</v>
      </c>
      <c r="BS74" s="24">
        <v>50</v>
      </c>
      <c r="BT74" s="24">
        <v>0</v>
      </c>
      <c r="BU74" s="24">
        <v>0</v>
      </c>
      <c r="BV74" s="24">
        <v>6</v>
      </c>
      <c r="BW74" s="24">
        <v>0</v>
      </c>
      <c r="BX74" s="24">
        <v>4</v>
      </c>
      <c r="BZ74" s="24">
        <v>5411</v>
      </c>
      <c r="CA74" s="24">
        <v>0</v>
      </c>
      <c r="CB74" s="24">
        <v>0</v>
      </c>
      <c r="CC74" s="24">
        <v>0</v>
      </c>
      <c r="CD74" s="24">
        <v>0</v>
      </c>
      <c r="CE74" s="24">
        <v>0</v>
      </c>
      <c r="CG74" s="24">
        <v>-1</v>
      </c>
      <c r="CH74" s="24">
        <v>0</v>
      </c>
      <c r="CI74" s="24">
        <v>0</v>
      </c>
      <c r="CJ74" s="24">
        <v>0</v>
      </c>
      <c r="CK74" s="24">
        <v>0</v>
      </c>
      <c r="CL74" s="24">
        <v>0</v>
      </c>
      <c r="CM74" s="24">
        <v>0</v>
      </c>
      <c r="CN74" s="24">
        <v>0</v>
      </c>
      <c r="CO74" s="24">
        <v>0</v>
      </c>
      <c r="CQ74" s="24">
        <v>0</v>
      </c>
      <c r="CR74" s="24">
        <v>0</v>
      </c>
      <c r="CS74" s="24">
        <v>0</v>
      </c>
      <c r="CT74" s="24">
        <v>0</v>
      </c>
      <c r="CV74" s="24">
        <v>100511</v>
      </c>
      <c r="CW74" s="24">
        <v>17</v>
      </c>
      <c r="CX74" s="24">
        <v>1001</v>
      </c>
      <c r="CY74" s="26">
        <v>1</v>
      </c>
      <c r="CZ74" s="24">
        <v>2</v>
      </c>
      <c r="DA74" s="24">
        <v>0</v>
      </c>
      <c r="DC74" s="24">
        <v>0</v>
      </c>
      <c r="DD74" s="24">
        <v>0</v>
      </c>
      <c r="DE74" s="24">
        <v>0</v>
      </c>
      <c r="DF74" s="24">
        <v>0</v>
      </c>
      <c r="DG74" s="24">
        <v>-1</v>
      </c>
      <c r="DI74" s="24">
        <v>0</v>
      </c>
      <c r="DJ74" s="24">
        <v>0</v>
      </c>
      <c r="DL74" s="24">
        <v>0</v>
      </c>
      <c r="DM74" s="24">
        <v>0</v>
      </c>
      <c r="DO74" s="24">
        <v>0</v>
      </c>
      <c r="DP74" s="24">
        <v>0</v>
      </c>
      <c r="DQ74" s="24">
        <v>0</v>
      </c>
      <c r="DR74" s="24">
        <v>0</v>
      </c>
      <c r="DS74" s="24">
        <v>0</v>
      </c>
      <c r="DT74" s="24">
        <v>0</v>
      </c>
      <c r="DV74" s="24">
        <v>0</v>
      </c>
      <c r="DW74" s="24">
        <v>0</v>
      </c>
      <c r="DX74" s="24">
        <v>0</v>
      </c>
      <c r="DY74" s="24">
        <v>0</v>
      </c>
      <c r="DZ74" s="24">
        <v>0</v>
      </c>
    </row>
    <row r="75" spans="1:130">
      <c r="A75" s="24" t="s">
        <v>142</v>
      </c>
      <c r="B75" s="24" t="s">
        <v>142</v>
      </c>
      <c r="C75" s="24" t="s">
        <v>142</v>
      </c>
      <c r="D75" s="24" t="s">
        <v>142</v>
      </c>
      <c r="E75" s="24">
        <v>5414</v>
      </c>
      <c r="F75" s="24" t="s">
        <v>725</v>
      </c>
      <c r="G75" s="24">
        <v>0</v>
      </c>
      <c r="H75" s="24">
        <v>505414</v>
      </c>
      <c r="I75" s="24" t="s">
        <v>725</v>
      </c>
      <c r="J75" s="24" t="s">
        <v>725</v>
      </c>
      <c r="K75" s="24" t="s">
        <v>473</v>
      </c>
      <c r="M75" s="24">
        <v>0</v>
      </c>
      <c r="N75" s="24">
        <v>0</v>
      </c>
      <c r="P75" s="25">
        <v>12</v>
      </c>
      <c r="Q75" s="25">
        <v>0</v>
      </c>
      <c r="R75" s="24">
        <v>5413</v>
      </c>
      <c r="S75" s="25">
        <v>0</v>
      </c>
      <c r="T75" s="24"/>
      <c r="U75" s="24">
        <v>1</v>
      </c>
      <c r="V75" s="25">
        <v>2050</v>
      </c>
      <c r="W75" s="24">
        <v>1</v>
      </c>
      <c r="X75" s="24">
        <v>5413</v>
      </c>
      <c r="Y75" s="24">
        <v>0</v>
      </c>
      <c r="Z75" s="24">
        <v>1000</v>
      </c>
      <c r="AB75" s="24">
        <v>30001</v>
      </c>
      <c r="AC75" s="24">
        <v>0</v>
      </c>
      <c r="AD75" s="24">
        <v>0</v>
      </c>
      <c r="AE75" s="24">
        <v>0</v>
      </c>
      <c r="AG75" s="24">
        <v>1</v>
      </c>
      <c r="AH75" s="24">
        <v>0</v>
      </c>
      <c r="AI75" s="24">
        <v>0</v>
      </c>
      <c r="AJ75" s="24">
        <v>0</v>
      </c>
      <c r="AK75" s="24">
        <v>0</v>
      </c>
      <c r="AL75" s="24">
        <v>0</v>
      </c>
      <c r="AM75" s="24">
        <v>0</v>
      </c>
      <c r="AN75" s="24">
        <v>0</v>
      </c>
      <c r="AO75" s="24">
        <v>0</v>
      </c>
      <c r="AP75" s="24">
        <v>0</v>
      </c>
      <c r="AQ75" s="24">
        <v>0</v>
      </c>
      <c r="AR75" s="24">
        <v>0</v>
      </c>
      <c r="AS75" s="24">
        <v>0</v>
      </c>
      <c r="AT75" s="24">
        <v>0</v>
      </c>
      <c r="AU75" s="24">
        <v>0</v>
      </c>
      <c r="AV75" s="24">
        <v>0</v>
      </c>
      <c r="AW75" s="24">
        <v>0</v>
      </c>
      <c r="AX75" s="24">
        <v>0</v>
      </c>
      <c r="AY75" s="24">
        <v>0</v>
      </c>
      <c r="BA75" s="24">
        <v>0</v>
      </c>
      <c r="BB75" s="24">
        <v>0</v>
      </c>
      <c r="BC75" s="24">
        <v>0</v>
      </c>
      <c r="BD75" s="24">
        <v>0</v>
      </c>
      <c r="BE75" s="24">
        <v>0</v>
      </c>
      <c r="BF75" s="24">
        <v>1</v>
      </c>
      <c r="BG75" s="25">
        <v>512</v>
      </c>
      <c r="BH75" s="24">
        <v>4</v>
      </c>
      <c r="BI75" s="24">
        <v>5414</v>
      </c>
      <c r="BJ75" s="24">
        <v>1</v>
      </c>
      <c r="BK75" s="24">
        <v>1</v>
      </c>
      <c r="BL75" s="25">
        <v>126</v>
      </c>
      <c r="BM75" s="24">
        <v>0</v>
      </c>
      <c r="BO75" s="25">
        <v>1</v>
      </c>
      <c r="BP75" s="24">
        <v>0</v>
      </c>
      <c r="BQ75" s="24">
        <v>0</v>
      </c>
      <c r="BR75" s="24">
        <v>1</v>
      </c>
      <c r="BS75" s="24">
        <v>0</v>
      </c>
      <c r="BT75" s="24">
        <v>0</v>
      </c>
      <c r="BU75" s="24">
        <v>0</v>
      </c>
      <c r="BV75" s="24">
        <v>0</v>
      </c>
      <c r="BW75" s="24">
        <v>0</v>
      </c>
      <c r="BX75" s="24">
        <v>1</v>
      </c>
      <c r="BZ75" s="24">
        <v>-1</v>
      </c>
      <c r="CA75" s="24">
        <v>0</v>
      </c>
      <c r="CB75" s="24">
        <v>0</v>
      </c>
      <c r="CC75" s="24">
        <v>0</v>
      </c>
      <c r="CD75" s="24">
        <v>0</v>
      </c>
      <c r="CE75" s="24">
        <v>0</v>
      </c>
      <c r="CG75" s="24">
        <v>-1</v>
      </c>
      <c r="CH75" s="24">
        <v>0</v>
      </c>
      <c r="CI75" s="24">
        <v>0</v>
      </c>
      <c r="CJ75" s="24">
        <v>0</v>
      </c>
      <c r="CK75" s="24">
        <v>0</v>
      </c>
      <c r="CL75" s="24">
        <v>0</v>
      </c>
      <c r="CM75" s="24">
        <v>0</v>
      </c>
      <c r="CN75" s="24">
        <v>0</v>
      </c>
      <c r="CO75" s="24">
        <v>0</v>
      </c>
      <c r="CQ75" s="24">
        <v>0</v>
      </c>
      <c r="CR75" s="24">
        <v>0</v>
      </c>
      <c r="CS75" s="24">
        <v>0</v>
      </c>
      <c r="CT75" s="24">
        <v>0</v>
      </c>
      <c r="CV75" s="24">
        <v>0</v>
      </c>
      <c r="CW75" s="24">
        <v>0</v>
      </c>
      <c r="CX75" s="24">
        <v>-1</v>
      </c>
      <c r="CY75" s="26">
        <v>0</v>
      </c>
      <c r="CZ75" s="24">
        <v>0</v>
      </c>
      <c r="DA75" s="24">
        <v>0</v>
      </c>
      <c r="DC75" s="24">
        <v>0</v>
      </c>
      <c r="DD75" s="24">
        <v>0</v>
      </c>
      <c r="DE75" s="24">
        <v>0</v>
      </c>
      <c r="DF75" s="24">
        <v>0</v>
      </c>
      <c r="DG75" s="24">
        <v>-1</v>
      </c>
      <c r="DI75" s="24">
        <v>0</v>
      </c>
      <c r="DJ75" s="24">
        <v>0</v>
      </c>
      <c r="DL75" s="24">
        <v>0</v>
      </c>
      <c r="DM75" s="24">
        <v>0</v>
      </c>
      <c r="DO75" s="24">
        <v>0</v>
      </c>
      <c r="DP75" s="24">
        <v>0</v>
      </c>
      <c r="DQ75" s="24">
        <v>0</v>
      </c>
      <c r="DR75" s="24">
        <v>0</v>
      </c>
      <c r="DS75" s="24">
        <v>0</v>
      </c>
      <c r="DT75" s="24">
        <v>0</v>
      </c>
      <c r="DV75" s="24">
        <v>0</v>
      </c>
      <c r="DW75" s="24">
        <v>0</v>
      </c>
      <c r="DX75" s="24">
        <v>0</v>
      </c>
      <c r="DY75" s="24">
        <v>0</v>
      </c>
      <c r="DZ75" s="24">
        <v>0</v>
      </c>
    </row>
    <row r="76" spans="1:130">
      <c r="A76" s="24" t="s">
        <v>142</v>
      </c>
      <c r="B76" s="24" t="s">
        <v>142</v>
      </c>
      <c r="C76" s="24" t="s">
        <v>142</v>
      </c>
      <c r="D76" s="24" t="s">
        <v>142</v>
      </c>
      <c r="E76" s="24">
        <v>5415</v>
      </c>
      <c r="F76" s="24" t="s">
        <v>717</v>
      </c>
      <c r="G76" s="24">
        <v>0</v>
      </c>
      <c r="H76" s="24">
        <v>505415</v>
      </c>
      <c r="I76" s="24" t="s">
        <v>717</v>
      </c>
      <c r="J76" s="24" t="s">
        <v>717</v>
      </c>
      <c r="K76" s="24" t="s">
        <v>797</v>
      </c>
      <c r="M76" s="24">
        <v>102</v>
      </c>
      <c r="N76" s="24">
        <v>0</v>
      </c>
      <c r="P76" s="25">
        <v>2</v>
      </c>
      <c r="Q76" s="25">
        <v>2228480</v>
      </c>
      <c r="R76" s="24">
        <v>0</v>
      </c>
      <c r="S76" s="25">
        <v>2</v>
      </c>
      <c r="T76" s="24"/>
      <c r="U76" s="24">
        <v>0</v>
      </c>
      <c r="V76" s="25">
        <v>0</v>
      </c>
      <c r="W76" s="24">
        <v>0</v>
      </c>
      <c r="X76" s="24">
        <v>0</v>
      </c>
      <c r="Y76" s="24">
        <v>0</v>
      </c>
      <c r="Z76" s="24">
        <v>0</v>
      </c>
      <c r="AB76" s="24">
        <v>10001</v>
      </c>
      <c r="AC76" s="24">
        <v>-1</v>
      </c>
      <c r="AD76" s="24">
        <v>-1</v>
      </c>
      <c r="AE76" s="24">
        <v>-1</v>
      </c>
      <c r="AG76" s="24">
        <v>1</v>
      </c>
      <c r="AH76" s="24">
        <v>0</v>
      </c>
      <c r="AI76" s="24">
        <v>0</v>
      </c>
      <c r="AJ76" s="24">
        <v>0</v>
      </c>
      <c r="AK76" s="24">
        <v>0</v>
      </c>
      <c r="AL76" s="24">
        <v>0</v>
      </c>
      <c r="AM76" s="24">
        <v>0</v>
      </c>
      <c r="AN76" s="24">
        <v>0</v>
      </c>
      <c r="AO76" s="24">
        <v>0</v>
      </c>
      <c r="AP76" s="24">
        <v>0</v>
      </c>
      <c r="AQ76" s="24">
        <v>0</v>
      </c>
      <c r="AR76" s="24">
        <v>0</v>
      </c>
      <c r="AS76" s="24">
        <v>0</v>
      </c>
      <c r="AT76" s="24">
        <v>0</v>
      </c>
      <c r="AU76" s="24">
        <v>0</v>
      </c>
      <c r="AV76" s="24">
        <v>0</v>
      </c>
      <c r="AW76" s="24">
        <v>0</v>
      </c>
      <c r="AX76" s="24">
        <v>0</v>
      </c>
      <c r="AY76" s="24">
        <v>0</v>
      </c>
      <c r="BA76" s="24">
        <v>0</v>
      </c>
      <c r="BB76" s="24">
        <v>300</v>
      </c>
      <c r="BC76" s="24">
        <v>600</v>
      </c>
      <c r="BD76" s="24">
        <v>200</v>
      </c>
      <c r="BE76" s="24">
        <v>200</v>
      </c>
      <c r="BF76" s="24">
        <v>1</v>
      </c>
      <c r="BG76" s="25">
        <v>1</v>
      </c>
      <c r="BH76" s="24">
        <v>1</v>
      </c>
      <c r="BI76" s="24">
        <v>0</v>
      </c>
      <c r="BJ76" s="24">
        <v>0</v>
      </c>
      <c r="BK76" s="24">
        <v>0</v>
      </c>
      <c r="BL76" s="25">
        <v>126</v>
      </c>
      <c r="BM76" s="24">
        <v>0</v>
      </c>
      <c r="BO76" s="25">
        <v>16</v>
      </c>
      <c r="BP76" s="24">
        <v>6</v>
      </c>
      <c r="BQ76" s="24">
        <v>0</v>
      </c>
      <c r="BR76" s="24">
        <v>3</v>
      </c>
      <c r="BS76" s="24">
        <v>1</v>
      </c>
      <c r="BT76" s="24">
        <v>60</v>
      </c>
      <c r="BU76" s="24">
        <v>120</v>
      </c>
      <c r="BV76" s="24">
        <v>6</v>
      </c>
      <c r="BW76" s="24">
        <v>0</v>
      </c>
      <c r="BX76" s="24">
        <v>4</v>
      </c>
      <c r="BZ76" s="24">
        <v>5415</v>
      </c>
      <c r="CA76" s="24">
        <v>0</v>
      </c>
      <c r="CB76" s="24">
        <v>3</v>
      </c>
      <c r="CC76" s="24">
        <v>-1</v>
      </c>
      <c r="CD76" s="24">
        <v>0</v>
      </c>
      <c r="CE76" s="24">
        <v>0</v>
      </c>
      <c r="CG76" s="24">
        <v>-1</v>
      </c>
      <c r="CH76" s="24">
        <v>0</v>
      </c>
      <c r="CI76" s="24">
        <v>0</v>
      </c>
      <c r="CJ76" s="24">
        <v>0</v>
      </c>
      <c r="CK76" s="24">
        <v>0</v>
      </c>
      <c r="CL76" s="24">
        <v>0</v>
      </c>
      <c r="CM76" s="24">
        <v>-1</v>
      </c>
      <c r="CN76" s="24">
        <v>0</v>
      </c>
      <c r="CO76" s="24">
        <v>0</v>
      </c>
      <c r="CQ76" s="24">
        <v>0.74209000000000003</v>
      </c>
      <c r="CR76" s="24">
        <v>0</v>
      </c>
      <c r="CS76" s="24">
        <v>0</v>
      </c>
      <c r="CT76" s="24">
        <v>0</v>
      </c>
      <c r="CV76" s="24">
        <v>100504</v>
      </c>
      <c r="CW76" s="24">
        <v>17</v>
      </c>
      <c r="CX76" s="24">
        <v>5007</v>
      </c>
      <c r="CY76" s="26">
        <v>2</v>
      </c>
      <c r="CZ76" s="24">
        <v>10</v>
      </c>
      <c r="DA76" s="24">
        <v>0</v>
      </c>
      <c r="DC76" s="24">
        <v>1</v>
      </c>
      <c r="DD76" s="24">
        <v>1</v>
      </c>
      <c r="DE76" s="24">
        <v>0</v>
      </c>
      <c r="DF76" s="24">
        <v>0</v>
      </c>
      <c r="DG76" s="24">
        <v>-1</v>
      </c>
      <c r="DI76" s="24">
        <v>0</v>
      </c>
      <c r="DJ76" s="24">
        <v>0</v>
      </c>
      <c r="DL76" s="24">
        <v>5415</v>
      </c>
      <c r="DM76" s="24">
        <v>1</v>
      </c>
      <c r="DO76" s="24">
        <v>0</v>
      </c>
      <c r="DP76" s="24">
        <v>0</v>
      </c>
      <c r="DQ76" s="24">
        <v>0</v>
      </c>
      <c r="DR76" s="24">
        <v>0</v>
      </c>
      <c r="DS76" s="24">
        <v>0</v>
      </c>
      <c r="DT76" s="24">
        <v>0</v>
      </c>
      <c r="DV76" s="24">
        <v>0</v>
      </c>
      <c r="DW76" s="24">
        <v>0</v>
      </c>
      <c r="DX76" s="24">
        <v>0</v>
      </c>
      <c r="DY76" s="24">
        <v>0</v>
      </c>
      <c r="DZ76" s="24">
        <v>0</v>
      </c>
    </row>
    <row r="77" spans="1:130">
      <c r="A77" s="24" t="s">
        <v>142</v>
      </c>
      <c r="B77" s="24" t="s">
        <v>142</v>
      </c>
      <c r="C77" s="24" t="s">
        <v>142</v>
      </c>
      <c r="D77" s="24" t="s">
        <v>142</v>
      </c>
      <c r="E77" s="24">
        <v>5416</v>
      </c>
      <c r="F77" s="24" t="s">
        <v>718</v>
      </c>
      <c r="G77" s="24">
        <v>0</v>
      </c>
      <c r="H77" s="24">
        <v>505416</v>
      </c>
      <c r="I77" s="24" t="s">
        <v>718</v>
      </c>
      <c r="J77" s="24" t="s">
        <v>718</v>
      </c>
      <c r="K77" s="24" t="s">
        <v>473</v>
      </c>
      <c r="M77" s="24">
        <v>102</v>
      </c>
      <c r="N77" s="24">
        <v>0</v>
      </c>
      <c r="P77" s="25">
        <v>2</v>
      </c>
      <c r="Q77" s="25">
        <v>2228224</v>
      </c>
      <c r="R77" s="24">
        <v>5415</v>
      </c>
      <c r="S77" s="25">
        <v>2</v>
      </c>
      <c r="T77" s="24"/>
      <c r="U77" s="24">
        <v>0</v>
      </c>
      <c r="V77" s="25">
        <v>0</v>
      </c>
      <c r="W77" s="24">
        <v>0</v>
      </c>
      <c r="X77" s="24">
        <v>0</v>
      </c>
      <c r="Y77" s="24">
        <v>0</v>
      </c>
      <c r="Z77" s="24">
        <v>0</v>
      </c>
      <c r="AB77" s="24">
        <v>10001</v>
      </c>
      <c r="AC77" s="24">
        <v>-1</v>
      </c>
      <c r="AD77" s="24">
        <v>-1</v>
      </c>
      <c r="AE77" s="24">
        <v>-1</v>
      </c>
      <c r="AG77" s="24">
        <v>1</v>
      </c>
      <c r="AH77" s="24">
        <v>0</v>
      </c>
      <c r="AI77" s="24">
        <v>0</v>
      </c>
      <c r="AJ77" s="24">
        <v>0</v>
      </c>
      <c r="AK77" s="24">
        <v>0</v>
      </c>
      <c r="AL77" s="24">
        <v>0</v>
      </c>
      <c r="AM77" s="24">
        <v>0</v>
      </c>
      <c r="AN77" s="24">
        <v>0</v>
      </c>
      <c r="AO77" s="24">
        <v>0</v>
      </c>
      <c r="AP77" s="24">
        <v>0</v>
      </c>
      <c r="AQ77" s="24">
        <v>0</v>
      </c>
      <c r="AR77" s="24">
        <v>0</v>
      </c>
      <c r="AS77" s="24">
        <v>0</v>
      </c>
      <c r="AT77" s="24">
        <v>0</v>
      </c>
      <c r="AU77" s="24">
        <v>0</v>
      </c>
      <c r="AV77" s="24">
        <v>0</v>
      </c>
      <c r="AW77" s="24">
        <v>0</v>
      </c>
      <c r="AX77" s="24">
        <v>0</v>
      </c>
      <c r="AY77" s="24">
        <v>0</v>
      </c>
      <c r="BA77" s="24">
        <v>0</v>
      </c>
      <c r="BB77" s="24">
        <v>667</v>
      </c>
      <c r="BC77" s="24">
        <v>967</v>
      </c>
      <c r="BD77" s="24">
        <v>200</v>
      </c>
      <c r="BE77" s="24">
        <v>200</v>
      </c>
      <c r="BF77" s="24">
        <v>1</v>
      </c>
      <c r="BG77" s="25">
        <v>1</v>
      </c>
      <c r="BH77" s="24">
        <v>1</v>
      </c>
      <c r="BI77" s="24">
        <v>0</v>
      </c>
      <c r="BJ77" s="24">
        <v>0</v>
      </c>
      <c r="BK77" s="24">
        <v>0</v>
      </c>
      <c r="BL77" s="25">
        <v>126</v>
      </c>
      <c r="BM77" s="24">
        <v>0</v>
      </c>
      <c r="BO77" s="25">
        <v>16</v>
      </c>
      <c r="BP77" s="24">
        <v>6</v>
      </c>
      <c r="BQ77" s="24">
        <v>0</v>
      </c>
      <c r="BR77" s="24">
        <v>3</v>
      </c>
      <c r="BS77" s="24">
        <v>1</v>
      </c>
      <c r="BT77" s="24">
        <v>60</v>
      </c>
      <c r="BU77" s="24">
        <v>120</v>
      </c>
      <c r="BV77" s="24">
        <v>6</v>
      </c>
      <c r="BW77" s="24">
        <v>0</v>
      </c>
      <c r="BX77" s="24">
        <v>4</v>
      </c>
      <c r="BZ77" s="24">
        <v>-1</v>
      </c>
      <c r="CA77" s="24">
        <v>0</v>
      </c>
      <c r="CB77" s="24">
        <v>0</v>
      </c>
      <c r="CC77" s="24">
        <v>0</v>
      </c>
      <c r="CD77" s="24">
        <v>0</v>
      </c>
      <c r="CE77" s="24">
        <v>0</v>
      </c>
      <c r="CG77" s="24">
        <v>-1</v>
      </c>
      <c r="CH77" s="24">
        <v>0</v>
      </c>
      <c r="CI77" s="24">
        <v>0</v>
      </c>
      <c r="CJ77" s="24">
        <v>0</v>
      </c>
      <c r="CK77" s="24">
        <v>0</v>
      </c>
      <c r="CL77" s="24">
        <v>0</v>
      </c>
      <c r="CM77" s="24">
        <v>-1</v>
      </c>
      <c r="CN77" s="24">
        <v>0</v>
      </c>
      <c r="CO77" s="24">
        <v>0</v>
      </c>
      <c r="CQ77" s="24">
        <v>0.18257999999999999</v>
      </c>
      <c r="CR77" s="24">
        <v>0</v>
      </c>
      <c r="CS77" s="24">
        <v>0</v>
      </c>
      <c r="CT77" s="24">
        <v>0</v>
      </c>
      <c r="CV77" s="24">
        <v>100505</v>
      </c>
      <c r="CW77" s="24">
        <v>17</v>
      </c>
      <c r="CX77" s="24">
        <v>5008</v>
      </c>
      <c r="CY77" s="26">
        <v>2</v>
      </c>
      <c r="CZ77" s="24">
        <v>10</v>
      </c>
      <c r="DA77" s="24">
        <v>0</v>
      </c>
      <c r="DC77" s="24">
        <v>1</v>
      </c>
      <c r="DD77" s="24">
        <v>1</v>
      </c>
      <c r="DE77" s="24">
        <v>0</v>
      </c>
      <c r="DF77" s="24">
        <v>0</v>
      </c>
      <c r="DG77" s="24">
        <v>-1</v>
      </c>
      <c r="DI77" s="24">
        <v>0</v>
      </c>
      <c r="DJ77" s="24">
        <v>0</v>
      </c>
      <c r="DL77" s="24">
        <v>5415</v>
      </c>
      <c r="DM77" s="24">
        <v>2</v>
      </c>
      <c r="DO77" s="24">
        <v>0</v>
      </c>
      <c r="DP77" s="24">
        <v>0</v>
      </c>
      <c r="DQ77" s="24">
        <v>0</v>
      </c>
      <c r="DR77" s="24">
        <v>0</v>
      </c>
      <c r="DS77" s="24">
        <v>0</v>
      </c>
      <c r="DT77" s="24">
        <v>0</v>
      </c>
      <c r="DV77" s="24">
        <v>0</v>
      </c>
      <c r="DW77" s="24">
        <v>0</v>
      </c>
      <c r="DX77" s="24">
        <v>0</v>
      </c>
      <c r="DY77" s="24">
        <v>0</v>
      </c>
      <c r="DZ77" s="24">
        <v>0</v>
      </c>
    </row>
    <row r="78" spans="1:130">
      <c r="A78" s="24" t="s">
        <v>142</v>
      </c>
      <c r="B78" s="24" t="s">
        <v>142</v>
      </c>
      <c r="C78" s="24" t="s">
        <v>142</v>
      </c>
      <c r="D78" s="24" t="s">
        <v>142</v>
      </c>
      <c r="E78" s="24">
        <v>5417</v>
      </c>
      <c r="F78" s="24" t="s">
        <v>719</v>
      </c>
      <c r="G78" s="24">
        <v>0</v>
      </c>
      <c r="H78" s="24">
        <v>505417</v>
      </c>
      <c r="I78" s="24" t="s">
        <v>719</v>
      </c>
      <c r="J78" s="24" t="s">
        <v>719</v>
      </c>
      <c r="K78" s="24" t="s">
        <v>473</v>
      </c>
      <c r="M78" s="24">
        <v>102</v>
      </c>
      <c r="N78" s="24">
        <v>0</v>
      </c>
      <c r="P78" s="25">
        <v>2</v>
      </c>
      <c r="Q78" s="25">
        <v>2228224</v>
      </c>
      <c r="R78" s="24">
        <v>5415</v>
      </c>
      <c r="S78" s="25">
        <v>2</v>
      </c>
      <c r="T78" s="24"/>
      <c r="U78" s="24">
        <v>0</v>
      </c>
      <c r="V78" s="25">
        <v>0</v>
      </c>
      <c r="W78" s="24">
        <v>0</v>
      </c>
      <c r="X78" s="24">
        <v>0</v>
      </c>
      <c r="Y78" s="24">
        <v>0</v>
      </c>
      <c r="Z78" s="24">
        <v>0</v>
      </c>
      <c r="AB78" s="24">
        <v>10001</v>
      </c>
      <c r="AC78" s="24">
        <v>-1</v>
      </c>
      <c r="AD78" s="24">
        <v>-1</v>
      </c>
      <c r="AE78" s="24">
        <v>-1</v>
      </c>
      <c r="AG78" s="24">
        <v>1</v>
      </c>
      <c r="AH78" s="24">
        <v>0</v>
      </c>
      <c r="AI78" s="24">
        <v>0</v>
      </c>
      <c r="AJ78" s="24">
        <v>0</v>
      </c>
      <c r="AK78" s="24">
        <v>0</v>
      </c>
      <c r="AL78" s="24">
        <v>0</v>
      </c>
      <c r="AM78" s="24">
        <v>0</v>
      </c>
      <c r="AN78" s="24">
        <v>0</v>
      </c>
      <c r="AO78" s="24">
        <v>0</v>
      </c>
      <c r="AP78" s="24">
        <v>0</v>
      </c>
      <c r="AQ78" s="24">
        <v>0</v>
      </c>
      <c r="AR78" s="24">
        <v>0</v>
      </c>
      <c r="AS78" s="24">
        <v>0</v>
      </c>
      <c r="AT78" s="24">
        <v>0</v>
      </c>
      <c r="AU78" s="24">
        <v>0</v>
      </c>
      <c r="AV78" s="24">
        <v>0</v>
      </c>
      <c r="AW78" s="24">
        <v>0</v>
      </c>
      <c r="AX78" s="24">
        <v>0</v>
      </c>
      <c r="AY78" s="24">
        <v>0</v>
      </c>
      <c r="BA78" s="24">
        <v>0</v>
      </c>
      <c r="BB78" s="24">
        <v>2033</v>
      </c>
      <c r="BC78" s="24">
        <v>3233</v>
      </c>
      <c r="BD78" s="24">
        <v>720</v>
      </c>
      <c r="BE78" s="24">
        <v>720</v>
      </c>
      <c r="BF78" s="24">
        <v>1</v>
      </c>
      <c r="BG78" s="25">
        <v>1</v>
      </c>
      <c r="BH78" s="24">
        <v>1</v>
      </c>
      <c r="BI78" s="24">
        <v>0</v>
      </c>
      <c r="BJ78" s="24">
        <v>0</v>
      </c>
      <c r="BK78" s="24">
        <v>0</v>
      </c>
      <c r="BL78" s="25">
        <v>126</v>
      </c>
      <c r="BM78" s="24">
        <v>0</v>
      </c>
      <c r="BO78" s="25">
        <v>16</v>
      </c>
      <c r="BP78" s="24">
        <v>6</v>
      </c>
      <c r="BQ78" s="24">
        <v>0</v>
      </c>
      <c r="BR78" s="24">
        <v>3</v>
      </c>
      <c r="BS78" s="24">
        <v>1</v>
      </c>
      <c r="BT78" s="24">
        <v>60</v>
      </c>
      <c r="BU78" s="24">
        <v>120</v>
      </c>
      <c r="BV78" s="24">
        <v>6</v>
      </c>
      <c r="BW78" s="24">
        <v>0</v>
      </c>
      <c r="BX78" s="24">
        <v>4</v>
      </c>
      <c r="BZ78" s="24">
        <v>-1</v>
      </c>
      <c r="CA78" s="24">
        <v>0</v>
      </c>
      <c r="CB78" s="24">
        <v>0</v>
      </c>
      <c r="CC78" s="24">
        <v>0</v>
      </c>
      <c r="CD78" s="24">
        <v>0</v>
      </c>
      <c r="CE78" s="24">
        <v>0</v>
      </c>
      <c r="CG78" s="24">
        <v>-1</v>
      </c>
      <c r="CH78" s="24">
        <v>0</v>
      </c>
      <c r="CI78" s="24">
        <v>0</v>
      </c>
      <c r="CJ78" s="24">
        <v>0</v>
      </c>
      <c r="CK78" s="24">
        <v>0</v>
      </c>
      <c r="CL78" s="24">
        <v>0</v>
      </c>
      <c r="CM78" s="24">
        <v>-1</v>
      </c>
      <c r="CN78" s="24">
        <v>0</v>
      </c>
      <c r="CO78" s="24">
        <v>0</v>
      </c>
      <c r="CQ78" s="24">
        <v>1.60436</v>
      </c>
      <c r="CR78" s="24">
        <v>0</v>
      </c>
      <c r="CS78" s="24">
        <v>0</v>
      </c>
      <c r="CT78" s="24">
        <v>0</v>
      </c>
      <c r="CV78" s="24">
        <v>100506</v>
      </c>
      <c r="CW78" s="24">
        <v>17</v>
      </c>
      <c r="CX78" s="24">
        <v>5009</v>
      </c>
      <c r="CY78" s="26">
        <v>3</v>
      </c>
      <c r="CZ78" s="24">
        <v>10</v>
      </c>
      <c r="DA78" s="24">
        <v>0</v>
      </c>
      <c r="DC78" s="24">
        <v>1</v>
      </c>
      <c r="DD78" s="24">
        <v>1</v>
      </c>
      <c r="DE78" s="24">
        <v>0</v>
      </c>
      <c r="DF78" s="24">
        <v>0</v>
      </c>
      <c r="DG78" s="24">
        <v>-1</v>
      </c>
      <c r="DI78" s="24">
        <v>0</v>
      </c>
      <c r="DJ78" s="24">
        <v>0</v>
      </c>
      <c r="DL78" s="24">
        <v>5415</v>
      </c>
      <c r="DM78" s="24">
        <v>3</v>
      </c>
      <c r="DO78" s="24">
        <v>0</v>
      </c>
      <c r="DP78" s="24">
        <v>0</v>
      </c>
      <c r="DQ78" s="24">
        <v>0</v>
      </c>
      <c r="DR78" s="24">
        <v>0</v>
      </c>
      <c r="DS78" s="24">
        <v>0</v>
      </c>
      <c r="DT78" s="24">
        <v>0</v>
      </c>
      <c r="DV78" s="24">
        <v>0</v>
      </c>
      <c r="DW78" s="24">
        <v>0</v>
      </c>
      <c r="DX78" s="24">
        <v>0</v>
      </c>
      <c r="DY78" s="24">
        <v>0</v>
      </c>
      <c r="DZ78" s="24">
        <v>0</v>
      </c>
    </row>
    <row r="79" spans="1:130">
      <c r="A79" s="24" t="s">
        <v>142</v>
      </c>
      <c r="B79" s="24" t="s">
        <v>142</v>
      </c>
      <c r="C79" s="24" t="s">
        <v>142</v>
      </c>
      <c r="D79" s="24" t="s">
        <v>142</v>
      </c>
      <c r="E79" s="24">
        <v>5418</v>
      </c>
      <c r="F79" s="24" t="s">
        <v>726</v>
      </c>
      <c r="G79" s="24">
        <v>0</v>
      </c>
      <c r="H79" s="24">
        <v>505418</v>
      </c>
      <c r="I79" s="24" t="s">
        <v>726</v>
      </c>
      <c r="J79" s="24" t="s">
        <v>726</v>
      </c>
      <c r="K79" s="24" t="s">
        <v>473</v>
      </c>
      <c r="M79" s="24">
        <v>0</v>
      </c>
      <c r="N79" s="24">
        <v>0</v>
      </c>
      <c r="P79" s="25">
        <v>16</v>
      </c>
      <c r="Q79" s="25">
        <v>0</v>
      </c>
      <c r="R79" s="24">
        <v>0</v>
      </c>
      <c r="S79" s="25">
        <v>0</v>
      </c>
      <c r="T79" s="24"/>
      <c r="U79" s="24">
        <v>0</v>
      </c>
      <c r="V79" s="25">
        <v>0</v>
      </c>
      <c r="W79" s="24">
        <v>0</v>
      </c>
      <c r="X79" s="24">
        <v>0</v>
      </c>
      <c r="Y79" s="24">
        <v>0</v>
      </c>
      <c r="Z79" s="24">
        <v>0</v>
      </c>
      <c r="AB79" s="24">
        <v>10001</v>
      </c>
      <c r="AC79" s="24">
        <v>-1</v>
      </c>
      <c r="AD79" s="24">
        <v>-1</v>
      </c>
      <c r="AE79" s="24">
        <v>-1</v>
      </c>
      <c r="AG79" s="24">
        <v>1</v>
      </c>
      <c r="AH79" s="24">
        <v>0</v>
      </c>
      <c r="AI79" s="24">
        <v>0</v>
      </c>
      <c r="AJ79" s="24">
        <v>0</v>
      </c>
      <c r="AK79" s="24">
        <v>0</v>
      </c>
      <c r="AL79" s="24">
        <v>0</v>
      </c>
      <c r="AM79" s="24">
        <v>0</v>
      </c>
      <c r="AN79" s="24">
        <v>0</v>
      </c>
      <c r="AO79" s="24">
        <v>0</v>
      </c>
      <c r="AP79" s="24">
        <v>0</v>
      </c>
      <c r="AQ79" s="24">
        <v>0</v>
      </c>
      <c r="AR79" s="24">
        <v>0</v>
      </c>
      <c r="AS79" s="24">
        <v>0</v>
      </c>
      <c r="AT79" s="24">
        <v>0</v>
      </c>
      <c r="AU79" s="24">
        <v>0</v>
      </c>
      <c r="AV79" s="24">
        <v>0</v>
      </c>
      <c r="AW79" s="24">
        <v>0</v>
      </c>
      <c r="AX79" s="24">
        <v>0</v>
      </c>
      <c r="AY79" s="24">
        <v>0</v>
      </c>
      <c r="BA79" s="24">
        <v>0</v>
      </c>
      <c r="BB79" s="24">
        <v>0</v>
      </c>
      <c r="BC79" s="24">
        <v>0</v>
      </c>
      <c r="BD79" s="24">
        <v>3000</v>
      </c>
      <c r="BE79" s="24">
        <v>3000</v>
      </c>
      <c r="BF79" s="24">
        <v>5</v>
      </c>
      <c r="BG79" s="25">
        <v>512</v>
      </c>
      <c r="BH79" s="24">
        <v>13</v>
      </c>
      <c r="BI79" s="24">
        <v>5</v>
      </c>
      <c r="BJ79" s="24">
        <v>1</v>
      </c>
      <c r="BK79" s="24">
        <v>-1</v>
      </c>
      <c r="BL79" s="25">
        <v>126</v>
      </c>
      <c r="BM79" s="24">
        <v>0</v>
      </c>
      <c r="BO79" s="25">
        <v>1</v>
      </c>
      <c r="BP79" s="24">
        <v>0</v>
      </c>
      <c r="BQ79" s="24">
        <v>0</v>
      </c>
      <c r="BR79" s="24">
        <v>1</v>
      </c>
      <c r="BS79" s="24">
        <v>0</v>
      </c>
      <c r="BT79" s="24">
        <v>0</v>
      </c>
      <c r="BU79" s="24">
        <v>0</v>
      </c>
      <c r="BV79" s="24">
        <v>0</v>
      </c>
      <c r="BW79" s="24">
        <v>0</v>
      </c>
      <c r="BX79" s="24">
        <v>1</v>
      </c>
      <c r="BZ79" s="24">
        <v>-1</v>
      </c>
      <c r="CA79" s="24">
        <v>0</v>
      </c>
      <c r="CB79" s="24">
        <v>0</v>
      </c>
      <c r="CC79" s="24">
        <v>0</v>
      </c>
      <c r="CD79" s="24">
        <v>0</v>
      </c>
      <c r="CE79" s="24">
        <v>0</v>
      </c>
      <c r="CG79" s="24">
        <v>-1</v>
      </c>
      <c r="CH79" s="24">
        <v>0</v>
      </c>
      <c r="CI79" s="24">
        <v>0</v>
      </c>
      <c r="CJ79" s="24">
        <v>0</v>
      </c>
      <c r="CK79" s="24">
        <v>0</v>
      </c>
      <c r="CL79" s="24">
        <v>0</v>
      </c>
      <c r="CM79" s="24">
        <v>0</v>
      </c>
      <c r="CN79" s="24">
        <v>0</v>
      </c>
      <c r="CO79" s="24">
        <v>0</v>
      </c>
      <c r="CQ79" s="24">
        <v>0</v>
      </c>
      <c r="CR79" s="24">
        <v>0</v>
      </c>
      <c r="CS79" s="24">
        <v>0</v>
      </c>
      <c r="CT79" s="24">
        <v>0</v>
      </c>
      <c r="CV79" s="24">
        <v>0</v>
      </c>
      <c r="CW79" s="24">
        <v>0</v>
      </c>
      <c r="CX79" s="24">
        <v>-1</v>
      </c>
      <c r="CY79" s="26">
        <v>0</v>
      </c>
      <c r="CZ79" s="24">
        <v>0</v>
      </c>
      <c r="DA79" s="24">
        <v>0</v>
      </c>
      <c r="DC79" s="24">
        <v>0</v>
      </c>
      <c r="DD79" s="24">
        <v>0</v>
      </c>
      <c r="DE79" s="24">
        <v>0</v>
      </c>
      <c r="DF79" s="24">
        <v>0</v>
      </c>
      <c r="DG79" s="24">
        <v>-1</v>
      </c>
      <c r="DI79" s="24">
        <v>0</v>
      </c>
      <c r="DJ79" s="24">
        <v>0</v>
      </c>
      <c r="DL79" s="24">
        <v>0</v>
      </c>
      <c r="DM79" s="24">
        <v>0</v>
      </c>
      <c r="DO79" s="24">
        <v>0</v>
      </c>
      <c r="DP79" s="24">
        <v>0</v>
      </c>
      <c r="DQ79" s="24">
        <v>0</v>
      </c>
      <c r="DR79" s="24">
        <v>0</v>
      </c>
      <c r="DS79" s="24">
        <v>0</v>
      </c>
      <c r="DT79" s="24">
        <v>0</v>
      </c>
      <c r="DV79" s="24">
        <v>0</v>
      </c>
      <c r="DW79" s="24">
        <v>0</v>
      </c>
      <c r="DX79" s="24">
        <v>0</v>
      </c>
      <c r="DY79" s="24">
        <v>0</v>
      </c>
      <c r="DZ79" s="24">
        <v>0</v>
      </c>
    </row>
    <row r="80" spans="1:130">
      <c r="A80" s="24" t="s">
        <v>142</v>
      </c>
      <c r="B80" s="24" t="s">
        <v>142</v>
      </c>
      <c r="C80" s="24" t="s">
        <v>142</v>
      </c>
      <c r="D80" s="24" t="s">
        <v>142</v>
      </c>
      <c r="E80" s="24">
        <v>5419</v>
      </c>
      <c r="F80" s="24" t="s">
        <v>913</v>
      </c>
      <c r="G80" s="24">
        <v>0</v>
      </c>
      <c r="H80" s="24">
        <v>505419</v>
      </c>
      <c r="I80" s="24" t="s">
        <v>913</v>
      </c>
      <c r="J80" s="24" t="s">
        <v>913</v>
      </c>
      <c r="K80" s="24" t="s">
        <v>473</v>
      </c>
      <c r="M80" s="24">
        <v>0</v>
      </c>
      <c r="N80" s="24">
        <v>0</v>
      </c>
      <c r="P80" s="25">
        <v>28</v>
      </c>
      <c r="Q80" s="25">
        <v>64</v>
      </c>
      <c r="R80" s="24">
        <v>5415</v>
      </c>
      <c r="S80" s="25">
        <v>0</v>
      </c>
      <c r="T80" s="24"/>
      <c r="U80" s="24">
        <v>8</v>
      </c>
      <c r="V80" s="25">
        <v>4116</v>
      </c>
      <c r="W80" s="24">
        <v>1</v>
      </c>
      <c r="X80" s="24">
        <v>2</v>
      </c>
      <c r="Y80" s="24">
        <v>0</v>
      </c>
      <c r="Z80" s="24">
        <v>1000</v>
      </c>
      <c r="AB80" s="24">
        <v>30003</v>
      </c>
      <c r="AC80" s="24">
        <v>-1</v>
      </c>
      <c r="AD80" s="24">
        <v>-1</v>
      </c>
      <c r="AE80" s="24">
        <v>-1</v>
      </c>
      <c r="AG80" s="24">
        <v>1</v>
      </c>
      <c r="AH80" s="24">
        <v>0</v>
      </c>
      <c r="AI80" s="24">
        <v>0</v>
      </c>
      <c r="AJ80" s="24">
        <v>0</v>
      </c>
      <c r="AK80" s="24">
        <v>0</v>
      </c>
      <c r="AL80" s="24">
        <v>0</v>
      </c>
      <c r="AM80" s="24">
        <v>0</v>
      </c>
      <c r="AN80" s="24">
        <v>0</v>
      </c>
      <c r="AO80" s="24">
        <v>0</v>
      </c>
      <c r="AP80" s="24">
        <v>0</v>
      </c>
      <c r="AQ80" s="24">
        <v>0</v>
      </c>
      <c r="AR80" s="24">
        <v>0</v>
      </c>
      <c r="AS80" s="24">
        <v>0</v>
      </c>
      <c r="AT80" s="24">
        <v>0</v>
      </c>
      <c r="AU80" s="24">
        <v>0</v>
      </c>
      <c r="AV80" s="24">
        <v>0</v>
      </c>
      <c r="AW80" s="24">
        <v>0</v>
      </c>
      <c r="AX80" s="24">
        <v>0</v>
      </c>
      <c r="AY80" s="24">
        <v>0</v>
      </c>
      <c r="BA80" s="24">
        <v>0</v>
      </c>
      <c r="BB80" s="24">
        <v>0</v>
      </c>
      <c r="BC80" s="24">
        <v>0</v>
      </c>
      <c r="BD80" s="24">
        <v>0</v>
      </c>
      <c r="BE80" s="24">
        <v>0</v>
      </c>
      <c r="BF80" s="24">
        <v>1</v>
      </c>
      <c r="BG80" s="25">
        <v>512</v>
      </c>
      <c r="BH80" s="24">
        <v>0</v>
      </c>
      <c r="BI80" s="24">
        <v>1</v>
      </c>
      <c r="BJ80" s="24">
        <v>0</v>
      </c>
      <c r="BK80" s="24">
        <v>0</v>
      </c>
      <c r="BL80" s="25">
        <v>126</v>
      </c>
      <c r="BM80" s="24">
        <v>0</v>
      </c>
      <c r="BO80" s="25">
        <v>1</v>
      </c>
      <c r="BP80" s="24">
        <v>0</v>
      </c>
      <c r="BQ80" s="24">
        <v>0</v>
      </c>
      <c r="BR80" s="24">
        <v>1</v>
      </c>
      <c r="BS80" s="24">
        <v>0</v>
      </c>
      <c r="BT80" s="24">
        <v>0</v>
      </c>
      <c r="BU80" s="24">
        <v>0</v>
      </c>
      <c r="BV80" s="24">
        <v>0</v>
      </c>
      <c r="BW80" s="24">
        <v>0</v>
      </c>
      <c r="BX80" s="24">
        <v>1</v>
      </c>
      <c r="BZ80" s="24">
        <v>-1</v>
      </c>
      <c r="CA80" s="24">
        <v>0</v>
      </c>
      <c r="CB80" s="24">
        <v>0</v>
      </c>
      <c r="CC80" s="24">
        <v>0</v>
      </c>
      <c r="CD80" s="24">
        <v>0</v>
      </c>
      <c r="CE80" s="24">
        <v>0</v>
      </c>
      <c r="CG80" s="24">
        <v>-1</v>
      </c>
      <c r="CH80" s="24">
        <v>0</v>
      </c>
      <c r="CI80" s="24">
        <v>0</v>
      </c>
      <c r="CJ80" s="24">
        <v>0</v>
      </c>
      <c r="CK80" s="24">
        <v>0</v>
      </c>
      <c r="CL80" s="24">
        <v>0</v>
      </c>
      <c r="CM80" s="24">
        <v>0</v>
      </c>
      <c r="CN80" s="24">
        <v>0</v>
      </c>
      <c r="CO80" s="24">
        <v>0</v>
      </c>
      <c r="CQ80" s="24">
        <v>0</v>
      </c>
      <c r="CR80" s="24">
        <v>0</v>
      </c>
      <c r="CS80" s="24">
        <v>0</v>
      </c>
      <c r="CT80" s="24">
        <v>0</v>
      </c>
      <c r="CV80" s="24">
        <v>0</v>
      </c>
      <c r="CW80" s="24">
        <v>0</v>
      </c>
      <c r="CX80" s="24">
        <v>-1</v>
      </c>
      <c r="CY80" s="26">
        <v>0</v>
      </c>
      <c r="CZ80" s="24">
        <v>0</v>
      </c>
      <c r="DA80" s="24">
        <v>0</v>
      </c>
      <c r="DC80" s="24">
        <v>0</v>
      </c>
      <c r="DD80" s="24">
        <v>0</v>
      </c>
      <c r="DE80" s="24">
        <v>0</v>
      </c>
      <c r="DF80" s="24">
        <v>0</v>
      </c>
      <c r="DG80" s="24">
        <v>-1</v>
      </c>
      <c r="DI80" s="24">
        <v>0</v>
      </c>
      <c r="DJ80" s="24">
        <v>0</v>
      </c>
      <c r="DL80" s="24">
        <v>0</v>
      </c>
      <c r="DM80" s="24">
        <v>0</v>
      </c>
      <c r="DO80" s="24">
        <v>0</v>
      </c>
      <c r="DP80" s="24">
        <v>0</v>
      </c>
      <c r="DQ80" s="24">
        <v>0</v>
      </c>
      <c r="DR80" s="24">
        <v>0</v>
      </c>
      <c r="DS80" s="24">
        <v>0</v>
      </c>
      <c r="DT80" s="24">
        <v>0</v>
      </c>
      <c r="DV80" s="24">
        <v>0</v>
      </c>
      <c r="DW80" s="24">
        <v>0</v>
      </c>
      <c r="DX80" s="24">
        <v>0</v>
      </c>
      <c r="DY80" s="24">
        <v>0</v>
      </c>
      <c r="DZ80" s="24">
        <v>0</v>
      </c>
    </row>
    <row r="81" spans="1:130">
      <c r="A81" s="24" t="s">
        <v>142</v>
      </c>
      <c r="B81" s="24" t="s">
        <v>142</v>
      </c>
      <c r="C81" s="24" t="s">
        <v>142</v>
      </c>
      <c r="D81" s="24" t="s">
        <v>142</v>
      </c>
      <c r="E81" s="24">
        <v>5420</v>
      </c>
      <c r="F81" s="24" t="s">
        <v>916</v>
      </c>
      <c r="G81" s="24">
        <v>0</v>
      </c>
      <c r="H81" s="24">
        <v>505420</v>
      </c>
      <c r="I81" s="24" t="s">
        <v>916</v>
      </c>
      <c r="J81" s="24" t="s">
        <v>916</v>
      </c>
      <c r="K81" s="24" t="s">
        <v>473</v>
      </c>
      <c r="M81" s="24">
        <v>0</v>
      </c>
      <c r="N81" s="24">
        <v>0</v>
      </c>
      <c r="P81" s="25">
        <v>28</v>
      </c>
      <c r="Q81" s="25">
        <v>64</v>
      </c>
      <c r="R81" s="24">
        <v>5415</v>
      </c>
      <c r="S81" s="25">
        <v>0</v>
      </c>
      <c r="T81" s="24"/>
      <c r="U81" s="24">
        <v>8</v>
      </c>
      <c r="V81" s="25">
        <v>4116</v>
      </c>
      <c r="W81" s="24">
        <v>1</v>
      </c>
      <c r="X81" s="24">
        <v>2</v>
      </c>
      <c r="Y81" s="24">
        <v>0</v>
      </c>
      <c r="Z81" s="24">
        <v>1000</v>
      </c>
      <c r="AB81" s="24">
        <v>30003</v>
      </c>
      <c r="AC81" s="24">
        <v>-1</v>
      </c>
      <c r="AD81" s="24">
        <v>-1</v>
      </c>
      <c r="AE81" s="24">
        <v>-1</v>
      </c>
      <c r="AG81" s="24">
        <v>1</v>
      </c>
      <c r="AH81" s="24">
        <v>0</v>
      </c>
      <c r="AI81" s="24">
        <v>0</v>
      </c>
      <c r="AJ81" s="24">
        <v>0</v>
      </c>
      <c r="AK81" s="24">
        <v>0</v>
      </c>
      <c r="AL81" s="24">
        <v>0</v>
      </c>
      <c r="AM81" s="24">
        <v>0</v>
      </c>
      <c r="AN81" s="24">
        <v>0</v>
      </c>
      <c r="AO81" s="24">
        <v>0</v>
      </c>
      <c r="AP81" s="24">
        <v>0</v>
      </c>
      <c r="AQ81" s="24">
        <v>0</v>
      </c>
      <c r="AR81" s="24">
        <v>0</v>
      </c>
      <c r="AS81" s="24">
        <v>0</v>
      </c>
      <c r="AT81" s="24">
        <v>0</v>
      </c>
      <c r="AU81" s="24">
        <v>0</v>
      </c>
      <c r="AV81" s="24">
        <v>0</v>
      </c>
      <c r="AW81" s="24">
        <v>0</v>
      </c>
      <c r="AX81" s="24">
        <v>0</v>
      </c>
      <c r="AY81" s="24">
        <v>0</v>
      </c>
      <c r="BA81" s="24">
        <v>0</v>
      </c>
      <c r="BB81" s="24">
        <v>0</v>
      </c>
      <c r="BC81" s="24">
        <v>0</v>
      </c>
      <c r="BD81" s="24">
        <v>0</v>
      </c>
      <c r="BE81" s="24">
        <v>0</v>
      </c>
      <c r="BF81" s="24">
        <v>1</v>
      </c>
      <c r="BG81" s="25">
        <v>512</v>
      </c>
      <c r="BH81" s="24">
        <v>0</v>
      </c>
      <c r="BI81" s="24">
        <v>1</v>
      </c>
      <c r="BJ81" s="24">
        <v>0</v>
      </c>
      <c r="BK81" s="24">
        <v>200</v>
      </c>
      <c r="BL81" s="25">
        <v>126</v>
      </c>
      <c r="BM81" s="24">
        <v>0</v>
      </c>
      <c r="BO81" s="25">
        <v>1</v>
      </c>
      <c r="BP81" s="24">
        <v>0</v>
      </c>
      <c r="BQ81" s="24">
        <v>0</v>
      </c>
      <c r="BR81" s="24">
        <v>1</v>
      </c>
      <c r="BS81" s="24">
        <v>0</v>
      </c>
      <c r="BT81" s="24">
        <v>0</v>
      </c>
      <c r="BU81" s="24">
        <v>0</v>
      </c>
      <c r="BV81" s="24">
        <v>0</v>
      </c>
      <c r="BW81" s="24">
        <v>0</v>
      </c>
      <c r="BX81" s="24">
        <v>1</v>
      </c>
      <c r="BZ81" s="24">
        <v>-1</v>
      </c>
      <c r="CA81" s="24">
        <v>0</v>
      </c>
      <c r="CB81" s="24">
        <v>0</v>
      </c>
      <c r="CC81" s="24">
        <v>0</v>
      </c>
      <c r="CD81" s="24">
        <v>0</v>
      </c>
      <c r="CE81" s="24">
        <v>0</v>
      </c>
      <c r="CG81" s="24">
        <v>-1</v>
      </c>
      <c r="CH81" s="24">
        <v>0</v>
      </c>
      <c r="CI81" s="24">
        <v>0</v>
      </c>
      <c r="CJ81" s="24">
        <v>0</v>
      </c>
      <c r="CK81" s="24">
        <v>0</v>
      </c>
      <c r="CL81" s="24">
        <v>0</v>
      </c>
      <c r="CM81" s="24">
        <v>0</v>
      </c>
      <c r="CN81" s="24">
        <v>0</v>
      </c>
      <c r="CO81" s="24">
        <v>0</v>
      </c>
      <c r="CQ81" s="24">
        <v>0</v>
      </c>
      <c r="CR81" s="24">
        <v>0</v>
      </c>
      <c r="CS81" s="24">
        <v>0</v>
      </c>
      <c r="CT81" s="24">
        <v>0</v>
      </c>
      <c r="CV81" s="24">
        <v>0</v>
      </c>
      <c r="CW81" s="24">
        <v>0</v>
      </c>
      <c r="CX81" s="24">
        <v>-1</v>
      </c>
      <c r="CY81" s="26">
        <v>0</v>
      </c>
      <c r="CZ81" s="24">
        <v>0</v>
      </c>
      <c r="DA81" s="24">
        <v>0</v>
      </c>
      <c r="DC81" s="24">
        <v>0</v>
      </c>
      <c r="DD81" s="24">
        <v>0</v>
      </c>
      <c r="DE81" s="24">
        <v>0</v>
      </c>
      <c r="DF81" s="24">
        <v>0</v>
      </c>
      <c r="DG81" s="24">
        <v>-1</v>
      </c>
      <c r="DI81" s="24">
        <v>0</v>
      </c>
      <c r="DJ81" s="24">
        <v>0</v>
      </c>
      <c r="DL81" s="24">
        <v>0</v>
      </c>
      <c r="DM81" s="24">
        <v>0</v>
      </c>
      <c r="DO81" s="24">
        <v>0</v>
      </c>
      <c r="DP81" s="24">
        <v>0</v>
      </c>
      <c r="DQ81" s="24">
        <v>0</v>
      </c>
      <c r="DR81" s="24">
        <v>0</v>
      </c>
      <c r="DS81" s="24">
        <v>0</v>
      </c>
      <c r="DT81" s="24">
        <v>0</v>
      </c>
      <c r="DV81" s="24">
        <v>0</v>
      </c>
      <c r="DW81" s="24">
        <v>0</v>
      </c>
      <c r="DX81" s="24">
        <v>0</v>
      </c>
      <c r="DY81" s="24">
        <v>0</v>
      </c>
      <c r="DZ81" s="24">
        <v>0</v>
      </c>
    </row>
    <row r="82" spans="1:130">
      <c r="A82" s="24" t="s">
        <v>142</v>
      </c>
      <c r="B82" s="24" t="s">
        <v>142</v>
      </c>
      <c r="C82" s="24" t="s">
        <v>142</v>
      </c>
      <c r="D82" s="24" t="s">
        <v>142</v>
      </c>
      <c r="E82" s="24">
        <v>5421</v>
      </c>
      <c r="F82" s="24" t="s">
        <v>914</v>
      </c>
      <c r="G82" s="24">
        <v>0</v>
      </c>
      <c r="H82" s="24">
        <v>505421</v>
      </c>
      <c r="I82" s="24" t="s">
        <v>914</v>
      </c>
      <c r="J82" s="24" t="s">
        <v>914</v>
      </c>
      <c r="K82" s="24" t="s">
        <v>473</v>
      </c>
      <c r="M82" s="24">
        <v>0</v>
      </c>
      <c r="N82" s="24">
        <v>0</v>
      </c>
      <c r="P82" s="25">
        <v>28</v>
      </c>
      <c r="Q82" s="25">
        <v>64</v>
      </c>
      <c r="R82" s="24">
        <v>5415</v>
      </c>
      <c r="S82" s="25">
        <v>0</v>
      </c>
      <c r="T82" s="24"/>
      <c r="U82" s="24">
        <v>8</v>
      </c>
      <c r="V82" s="25">
        <v>4116</v>
      </c>
      <c r="W82" s="24">
        <v>1</v>
      </c>
      <c r="X82" s="24">
        <v>2</v>
      </c>
      <c r="Y82" s="24">
        <v>0</v>
      </c>
      <c r="Z82" s="24">
        <v>1000</v>
      </c>
      <c r="AB82" s="24">
        <v>30003</v>
      </c>
      <c r="AC82" s="24">
        <v>-1</v>
      </c>
      <c r="AD82" s="24">
        <v>-1</v>
      </c>
      <c r="AE82" s="24">
        <v>-1</v>
      </c>
      <c r="AG82" s="24">
        <v>1</v>
      </c>
      <c r="AH82" s="24">
        <v>0</v>
      </c>
      <c r="AI82" s="24">
        <v>0</v>
      </c>
      <c r="AJ82" s="24">
        <v>0</v>
      </c>
      <c r="AK82" s="24">
        <v>0</v>
      </c>
      <c r="AL82" s="24">
        <v>0</v>
      </c>
      <c r="AM82" s="24">
        <v>0</v>
      </c>
      <c r="AN82" s="24">
        <v>0</v>
      </c>
      <c r="AO82" s="24">
        <v>0</v>
      </c>
      <c r="AP82" s="24">
        <v>0</v>
      </c>
      <c r="AQ82" s="24">
        <v>0</v>
      </c>
      <c r="AR82" s="24">
        <v>0</v>
      </c>
      <c r="AS82" s="24">
        <v>0</v>
      </c>
      <c r="AT82" s="24">
        <v>0</v>
      </c>
      <c r="AU82" s="24">
        <v>0</v>
      </c>
      <c r="AV82" s="24">
        <v>0</v>
      </c>
      <c r="AW82" s="24">
        <v>0</v>
      </c>
      <c r="AX82" s="24">
        <v>0</v>
      </c>
      <c r="AY82" s="24">
        <v>0</v>
      </c>
      <c r="BA82" s="24">
        <v>0</v>
      </c>
      <c r="BB82" s="24">
        <v>0</v>
      </c>
      <c r="BC82" s="24">
        <v>0</v>
      </c>
      <c r="BD82" s="24">
        <v>0</v>
      </c>
      <c r="BE82" s="24">
        <v>0</v>
      </c>
      <c r="BF82" s="24">
        <v>1</v>
      </c>
      <c r="BG82" s="25">
        <v>512</v>
      </c>
      <c r="BH82" s="24">
        <v>0</v>
      </c>
      <c r="BI82" s="24">
        <v>1</v>
      </c>
      <c r="BJ82" s="24">
        <v>0</v>
      </c>
      <c r="BK82" s="24">
        <v>700</v>
      </c>
      <c r="BL82" s="25">
        <v>126</v>
      </c>
      <c r="BM82" s="24">
        <v>0</v>
      </c>
      <c r="BO82" s="25">
        <v>1</v>
      </c>
      <c r="BP82" s="24">
        <v>0</v>
      </c>
      <c r="BQ82" s="24">
        <v>0</v>
      </c>
      <c r="BR82" s="24">
        <v>1</v>
      </c>
      <c r="BS82" s="24">
        <v>0</v>
      </c>
      <c r="BT82" s="24">
        <v>0</v>
      </c>
      <c r="BU82" s="24">
        <v>0</v>
      </c>
      <c r="BV82" s="24">
        <v>0</v>
      </c>
      <c r="BW82" s="24">
        <v>0</v>
      </c>
      <c r="BX82" s="24">
        <v>1</v>
      </c>
      <c r="BZ82" s="24">
        <v>-1</v>
      </c>
      <c r="CA82" s="24">
        <v>0</v>
      </c>
      <c r="CB82" s="24">
        <v>0</v>
      </c>
      <c r="CC82" s="24">
        <v>0</v>
      </c>
      <c r="CD82" s="24">
        <v>0</v>
      </c>
      <c r="CE82" s="24">
        <v>0</v>
      </c>
      <c r="CG82" s="24">
        <v>-1</v>
      </c>
      <c r="CH82" s="24">
        <v>0</v>
      </c>
      <c r="CI82" s="24">
        <v>0</v>
      </c>
      <c r="CJ82" s="24">
        <v>0</v>
      </c>
      <c r="CK82" s="24">
        <v>0</v>
      </c>
      <c r="CL82" s="24">
        <v>0</v>
      </c>
      <c r="CM82" s="24">
        <v>0</v>
      </c>
      <c r="CN82" s="24">
        <v>0</v>
      </c>
      <c r="CO82" s="24">
        <v>0</v>
      </c>
      <c r="CQ82" s="24">
        <v>0</v>
      </c>
      <c r="CR82" s="24">
        <v>0</v>
      </c>
      <c r="CS82" s="24">
        <v>0</v>
      </c>
      <c r="CT82" s="24">
        <v>0</v>
      </c>
      <c r="CV82" s="24">
        <v>0</v>
      </c>
      <c r="CW82" s="24">
        <v>0</v>
      </c>
      <c r="CX82" s="24">
        <v>-1</v>
      </c>
      <c r="CY82" s="26">
        <v>0</v>
      </c>
      <c r="CZ82" s="24">
        <v>0</v>
      </c>
      <c r="DA82" s="24">
        <v>0</v>
      </c>
      <c r="DC82" s="24">
        <v>0</v>
      </c>
      <c r="DD82" s="24">
        <v>0</v>
      </c>
      <c r="DE82" s="24">
        <v>0</v>
      </c>
      <c r="DF82" s="24">
        <v>0</v>
      </c>
      <c r="DG82" s="24">
        <v>-1</v>
      </c>
      <c r="DI82" s="24">
        <v>0</v>
      </c>
      <c r="DJ82" s="24">
        <v>0</v>
      </c>
      <c r="DL82" s="24">
        <v>0</v>
      </c>
      <c r="DM82" s="24">
        <v>0</v>
      </c>
      <c r="DO82" s="24">
        <v>0</v>
      </c>
      <c r="DP82" s="24">
        <v>0</v>
      </c>
      <c r="DQ82" s="24">
        <v>0</v>
      </c>
      <c r="DR82" s="24">
        <v>0</v>
      </c>
      <c r="DS82" s="24">
        <v>0</v>
      </c>
      <c r="DT82" s="24">
        <v>0</v>
      </c>
      <c r="DV82" s="24">
        <v>0</v>
      </c>
      <c r="DW82" s="24">
        <v>0</v>
      </c>
      <c r="DX82" s="24">
        <v>0</v>
      </c>
      <c r="DY82" s="24">
        <v>0</v>
      </c>
      <c r="DZ82" s="24">
        <v>0</v>
      </c>
    </row>
    <row r="83" spans="1:130">
      <c r="A83" s="24" t="s">
        <v>142</v>
      </c>
      <c r="B83" s="24" t="s">
        <v>142</v>
      </c>
      <c r="C83" s="24" t="s">
        <v>142</v>
      </c>
      <c r="D83" s="24" t="s">
        <v>142</v>
      </c>
      <c r="E83" s="24">
        <v>5422</v>
      </c>
      <c r="F83" s="24" t="s">
        <v>915</v>
      </c>
      <c r="G83" s="24">
        <v>0</v>
      </c>
      <c r="H83" s="24">
        <v>505422</v>
      </c>
      <c r="I83" s="24" t="s">
        <v>915</v>
      </c>
      <c r="J83" s="24" t="s">
        <v>915</v>
      </c>
      <c r="K83" s="24" t="s">
        <v>473</v>
      </c>
      <c r="M83" s="24">
        <v>0</v>
      </c>
      <c r="N83" s="24">
        <v>0</v>
      </c>
      <c r="P83" s="25">
        <v>28</v>
      </c>
      <c r="Q83" s="25">
        <v>64</v>
      </c>
      <c r="R83" s="24">
        <v>5415</v>
      </c>
      <c r="S83" s="25">
        <v>0</v>
      </c>
      <c r="T83" s="24"/>
      <c r="U83" s="24">
        <v>8</v>
      </c>
      <c r="V83" s="25">
        <v>4116</v>
      </c>
      <c r="W83" s="24">
        <v>1</v>
      </c>
      <c r="X83" s="24">
        <v>2</v>
      </c>
      <c r="Y83" s="24">
        <v>0</v>
      </c>
      <c r="Z83" s="24">
        <v>1000</v>
      </c>
      <c r="AB83" s="24">
        <v>30003</v>
      </c>
      <c r="AC83" s="24">
        <v>-1</v>
      </c>
      <c r="AD83" s="24">
        <v>-1</v>
      </c>
      <c r="AE83" s="24">
        <v>-1</v>
      </c>
      <c r="AG83" s="24">
        <v>1</v>
      </c>
      <c r="AH83" s="24">
        <v>0</v>
      </c>
      <c r="AI83" s="24">
        <v>0</v>
      </c>
      <c r="AJ83" s="24">
        <v>0</v>
      </c>
      <c r="AK83" s="24">
        <v>0</v>
      </c>
      <c r="AL83" s="24">
        <v>0</v>
      </c>
      <c r="AM83" s="24">
        <v>0</v>
      </c>
      <c r="AN83" s="24">
        <v>0</v>
      </c>
      <c r="AO83" s="24">
        <v>0</v>
      </c>
      <c r="AP83" s="24">
        <v>0</v>
      </c>
      <c r="AQ83" s="24">
        <v>0</v>
      </c>
      <c r="AR83" s="24">
        <v>0</v>
      </c>
      <c r="AS83" s="24">
        <v>0</v>
      </c>
      <c r="AT83" s="24">
        <v>0</v>
      </c>
      <c r="AU83" s="24">
        <v>0</v>
      </c>
      <c r="AV83" s="24">
        <v>0</v>
      </c>
      <c r="AW83" s="24">
        <v>0</v>
      </c>
      <c r="AX83" s="24">
        <v>0</v>
      </c>
      <c r="AY83" s="24">
        <v>0</v>
      </c>
      <c r="BA83" s="24">
        <v>0</v>
      </c>
      <c r="BB83" s="24">
        <v>0</v>
      </c>
      <c r="BC83" s="24">
        <v>0</v>
      </c>
      <c r="BD83" s="24">
        <v>0</v>
      </c>
      <c r="BE83" s="24">
        <v>0</v>
      </c>
      <c r="BF83" s="24">
        <v>1</v>
      </c>
      <c r="BG83" s="25">
        <v>512</v>
      </c>
      <c r="BH83" s="24">
        <v>0</v>
      </c>
      <c r="BI83" s="24">
        <v>1</v>
      </c>
      <c r="BJ83" s="24">
        <v>0</v>
      </c>
      <c r="BK83" s="24">
        <v>900</v>
      </c>
      <c r="BL83" s="25">
        <v>126</v>
      </c>
      <c r="BM83" s="24">
        <v>0</v>
      </c>
      <c r="BO83" s="25">
        <v>1</v>
      </c>
      <c r="BP83" s="24">
        <v>0</v>
      </c>
      <c r="BQ83" s="24">
        <v>0</v>
      </c>
      <c r="BR83" s="24">
        <v>1</v>
      </c>
      <c r="BS83" s="24">
        <v>0</v>
      </c>
      <c r="BT83" s="24">
        <v>0</v>
      </c>
      <c r="BU83" s="24">
        <v>0</v>
      </c>
      <c r="BV83" s="24">
        <v>0</v>
      </c>
      <c r="BW83" s="24">
        <v>0</v>
      </c>
      <c r="BX83" s="24">
        <v>1</v>
      </c>
      <c r="BZ83" s="24">
        <v>-1</v>
      </c>
      <c r="CA83" s="24">
        <v>0</v>
      </c>
      <c r="CB83" s="24">
        <v>0</v>
      </c>
      <c r="CC83" s="24">
        <v>0</v>
      </c>
      <c r="CD83" s="24">
        <v>0</v>
      </c>
      <c r="CE83" s="24">
        <v>0</v>
      </c>
      <c r="CG83" s="24">
        <v>-1</v>
      </c>
      <c r="CH83" s="24">
        <v>0</v>
      </c>
      <c r="CI83" s="24">
        <v>0</v>
      </c>
      <c r="CJ83" s="24">
        <v>0</v>
      </c>
      <c r="CK83" s="24">
        <v>0</v>
      </c>
      <c r="CL83" s="24">
        <v>0</v>
      </c>
      <c r="CM83" s="24">
        <v>0</v>
      </c>
      <c r="CN83" s="24">
        <v>0</v>
      </c>
      <c r="CO83" s="24">
        <v>0</v>
      </c>
      <c r="CQ83" s="24">
        <v>0</v>
      </c>
      <c r="CR83" s="24">
        <v>0</v>
      </c>
      <c r="CS83" s="24">
        <v>0</v>
      </c>
      <c r="CT83" s="24">
        <v>0</v>
      </c>
      <c r="CV83" s="24">
        <v>0</v>
      </c>
      <c r="CW83" s="24">
        <v>0</v>
      </c>
      <c r="CX83" s="24">
        <v>-1</v>
      </c>
      <c r="CY83" s="26">
        <v>0</v>
      </c>
      <c r="CZ83" s="24">
        <v>0</v>
      </c>
      <c r="DA83" s="24">
        <v>0</v>
      </c>
      <c r="DC83" s="24">
        <v>0</v>
      </c>
      <c r="DD83" s="24">
        <v>0</v>
      </c>
      <c r="DE83" s="24">
        <v>0</v>
      </c>
      <c r="DF83" s="24">
        <v>0</v>
      </c>
      <c r="DG83" s="24">
        <v>-1</v>
      </c>
      <c r="DI83" s="24">
        <v>0</v>
      </c>
      <c r="DJ83" s="24">
        <v>0</v>
      </c>
      <c r="DL83" s="24">
        <v>0</v>
      </c>
      <c r="DM83" s="24">
        <v>0</v>
      </c>
      <c r="DO83" s="24">
        <v>0</v>
      </c>
      <c r="DP83" s="24">
        <v>0</v>
      </c>
      <c r="DQ83" s="24">
        <v>0</v>
      </c>
      <c r="DR83" s="24">
        <v>0</v>
      </c>
      <c r="DS83" s="24">
        <v>0</v>
      </c>
      <c r="DT83" s="24">
        <v>0</v>
      </c>
      <c r="DV83" s="24">
        <v>0</v>
      </c>
      <c r="DW83" s="24">
        <v>0</v>
      </c>
      <c r="DX83" s="24">
        <v>0</v>
      </c>
      <c r="DY83" s="24">
        <v>0</v>
      </c>
      <c r="DZ83" s="24">
        <v>0</v>
      </c>
    </row>
    <row r="84" spans="1:130">
      <c r="A84" s="24" t="s">
        <v>142</v>
      </c>
      <c r="B84" s="24" t="s">
        <v>142</v>
      </c>
      <c r="C84" s="24" t="s">
        <v>142</v>
      </c>
      <c r="D84" s="24" t="s">
        <v>142</v>
      </c>
      <c r="E84" s="24">
        <v>5423</v>
      </c>
      <c r="F84" s="24" t="s">
        <v>921</v>
      </c>
      <c r="G84" s="24">
        <v>0</v>
      </c>
      <c r="H84" s="24">
        <v>505423</v>
      </c>
      <c r="I84" s="24" t="s">
        <v>921</v>
      </c>
      <c r="J84" s="24" t="s">
        <v>921</v>
      </c>
      <c r="K84" s="24" t="s">
        <v>473</v>
      </c>
      <c r="M84" s="24">
        <v>0</v>
      </c>
      <c r="N84" s="24">
        <v>0</v>
      </c>
      <c r="P84" s="25">
        <v>12</v>
      </c>
      <c r="Q84" s="25">
        <v>0</v>
      </c>
      <c r="R84" s="24">
        <v>5415</v>
      </c>
      <c r="S84" s="25">
        <v>0</v>
      </c>
      <c r="T84" s="24"/>
      <c r="U84" s="24">
        <v>1</v>
      </c>
      <c r="V84" s="25">
        <v>2050</v>
      </c>
      <c r="W84" s="24">
        <v>1</v>
      </c>
      <c r="X84" s="24">
        <v>5415</v>
      </c>
      <c r="Y84" s="24">
        <v>0</v>
      </c>
      <c r="Z84" s="24">
        <v>1000</v>
      </c>
      <c r="AB84" s="24">
        <v>30005</v>
      </c>
      <c r="AC84" s="24">
        <v>-1</v>
      </c>
      <c r="AD84" s="24">
        <v>-1</v>
      </c>
      <c r="AE84" s="24">
        <v>-1</v>
      </c>
      <c r="AG84" s="24">
        <v>1</v>
      </c>
      <c r="AH84" s="24">
        <v>0</v>
      </c>
      <c r="AI84" s="24">
        <v>0</v>
      </c>
      <c r="AJ84" s="24">
        <v>0</v>
      </c>
      <c r="AK84" s="24">
        <v>0</v>
      </c>
      <c r="AL84" s="24">
        <v>0</v>
      </c>
      <c r="AM84" s="24">
        <v>0</v>
      </c>
      <c r="AN84" s="24">
        <v>0</v>
      </c>
      <c r="AO84" s="24">
        <v>0</v>
      </c>
      <c r="AP84" s="24">
        <v>0</v>
      </c>
      <c r="AQ84" s="24">
        <v>0</v>
      </c>
      <c r="AR84" s="24">
        <v>0</v>
      </c>
      <c r="AS84" s="24">
        <v>0</v>
      </c>
      <c r="AT84" s="24">
        <v>0</v>
      </c>
      <c r="AU84" s="24">
        <v>0</v>
      </c>
      <c r="AV84" s="24">
        <v>0</v>
      </c>
      <c r="AW84" s="24">
        <v>0</v>
      </c>
      <c r="AX84" s="24">
        <v>0</v>
      </c>
      <c r="AY84" s="24">
        <v>0</v>
      </c>
      <c r="BA84" s="24">
        <v>0</v>
      </c>
      <c r="BB84" s="24">
        <v>0</v>
      </c>
      <c r="BC84" s="24">
        <v>0</v>
      </c>
      <c r="BD84" s="24">
        <v>0</v>
      </c>
      <c r="BE84" s="24">
        <v>0</v>
      </c>
      <c r="BF84" s="24">
        <v>1</v>
      </c>
      <c r="BG84" s="25">
        <v>512</v>
      </c>
      <c r="BH84" s="24">
        <v>3</v>
      </c>
      <c r="BI84" s="24">
        <v>0</v>
      </c>
      <c r="BJ84" s="24">
        <v>0</v>
      </c>
      <c r="BK84" s="24">
        <v>0</v>
      </c>
      <c r="BL84" s="25">
        <v>126</v>
      </c>
      <c r="BM84" s="24">
        <v>0</v>
      </c>
      <c r="BO84" s="25">
        <v>1</v>
      </c>
      <c r="BP84" s="24">
        <v>0</v>
      </c>
      <c r="BQ84" s="24">
        <v>0</v>
      </c>
      <c r="BR84" s="24">
        <v>1</v>
      </c>
      <c r="BS84" s="24">
        <v>0</v>
      </c>
      <c r="BT84" s="24">
        <v>0</v>
      </c>
      <c r="BU84" s="24">
        <v>0</v>
      </c>
      <c r="BV84" s="24">
        <v>0</v>
      </c>
      <c r="BW84" s="24">
        <v>0</v>
      </c>
      <c r="BX84" s="24">
        <v>1</v>
      </c>
      <c r="BZ84" s="24">
        <v>-1</v>
      </c>
      <c r="CA84" s="24">
        <v>0</v>
      </c>
      <c r="CB84" s="24">
        <v>0</v>
      </c>
      <c r="CC84" s="24">
        <v>0</v>
      </c>
      <c r="CD84" s="24">
        <v>0</v>
      </c>
      <c r="CE84" s="24">
        <v>0</v>
      </c>
      <c r="CG84" s="24">
        <v>-1</v>
      </c>
      <c r="CH84" s="24">
        <v>0</v>
      </c>
      <c r="CI84" s="24">
        <v>0</v>
      </c>
      <c r="CJ84" s="24">
        <v>0</v>
      </c>
      <c r="CK84" s="24">
        <v>0</v>
      </c>
      <c r="CL84" s="24">
        <v>0</v>
      </c>
      <c r="CM84" s="24">
        <v>0</v>
      </c>
      <c r="CN84" s="24">
        <v>0</v>
      </c>
      <c r="CO84" s="24">
        <v>0</v>
      </c>
      <c r="CQ84" s="24">
        <v>0</v>
      </c>
      <c r="CR84" s="24">
        <v>0</v>
      </c>
      <c r="CS84" s="24">
        <v>0</v>
      </c>
      <c r="CT84" s="24">
        <v>0</v>
      </c>
      <c r="CV84" s="24">
        <v>0</v>
      </c>
      <c r="CW84" s="24">
        <v>0</v>
      </c>
      <c r="CX84" s="24">
        <v>-1</v>
      </c>
      <c r="CY84" s="26">
        <v>0</v>
      </c>
      <c r="CZ84" s="24">
        <v>0</v>
      </c>
      <c r="DA84" s="24">
        <v>0</v>
      </c>
      <c r="DC84" s="24">
        <v>0</v>
      </c>
      <c r="DD84" s="24">
        <v>0</v>
      </c>
      <c r="DE84" s="24">
        <v>0</v>
      </c>
      <c r="DF84" s="24">
        <v>0</v>
      </c>
      <c r="DG84" s="24">
        <v>-1</v>
      </c>
      <c r="DI84" s="24">
        <v>0</v>
      </c>
      <c r="DJ84" s="24">
        <v>0</v>
      </c>
      <c r="DL84" s="24">
        <v>0</v>
      </c>
      <c r="DM84" s="24">
        <v>0</v>
      </c>
      <c r="DO84" s="24">
        <v>0</v>
      </c>
      <c r="DP84" s="24">
        <v>0</v>
      </c>
      <c r="DQ84" s="24">
        <v>0</v>
      </c>
      <c r="DR84" s="24">
        <v>0</v>
      </c>
      <c r="DS84" s="24">
        <v>0</v>
      </c>
      <c r="DT84" s="24">
        <v>0</v>
      </c>
      <c r="DV84" s="24">
        <v>0</v>
      </c>
      <c r="DW84" s="24">
        <v>0</v>
      </c>
      <c r="DX84" s="24">
        <v>0</v>
      </c>
      <c r="DY84" s="24">
        <v>0</v>
      </c>
      <c r="DZ84" s="24">
        <v>0</v>
      </c>
    </row>
    <row r="85" spans="1:130">
      <c r="S85" s="25"/>
      <c r="T85" s="24"/>
      <c r="BO85" s="25" t="s">
        <v>639</v>
      </c>
    </row>
    <row r="86" spans="1:130">
      <c r="S86" s="25"/>
      <c r="T86" s="24"/>
      <c r="BO86" s="25" t="s">
        <v>639</v>
      </c>
    </row>
    <row r="87" spans="1:130">
      <c r="S87" s="25"/>
      <c r="T87" s="24"/>
      <c r="BO87" s="25" t="s">
        <v>639</v>
      </c>
    </row>
    <row r="88" spans="1:130">
      <c r="S88" s="25"/>
      <c r="T88" s="24"/>
      <c r="BO88" s="25" t="s">
        <v>639</v>
      </c>
    </row>
    <row r="89" spans="1:130">
      <c r="S89" s="25"/>
      <c r="T89" s="24"/>
      <c r="BO89" s="25" t="s">
        <v>639</v>
      </c>
    </row>
    <row r="90" spans="1:130">
      <c r="S90" s="25"/>
      <c r="T90" s="24"/>
      <c r="BO90" s="25" t="s">
        <v>639</v>
      </c>
    </row>
    <row r="91" spans="1:130">
      <c r="K91" s="24" t="s">
        <v>639</v>
      </c>
      <c r="S91" s="25"/>
      <c r="T91" s="24"/>
      <c r="BO91" s="25" t="s">
        <v>639</v>
      </c>
    </row>
    <row r="92" spans="1:130">
      <c r="A92" s="24" t="s">
        <v>142</v>
      </c>
      <c r="B92" s="24" t="s">
        <v>142</v>
      </c>
      <c r="C92" s="24" t="s">
        <v>142</v>
      </c>
      <c r="D92" s="24" t="s">
        <v>142</v>
      </c>
      <c r="E92" s="24">
        <v>5501</v>
      </c>
      <c r="F92" s="24" t="s">
        <v>752</v>
      </c>
      <c r="G92" s="24">
        <v>0</v>
      </c>
      <c r="H92" s="24">
        <v>505501</v>
      </c>
      <c r="I92" s="24" t="s">
        <v>752</v>
      </c>
      <c r="J92" s="24" t="s">
        <v>752</v>
      </c>
      <c r="K92" s="24" t="s">
        <v>473</v>
      </c>
      <c r="M92" s="24">
        <v>11</v>
      </c>
      <c r="N92" s="24">
        <v>0</v>
      </c>
      <c r="P92" s="25">
        <v>12</v>
      </c>
      <c r="Q92" s="25">
        <v>0</v>
      </c>
      <c r="R92" s="24">
        <v>0</v>
      </c>
      <c r="S92" s="25">
        <v>0</v>
      </c>
      <c r="T92" s="24"/>
      <c r="U92" s="24">
        <v>7</v>
      </c>
      <c r="V92" s="25">
        <v>1024</v>
      </c>
      <c r="W92" s="24">
        <v>13</v>
      </c>
      <c r="X92" s="24">
        <v>0</v>
      </c>
      <c r="Y92" s="24">
        <v>0</v>
      </c>
      <c r="Z92" s="24">
        <v>1000</v>
      </c>
      <c r="AB92" s="24">
        <v>30001</v>
      </c>
      <c r="AC92" s="24">
        <v>-1</v>
      </c>
      <c r="AD92" s="24">
        <v>-1</v>
      </c>
      <c r="AE92" s="24">
        <v>-1</v>
      </c>
      <c r="AG92" s="24">
        <v>1</v>
      </c>
      <c r="AH92" s="24">
        <v>0</v>
      </c>
      <c r="AI92" s="24">
        <v>0</v>
      </c>
      <c r="AJ92" s="24">
        <v>0</v>
      </c>
      <c r="AK92" s="24">
        <v>0</v>
      </c>
      <c r="AL92" s="24">
        <v>0</v>
      </c>
      <c r="AM92" s="24">
        <v>0</v>
      </c>
      <c r="AN92" s="24">
        <v>0</v>
      </c>
      <c r="AO92" s="24">
        <v>0</v>
      </c>
      <c r="AP92" s="24">
        <v>0</v>
      </c>
      <c r="AQ92" s="24">
        <v>0</v>
      </c>
      <c r="AR92" s="24">
        <v>0</v>
      </c>
      <c r="AS92" s="24">
        <v>0</v>
      </c>
      <c r="AT92" s="24">
        <v>0</v>
      </c>
      <c r="AU92" s="24">
        <v>0</v>
      </c>
      <c r="AV92" s="24">
        <v>0</v>
      </c>
      <c r="AW92" s="24">
        <v>0</v>
      </c>
      <c r="AX92" s="24">
        <v>0</v>
      </c>
      <c r="AY92" s="24">
        <v>0</v>
      </c>
      <c r="BA92" s="24">
        <v>0</v>
      </c>
      <c r="BB92" s="24">
        <v>0</v>
      </c>
      <c r="BC92" s="24">
        <v>0</v>
      </c>
      <c r="BD92" s="24">
        <v>0</v>
      </c>
      <c r="BE92" s="24">
        <v>0</v>
      </c>
      <c r="BF92" s="24">
        <v>1</v>
      </c>
      <c r="BG92" s="25">
        <v>8192</v>
      </c>
      <c r="BH92" s="24">
        <v>2</v>
      </c>
      <c r="BI92" s="24">
        <v>0</v>
      </c>
      <c r="BJ92" s="24">
        <v>0</v>
      </c>
      <c r="BK92" s="24">
        <v>0</v>
      </c>
      <c r="BL92" s="25">
        <v>126</v>
      </c>
      <c r="BM92" s="24">
        <v>0</v>
      </c>
      <c r="BO92" s="25">
        <v>1</v>
      </c>
      <c r="BP92" s="24">
        <v>0</v>
      </c>
      <c r="BQ92" s="24">
        <v>0</v>
      </c>
      <c r="BR92" s="24">
        <v>1</v>
      </c>
      <c r="BS92" s="24">
        <v>0</v>
      </c>
      <c r="BT92" s="24">
        <v>0</v>
      </c>
      <c r="BU92" s="24">
        <v>0</v>
      </c>
      <c r="BV92" s="24">
        <v>0</v>
      </c>
      <c r="BW92" s="24">
        <v>0</v>
      </c>
      <c r="BX92" s="24">
        <v>1</v>
      </c>
      <c r="BZ92" s="24">
        <v>-1</v>
      </c>
      <c r="CA92" s="24">
        <v>0</v>
      </c>
      <c r="CB92" s="24">
        <v>0</v>
      </c>
      <c r="CC92" s="24">
        <v>0</v>
      </c>
      <c r="CD92" s="24">
        <v>0</v>
      </c>
      <c r="CE92" s="24">
        <v>0</v>
      </c>
      <c r="CG92" s="24">
        <v>-1</v>
      </c>
      <c r="CH92" s="24">
        <v>0</v>
      </c>
      <c r="CI92" s="24">
        <v>0</v>
      </c>
      <c r="CJ92" s="24">
        <v>0</v>
      </c>
      <c r="CK92" s="24">
        <v>0</v>
      </c>
      <c r="CL92" s="24">
        <v>0</v>
      </c>
      <c r="CM92" s="24">
        <v>0</v>
      </c>
      <c r="CN92" s="24">
        <v>0</v>
      </c>
      <c r="CO92" s="24">
        <v>0</v>
      </c>
      <c r="CQ92" s="24">
        <v>0</v>
      </c>
      <c r="CR92" s="24">
        <v>0</v>
      </c>
      <c r="CS92" s="24">
        <v>0</v>
      </c>
      <c r="CT92" s="24">
        <v>0</v>
      </c>
      <c r="CV92" s="24">
        <v>0</v>
      </c>
      <c r="CW92" s="24">
        <v>0</v>
      </c>
      <c r="CX92" s="24">
        <v>-1</v>
      </c>
      <c r="CY92" s="26">
        <v>0</v>
      </c>
      <c r="CZ92" s="24">
        <v>0</v>
      </c>
      <c r="DA92" s="24">
        <v>0</v>
      </c>
      <c r="DC92" s="24">
        <v>0</v>
      </c>
      <c r="DD92" s="24">
        <v>0</v>
      </c>
      <c r="DE92" s="24">
        <v>0</v>
      </c>
      <c r="DF92" s="24">
        <v>0</v>
      </c>
      <c r="DG92" s="24">
        <v>-1</v>
      </c>
      <c r="DI92" s="24">
        <v>0</v>
      </c>
      <c r="DJ92" s="24">
        <v>0</v>
      </c>
      <c r="DL92" s="24">
        <v>0</v>
      </c>
      <c r="DM92" s="24">
        <v>0</v>
      </c>
      <c r="DO92" s="24">
        <v>0</v>
      </c>
      <c r="DP92" s="24">
        <v>0</v>
      </c>
      <c r="DQ92" s="24">
        <v>0</v>
      </c>
      <c r="DR92" s="24">
        <v>0</v>
      </c>
      <c r="DS92" s="24">
        <v>0</v>
      </c>
      <c r="DT92" s="24">
        <v>0</v>
      </c>
      <c r="DV92" s="24">
        <v>0</v>
      </c>
      <c r="DW92" s="24">
        <v>0</v>
      </c>
      <c r="DX92" s="24">
        <v>0</v>
      </c>
      <c r="DY92" s="24">
        <v>0</v>
      </c>
      <c r="DZ92" s="24">
        <v>0</v>
      </c>
    </row>
    <row r="93" spans="1:130">
      <c r="A93" s="24" t="s">
        <v>142</v>
      </c>
      <c r="B93" s="24" t="s">
        <v>142</v>
      </c>
      <c r="C93" s="24" t="s">
        <v>142</v>
      </c>
      <c r="D93" s="24" t="s">
        <v>142</v>
      </c>
      <c r="E93" s="24">
        <v>5502</v>
      </c>
      <c r="F93" s="24" t="s">
        <v>755</v>
      </c>
      <c r="G93" s="24">
        <v>0</v>
      </c>
      <c r="H93" s="24">
        <v>505502</v>
      </c>
      <c r="I93" s="24" t="s">
        <v>755</v>
      </c>
      <c r="J93" s="24" t="s">
        <v>703</v>
      </c>
      <c r="K93" s="24" t="s">
        <v>473</v>
      </c>
      <c r="M93" s="24">
        <v>102</v>
      </c>
      <c r="N93" s="24">
        <v>0</v>
      </c>
      <c r="P93" s="25">
        <v>2</v>
      </c>
      <c r="Q93" s="25">
        <v>524288</v>
      </c>
      <c r="R93" s="24">
        <v>0</v>
      </c>
      <c r="S93" s="25">
        <v>0</v>
      </c>
      <c r="T93" s="24"/>
      <c r="U93" s="24">
        <v>0</v>
      </c>
      <c r="V93" s="25">
        <v>0</v>
      </c>
      <c r="W93" s="24">
        <v>0</v>
      </c>
      <c r="X93" s="24">
        <v>0</v>
      </c>
      <c r="Y93" s="24">
        <v>0</v>
      </c>
      <c r="Z93" s="24">
        <v>0</v>
      </c>
      <c r="AB93" s="24">
        <v>10001</v>
      </c>
      <c r="AC93" s="24">
        <v>-1</v>
      </c>
      <c r="AD93" s="24">
        <v>-1</v>
      </c>
      <c r="AE93" s="24">
        <v>-1</v>
      </c>
      <c r="AG93" s="24">
        <v>1</v>
      </c>
      <c r="AH93" s="24">
        <v>0</v>
      </c>
      <c r="AI93" s="24">
        <v>0</v>
      </c>
      <c r="AJ93" s="24">
        <v>0</v>
      </c>
      <c r="AK93" s="24">
        <v>0</v>
      </c>
      <c r="AL93" s="24">
        <v>0</v>
      </c>
      <c r="AM93" s="24">
        <v>0</v>
      </c>
      <c r="AN93" s="24">
        <v>0</v>
      </c>
      <c r="AO93" s="24">
        <v>0</v>
      </c>
      <c r="AP93" s="24">
        <v>0</v>
      </c>
      <c r="AQ93" s="24">
        <v>0</v>
      </c>
      <c r="AR93" s="24">
        <v>0</v>
      </c>
      <c r="AS93" s="24">
        <v>0</v>
      </c>
      <c r="AT93" s="24">
        <v>0</v>
      </c>
      <c r="AU93" s="24">
        <v>0</v>
      </c>
      <c r="AV93" s="24">
        <v>0</v>
      </c>
      <c r="AW93" s="24">
        <v>0</v>
      </c>
      <c r="AX93" s="24">
        <v>0</v>
      </c>
      <c r="AY93" s="24">
        <v>0</v>
      </c>
      <c r="BA93" s="24">
        <v>0</v>
      </c>
      <c r="BB93" s="24">
        <v>400</v>
      </c>
      <c r="BC93" s="24">
        <v>700</v>
      </c>
      <c r="BD93" s="24">
        <v>0</v>
      </c>
      <c r="BE93" s="24">
        <v>0</v>
      </c>
      <c r="BF93" s="24">
        <v>1</v>
      </c>
      <c r="BG93" s="25">
        <v>1</v>
      </c>
      <c r="BH93" s="24">
        <v>1</v>
      </c>
      <c r="BI93" s="24">
        <v>0</v>
      </c>
      <c r="BJ93" s="24">
        <v>0</v>
      </c>
      <c r="BK93" s="24">
        <v>0</v>
      </c>
      <c r="BL93" s="25">
        <v>126</v>
      </c>
      <c r="BM93" s="24">
        <v>0</v>
      </c>
      <c r="BO93" s="25">
        <v>1</v>
      </c>
      <c r="BP93" s="24">
        <v>0</v>
      </c>
      <c r="BQ93" s="24">
        <v>0</v>
      </c>
      <c r="BR93" s="24">
        <v>1</v>
      </c>
      <c r="BS93" s="24">
        <v>0</v>
      </c>
      <c r="BT93" s="24">
        <v>0</v>
      </c>
      <c r="BU93" s="24">
        <v>0</v>
      </c>
      <c r="BV93" s="24">
        <v>0</v>
      </c>
      <c r="BW93" s="24">
        <v>0</v>
      </c>
      <c r="BX93" s="24">
        <v>1</v>
      </c>
      <c r="BZ93" s="24">
        <v>-1</v>
      </c>
      <c r="CA93" s="24">
        <v>0</v>
      </c>
      <c r="CB93" s="24">
        <v>0</v>
      </c>
      <c r="CC93" s="24">
        <v>0</v>
      </c>
      <c r="CD93" s="24">
        <v>0</v>
      </c>
      <c r="CE93" s="24">
        <v>0</v>
      </c>
      <c r="CG93" s="24">
        <v>-1</v>
      </c>
      <c r="CH93" s="24">
        <v>0</v>
      </c>
      <c r="CI93" s="24">
        <v>0</v>
      </c>
      <c r="CJ93" s="24">
        <v>0</v>
      </c>
      <c r="CK93" s="24">
        <v>0</v>
      </c>
      <c r="CL93" s="24">
        <v>0</v>
      </c>
      <c r="CM93" s="24">
        <v>0</v>
      </c>
      <c r="CN93" s="24">
        <v>0</v>
      </c>
      <c r="CO93" s="24">
        <v>0</v>
      </c>
      <c r="CQ93" s="24">
        <v>0</v>
      </c>
      <c r="CR93" s="24">
        <v>0</v>
      </c>
      <c r="CS93" s="24">
        <v>0</v>
      </c>
      <c r="CT93" s="24">
        <v>0</v>
      </c>
      <c r="CV93" s="24">
        <v>100605</v>
      </c>
      <c r="CW93" s="24">
        <v>18</v>
      </c>
      <c r="CX93" s="24">
        <v>1001</v>
      </c>
      <c r="CY93" s="26">
        <v>1</v>
      </c>
      <c r="CZ93" s="24">
        <v>3</v>
      </c>
      <c r="DA93" s="24">
        <v>0</v>
      </c>
      <c r="DC93" s="24">
        <v>0</v>
      </c>
      <c r="DD93" s="24">
        <v>0</v>
      </c>
      <c r="DE93" s="24">
        <v>0</v>
      </c>
      <c r="DF93" s="24">
        <v>0</v>
      </c>
      <c r="DG93" s="24">
        <v>-1</v>
      </c>
      <c r="DI93" s="24">
        <v>0</v>
      </c>
      <c r="DJ93" s="24">
        <v>0</v>
      </c>
      <c r="DL93" s="24">
        <v>0</v>
      </c>
      <c r="DM93" s="24">
        <v>0</v>
      </c>
      <c r="DO93" s="24">
        <v>0</v>
      </c>
      <c r="DP93" s="24">
        <v>0</v>
      </c>
      <c r="DQ93" s="24">
        <v>0</v>
      </c>
      <c r="DR93" s="24">
        <v>0</v>
      </c>
      <c r="DS93" s="24">
        <v>0</v>
      </c>
      <c r="DT93" s="24">
        <v>0</v>
      </c>
      <c r="DV93" s="24">
        <v>0</v>
      </c>
      <c r="DW93" s="24">
        <v>0</v>
      </c>
      <c r="DX93" s="24">
        <v>0</v>
      </c>
      <c r="DY93" s="24">
        <v>0</v>
      </c>
      <c r="DZ93" s="24">
        <v>0</v>
      </c>
    </row>
    <row r="94" spans="1:130">
      <c r="A94" s="24" t="s">
        <v>142</v>
      </c>
      <c r="B94" s="24" t="s">
        <v>142</v>
      </c>
      <c r="C94" s="24" t="s">
        <v>142</v>
      </c>
      <c r="D94" s="24" t="s">
        <v>142</v>
      </c>
      <c r="E94" s="24">
        <v>5503</v>
      </c>
      <c r="F94" s="24" t="s">
        <v>758</v>
      </c>
      <c r="G94" s="24">
        <v>0</v>
      </c>
      <c r="H94" s="24">
        <v>505503</v>
      </c>
      <c r="I94" s="24" t="s">
        <v>758</v>
      </c>
      <c r="J94" s="24" t="s">
        <v>758</v>
      </c>
      <c r="K94" s="24" t="s">
        <v>798</v>
      </c>
      <c r="M94" s="24">
        <v>102</v>
      </c>
      <c r="N94" s="24">
        <v>0</v>
      </c>
      <c r="P94" s="25">
        <v>2</v>
      </c>
      <c r="Q94" s="25">
        <v>524288</v>
      </c>
      <c r="R94" s="24">
        <v>0</v>
      </c>
      <c r="S94" s="25">
        <v>0</v>
      </c>
      <c r="T94" s="24"/>
      <c r="U94" s="24">
        <v>0</v>
      </c>
      <c r="V94" s="25">
        <v>0</v>
      </c>
      <c r="W94" s="24">
        <v>0</v>
      </c>
      <c r="X94" s="24">
        <v>0</v>
      </c>
      <c r="Y94" s="24">
        <v>0</v>
      </c>
      <c r="Z94" s="24">
        <v>0</v>
      </c>
      <c r="AB94" s="24">
        <v>10001</v>
      </c>
      <c r="AC94" s="24">
        <v>-1</v>
      </c>
      <c r="AD94" s="24">
        <v>-1</v>
      </c>
      <c r="AE94" s="24">
        <v>-1</v>
      </c>
      <c r="AG94" s="24">
        <v>1</v>
      </c>
      <c r="AH94" s="24">
        <v>0</v>
      </c>
      <c r="AI94" s="24">
        <v>0</v>
      </c>
      <c r="AJ94" s="24">
        <v>0</v>
      </c>
      <c r="AK94" s="24">
        <v>0</v>
      </c>
      <c r="AL94" s="24">
        <v>0</v>
      </c>
      <c r="AM94" s="24">
        <v>0</v>
      </c>
      <c r="AN94" s="24">
        <v>0</v>
      </c>
      <c r="AO94" s="24">
        <v>0</v>
      </c>
      <c r="AP94" s="24">
        <v>0</v>
      </c>
      <c r="AQ94" s="24">
        <v>0</v>
      </c>
      <c r="AR94" s="24">
        <v>0</v>
      </c>
      <c r="AS94" s="24">
        <v>0</v>
      </c>
      <c r="AT94" s="24">
        <v>0</v>
      </c>
      <c r="AU94" s="24">
        <v>0</v>
      </c>
      <c r="AV94" s="24">
        <v>0</v>
      </c>
      <c r="AW94" s="24">
        <v>0</v>
      </c>
      <c r="AX94" s="24">
        <v>0</v>
      </c>
      <c r="AY94" s="24">
        <v>0</v>
      </c>
      <c r="BA94" s="24">
        <v>0</v>
      </c>
      <c r="BB94" s="24">
        <v>600</v>
      </c>
      <c r="BC94" s="24">
        <v>800</v>
      </c>
      <c r="BD94" s="24">
        <v>0</v>
      </c>
      <c r="BE94" s="24">
        <v>100</v>
      </c>
      <c r="BF94" s="24">
        <v>1</v>
      </c>
      <c r="BG94" s="25">
        <v>1</v>
      </c>
      <c r="BH94" s="24">
        <v>1</v>
      </c>
      <c r="BI94" s="24">
        <v>0</v>
      </c>
      <c r="BJ94" s="24">
        <v>0</v>
      </c>
      <c r="BK94" s="24">
        <v>0</v>
      </c>
      <c r="BL94" s="25">
        <v>126</v>
      </c>
      <c r="BM94" s="24">
        <v>0</v>
      </c>
      <c r="BO94" s="25">
        <v>16</v>
      </c>
      <c r="BP94" s="24">
        <v>4</v>
      </c>
      <c r="BQ94" s="24">
        <v>0</v>
      </c>
      <c r="BR94" s="24">
        <v>5</v>
      </c>
      <c r="BS94" s="24">
        <v>1</v>
      </c>
      <c r="BT94" s="24">
        <v>40</v>
      </c>
      <c r="BU94" s="24">
        <v>10</v>
      </c>
      <c r="BV94" s="24">
        <v>6</v>
      </c>
      <c r="BW94" s="24">
        <v>0</v>
      </c>
      <c r="BX94" s="24">
        <v>2</v>
      </c>
      <c r="BZ94" s="24">
        <v>-1</v>
      </c>
      <c r="CA94" s="24">
        <v>0</v>
      </c>
      <c r="CB94" s="24">
        <v>0</v>
      </c>
      <c r="CC94" s="24">
        <v>0</v>
      </c>
      <c r="CD94" s="24">
        <v>0</v>
      </c>
      <c r="CE94" s="24">
        <v>0</v>
      </c>
      <c r="CG94" s="24">
        <v>-1</v>
      </c>
      <c r="CH94" s="24">
        <v>0</v>
      </c>
      <c r="CI94" s="24">
        <v>0</v>
      </c>
      <c r="CJ94" s="24">
        <v>0</v>
      </c>
      <c r="CK94" s="24">
        <v>0</v>
      </c>
      <c r="CL94" s="24">
        <v>0</v>
      </c>
      <c r="CM94" s="24">
        <v>0</v>
      </c>
      <c r="CN94" s="24">
        <v>0</v>
      </c>
      <c r="CO94" s="24">
        <v>0</v>
      </c>
      <c r="CQ94" s="24">
        <v>0.76932</v>
      </c>
      <c r="CR94" s="24">
        <v>0</v>
      </c>
      <c r="CS94" s="24">
        <v>0</v>
      </c>
      <c r="CT94" s="24">
        <v>0</v>
      </c>
      <c r="CV94" s="24">
        <v>100601</v>
      </c>
      <c r="CW94" s="24">
        <v>18</v>
      </c>
      <c r="CX94" s="24">
        <v>1001</v>
      </c>
      <c r="CY94" s="26">
        <v>1</v>
      </c>
      <c r="CZ94" s="24">
        <v>1</v>
      </c>
      <c r="DA94" s="24">
        <v>0</v>
      </c>
      <c r="DC94" s="24">
        <v>1</v>
      </c>
      <c r="DD94" s="24">
        <v>0</v>
      </c>
      <c r="DE94" s="24">
        <v>0</v>
      </c>
      <c r="DF94" s="24">
        <v>0</v>
      </c>
      <c r="DG94" s="24">
        <v>-1</v>
      </c>
      <c r="DI94" s="24">
        <v>0</v>
      </c>
      <c r="DJ94" s="24">
        <v>0</v>
      </c>
      <c r="DL94" s="24">
        <v>0</v>
      </c>
      <c r="DM94" s="24">
        <v>0</v>
      </c>
      <c r="DO94" s="24">
        <v>0</v>
      </c>
      <c r="DP94" s="24">
        <v>0</v>
      </c>
      <c r="DQ94" s="24">
        <v>0</v>
      </c>
      <c r="DR94" s="24">
        <v>0</v>
      </c>
      <c r="DS94" s="24">
        <v>0</v>
      </c>
      <c r="DT94" s="24">
        <v>0</v>
      </c>
      <c r="DV94" s="24">
        <v>0</v>
      </c>
      <c r="DW94" s="24">
        <v>0</v>
      </c>
      <c r="DX94" s="24">
        <v>0</v>
      </c>
      <c r="DY94" s="24">
        <v>0</v>
      </c>
      <c r="DZ94" s="24">
        <v>0</v>
      </c>
    </row>
    <row r="95" spans="1:130">
      <c r="A95" s="24" t="s">
        <v>142</v>
      </c>
      <c r="B95" s="24" t="s">
        <v>142</v>
      </c>
      <c r="C95" s="24" t="s">
        <v>142</v>
      </c>
      <c r="D95" s="24" t="s">
        <v>142</v>
      </c>
      <c r="E95" s="24">
        <v>5504</v>
      </c>
      <c r="F95" s="24" t="s">
        <v>759</v>
      </c>
      <c r="G95" s="24">
        <v>0</v>
      </c>
      <c r="H95" s="24">
        <v>505504</v>
      </c>
      <c r="I95" s="24" t="s">
        <v>759</v>
      </c>
      <c r="J95" s="24" t="s">
        <v>759</v>
      </c>
      <c r="K95" s="24" t="s">
        <v>473</v>
      </c>
      <c r="M95" s="24">
        <v>102</v>
      </c>
      <c r="N95" s="24">
        <v>0</v>
      </c>
      <c r="P95" s="25">
        <v>2</v>
      </c>
      <c r="Q95" s="25">
        <v>524288</v>
      </c>
      <c r="R95" s="24">
        <v>5503</v>
      </c>
      <c r="S95" s="25">
        <v>0</v>
      </c>
      <c r="T95" s="24"/>
      <c r="U95" s="24">
        <v>0</v>
      </c>
      <c r="V95" s="25">
        <v>0</v>
      </c>
      <c r="W95" s="24">
        <v>0</v>
      </c>
      <c r="X95" s="24">
        <v>0</v>
      </c>
      <c r="Y95" s="24">
        <v>0</v>
      </c>
      <c r="Z95" s="24">
        <v>0</v>
      </c>
      <c r="AB95" s="24">
        <v>10001</v>
      </c>
      <c r="AC95" s="24">
        <v>-1</v>
      </c>
      <c r="AD95" s="24">
        <v>-1</v>
      </c>
      <c r="AE95" s="24">
        <v>-1</v>
      </c>
      <c r="AG95" s="24">
        <v>1</v>
      </c>
      <c r="AH95" s="24">
        <v>0</v>
      </c>
      <c r="AI95" s="24">
        <v>0</v>
      </c>
      <c r="AJ95" s="24">
        <v>0</v>
      </c>
      <c r="AK95" s="24">
        <v>0</v>
      </c>
      <c r="AL95" s="24">
        <v>0</v>
      </c>
      <c r="AM95" s="24">
        <v>0</v>
      </c>
      <c r="AN95" s="24">
        <v>0</v>
      </c>
      <c r="AO95" s="24">
        <v>0</v>
      </c>
      <c r="AP95" s="24">
        <v>0</v>
      </c>
      <c r="AQ95" s="24">
        <v>0</v>
      </c>
      <c r="AR95" s="24">
        <v>0</v>
      </c>
      <c r="AS95" s="24">
        <v>0</v>
      </c>
      <c r="AT95" s="24">
        <v>0</v>
      </c>
      <c r="AU95" s="24">
        <v>0</v>
      </c>
      <c r="AV95" s="24">
        <v>0</v>
      </c>
      <c r="AW95" s="24">
        <v>0</v>
      </c>
      <c r="AX95" s="24">
        <v>0</v>
      </c>
      <c r="AY95" s="24">
        <v>0</v>
      </c>
      <c r="BA95" s="24">
        <v>0</v>
      </c>
      <c r="BB95" s="24">
        <v>600</v>
      </c>
      <c r="BC95" s="24">
        <v>800</v>
      </c>
      <c r="BD95" s="24">
        <v>0</v>
      </c>
      <c r="BE95" s="24">
        <v>100</v>
      </c>
      <c r="BF95" s="24">
        <v>1</v>
      </c>
      <c r="BG95" s="25">
        <v>1</v>
      </c>
      <c r="BH95" s="24">
        <v>1</v>
      </c>
      <c r="BI95" s="24">
        <v>0</v>
      </c>
      <c r="BJ95" s="24">
        <v>0</v>
      </c>
      <c r="BK95" s="24">
        <v>0</v>
      </c>
      <c r="BL95" s="25">
        <v>126</v>
      </c>
      <c r="BM95" s="24">
        <v>0</v>
      </c>
      <c r="BO95" s="25">
        <v>16</v>
      </c>
      <c r="BP95" s="24">
        <v>4</v>
      </c>
      <c r="BQ95" s="24">
        <v>0</v>
      </c>
      <c r="BR95" s="24">
        <v>5</v>
      </c>
      <c r="BS95" s="24">
        <v>1</v>
      </c>
      <c r="BT95" s="24">
        <v>40</v>
      </c>
      <c r="BU95" s="24">
        <v>10</v>
      </c>
      <c r="BV95" s="24">
        <v>6</v>
      </c>
      <c r="BW95" s="24">
        <v>0</v>
      </c>
      <c r="BX95" s="24">
        <v>2</v>
      </c>
      <c r="BZ95" s="24">
        <v>-1</v>
      </c>
      <c r="CA95" s="24">
        <v>0</v>
      </c>
      <c r="CB95" s="24">
        <v>0</v>
      </c>
      <c r="CC95" s="24">
        <v>0</v>
      </c>
      <c r="CD95" s="24">
        <v>0</v>
      </c>
      <c r="CE95" s="24">
        <v>0</v>
      </c>
      <c r="CG95" s="24">
        <v>-1</v>
      </c>
      <c r="CH95" s="24">
        <v>0</v>
      </c>
      <c r="CI95" s="24">
        <v>0</v>
      </c>
      <c r="CJ95" s="24">
        <v>0</v>
      </c>
      <c r="CK95" s="24">
        <v>0</v>
      </c>
      <c r="CL95" s="24">
        <v>0</v>
      </c>
      <c r="CM95" s="24">
        <v>0</v>
      </c>
      <c r="CN95" s="24">
        <v>0</v>
      </c>
      <c r="CO95" s="24">
        <v>0</v>
      </c>
      <c r="CQ95" s="24">
        <v>0.15531</v>
      </c>
      <c r="CR95" s="24">
        <v>0</v>
      </c>
      <c r="CS95" s="24">
        <v>0</v>
      </c>
      <c r="CT95" s="24">
        <v>0</v>
      </c>
      <c r="CV95" s="24">
        <v>100602</v>
      </c>
      <c r="CW95" s="24">
        <v>18</v>
      </c>
      <c r="CX95" s="24">
        <v>1001</v>
      </c>
      <c r="CY95" s="26">
        <v>1</v>
      </c>
      <c r="CZ95" s="24">
        <v>1</v>
      </c>
      <c r="DA95" s="24">
        <v>0</v>
      </c>
      <c r="DC95" s="24">
        <v>1</v>
      </c>
      <c r="DD95" s="24">
        <v>0</v>
      </c>
      <c r="DE95" s="24">
        <v>0</v>
      </c>
      <c r="DF95" s="24">
        <v>0</v>
      </c>
      <c r="DG95" s="24">
        <v>-1</v>
      </c>
      <c r="DI95" s="24">
        <v>0</v>
      </c>
      <c r="DJ95" s="24">
        <v>0</v>
      </c>
      <c r="DL95" s="24">
        <v>0</v>
      </c>
      <c r="DM95" s="24">
        <v>0</v>
      </c>
      <c r="DO95" s="24">
        <v>0</v>
      </c>
      <c r="DP95" s="24">
        <v>0</v>
      </c>
      <c r="DQ95" s="24">
        <v>0</v>
      </c>
      <c r="DR95" s="24">
        <v>0</v>
      </c>
      <c r="DS95" s="24">
        <v>0</v>
      </c>
      <c r="DT95" s="24">
        <v>0</v>
      </c>
      <c r="DV95" s="24">
        <v>0</v>
      </c>
      <c r="DW95" s="24">
        <v>0</v>
      </c>
      <c r="DX95" s="24">
        <v>0</v>
      </c>
      <c r="DY95" s="24">
        <v>0</v>
      </c>
      <c r="DZ95" s="24">
        <v>0</v>
      </c>
    </row>
    <row r="96" spans="1:130">
      <c r="A96" s="24" t="s">
        <v>142</v>
      </c>
      <c r="B96" s="24" t="s">
        <v>142</v>
      </c>
      <c r="C96" s="24" t="s">
        <v>142</v>
      </c>
      <c r="D96" s="24" t="s">
        <v>142</v>
      </c>
      <c r="E96" s="24">
        <v>5505</v>
      </c>
      <c r="F96" s="24" t="s">
        <v>760</v>
      </c>
      <c r="G96" s="24">
        <v>0</v>
      </c>
      <c r="H96" s="24">
        <v>505505</v>
      </c>
      <c r="I96" s="24" t="s">
        <v>760</v>
      </c>
      <c r="J96" s="24" t="s">
        <v>760</v>
      </c>
      <c r="K96" s="24" t="s">
        <v>473</v>
      </c>
      <c r="M96" s="24">
        <v>102</v>
      </c>
      <c r="N96" s="24">
        <v>0</v>
      </c>
      <c r="P96" s="25">
        <v>2</v>
      </c>
      <c r="Q96" s="25">
        <v>524288</v>
      </c>
      <c r="R96" s="24">
        <v>5503</v>
      </c>
      <c r="S96" s="25">
        <v>0</v>
      </c>
      <c r="T96" s="24"/>
      <c r="U96" s="24">
        <v>0</v>
      </c>
      <c r="V96" s="25">
        <v>0</v>
      </c>
      <c r="W96" s="24">
        <v>0</v>
      </c>
      <c r="X96" s="24">
        <v>0</v>
      </c>
      <c r="Y96" s="24">
        <v>0</v>
      </c>
      <c r="Z96" s="24">
        <v>0</v>
      </c>
      <c r="AB96" s="24">
        <v>10001</v>
      </c>
      <c r="AC96" s="24">
        <v>-1</v>
      </c>
      <c r="AD96" s="24">
        <v>-1</v>
      </c>
      <c r="AE96" s="24">
        <v>-1</v>
      </c>
      <c r="AG96" s="24">
        <v>1</v>
      </c>
      <c r="AH96" s="24">
        <v>0</v>
      </c>
      <c r="AI96" s="24">
        <v>0</v>
      </c>
      <c r="AJ96" s="24">
        <v>0</v>
      </c>
      <c r="AK96" s="24">
        <v>0</v>
      </c>
      <c r="AL96" s="24">
        <v>0</v>
      </c>
      <c r="AM96" s="24">
        <v>0</v>
      </c>
      <c r="AN96" s="24">
        <v>0</v>
      </c>
      <c r="AO96" s="24">
        <v>0</v>
      </c>
      <c r="AP96" s="24">
        <v>0</v>
      </c>
      <c r="AQ96" s="24">
        <v>0</v>
      </c>
      <c r="AR96" s="24">
        <v>0</v>
      </c>
      <c r="AS96" s="24">
        <v>0</v>
      </c>
      <c r="AT96" s="24">
        <v>0</v>
      </c>
      <c r="AU96" s="24">
        <v>0</v>
      </c>
      <c r="AV96" s="24">
        <v>0</v>
      </c>
      <c r="AW96" s="24">
        <v>0</v>
      </c>
      <c r="AX96" s="24">
        <v>0</v>
      </c>
      <c r="AY96" s="24">
        <v>0</v>
      </c>
      <c r="BA96" s="24">
        <v>0</v>
      </c>
      <c r="BB96" s="24">
        <v>1400</v>
      </c>
      <c r="BC96" s="24">
        <v>1600</v>
      </c>
      <c r="BD96" s="24">
        <v>0</v>
      </c>
      <c r="BE96" s="24">
        <v>100</v>
      </c>
      <c r="BF96" s="24">
        <v>1</v>
      </c>
      <c r="BG96" s="25">
        <v>1</v>
      </c>
      <c r="BH96" s="24">
        <v>1</v>
      </c>
      <c r="BI96" s="24">
        <v>0</v>
      </c>
      <c r="BJ96" s="24">
        <v>0</v>
      </c>
      <c r="BK96" s="24">
        <v>0</v>
      </c>
      <c r="BL96" s="25">
        <v>126</v>
      </c>
      <c r="BM96" s="24">
        <v>0</v>
      </c>
      <c r="BO96" s="25">
        <v>16</v>
      </c>
      <c r="BP96" s="24">
        <v>4</v>
      </c>
      <c r="BQ96" s="24">
        <v>0</v>
      </c>
      <c r="BR96" s="24">
        <v>5</v>
      </c>
      <c r="BS96" s="24">
        <v>1</v>
      </c>
      <c r="BT96" s="24">
        <v>40</v>
      </c>
      <c r="BU96" s="24">
        <v>10</v>
      </c>
      <c r="BV96" s="24">
        <v>6</v>
      </c>
      <c r="BW96" s="24">
        <v>0</v>
      </c>
      <c r="BX96" s="24">
        <v>2</v>
      </c>
      <c r="BZ96" s="24">
        <v>-1</v>
      </c>
      <c r="CA96" s="24">
        <v>0</v>
      </c>
      <c r="CB96" s="24">
        <v>0</v>
      </c>
      <c r="CC96" s="24">
        <v>0</v>
      </c>
      <c r="CD96" s="24">
        <v>0</v>
      </c>
      <c r="CE96" s="24">
        <v>0</v>
      </c>
      <c r="CG96" s="24">
        <v>-1</v>
      </c>
      <c r="CH96" s="24">
        <v>0</v>
      </c>
      <c r="CI96" s="24">
        <v>0</v>
      </c>
      <c r="CJ96" s="24">
        <v>0</v>
      </c>
      <c r="CK96" s="24">
        <v>0</v>
      </c>
      <c r="CL96" s="24">
        <v>0</v>
      </c>
      <c r="CM96" s="24">
        <v>0</v>
      </c>
      <c r="CN96" s="24">
        <v>0</v>
      </c>
      <c r="CO96" s="24">
        <v>0</v>
      </c>
      <c r="CQ96" s="24">
        <v>0</v>
      </c>
      <c r="CR96" s="24">
        <v>0</v>
      </c>
      <c r="CS96" s="24">
        <v>0</v>
      </c>
      <c r="CT96" s="24">
        <v>0</v>
      </c>
      <c r="CV96" s="24">
        <v>100603</v>
      </c>
      <c r="CW96" s="24">
        <v>18</v>
      </c>
      <c r="CX96" s="24">
        <v>1001</v>
      </c>
      <c r="CY96" s="26">
        <v>1</v>
      </c>
      <c r="CZ96" s="24">
        <v>1</v>
      </c>
      <c r="DA96" s="24">
        <v>0</v>
      </c>
      <c r="DC96" s="24">
        <v>1</v>
      </c>
      <c r="DD96" s="24">
        <v>0</v>
      </c>
      <c r="DE96" s="24">
        <v>0</v>
      </c>
      <c r="DF96" s="24">
        <v>0</v>
      </c>
      <c r="DG96" s="24">
        <v>-1</v>
      </c>
      <c r="DI96" s="24">
        <v>0</v>
      </c>
      <c r="DJ96" s="24">
        <v>0</v>
      </c>
      <c r="DL96" s="24">
        <v>0</v>
      </c>
      <c r="DM96" s="24">
        <v>0</v>
      </c>
      <c r="DO96" s="24">
        <v>0</v>
      </c>
      <c r="DP96" s="24">
        <v>0</v>
      </c>
      <c r="DQ96" s="24">
        <v>0</v>
      </c>
      <c r="DR96" s="24">
        <v>0</v>
      </c>
      <c r="DS96" s="24">
        <v>0</v>
      </c>
      <c r="DT96" s="24">
        <v>0</v>
      </c>
      <c r="DV96" s="24">
        <v>0</v>
      </c>
      <c r="DW96" s="24">
        <v>0</v>
      </c>
      <c r="DX96" s="24">
        <v>0</v>
      </c>
      <c r="DY96" s="24">
        <v>0</v>
      </c>
      <c r="DZ96" s="24">
        <v>0</v>
      </c>
    </row>
    <row r="97" spans="1:130">
      <c r="A97" s="24" t="s">
        <v>142</v>
      </c>
      <c r="B97" s="24" t="s">
        <v>142</v>
      </c>
      <c r="C97" s="24" t="s">
        <v>142</v>
      </c>
      <c r="D97" s="24" t="s">
        <v>142</v>
      </c>
      <c r="E97" s="24">
        <v>5506</v>
      </c>
      <c r="F97" s="24" t="s">
        <v>761</v>
      </c>
      <c r="G97" s="24">
        <v>0</v>
      </c>
      <c r="H97" s="24">
        <v>505506</v>
      </c>
      <c r="I97" s="24" t="s">
        <v>761</v>
      </c>
      <c r="J97" s="24" t="s">
        <v>761</v>
      </c>
      <c r="K97" s="24" t="s">
        <v>473</v>
      </c>
      <c r="M97" s="24">
        <v>102</v>
      </c>
      <c r="N97" s="24">
        <v>0</v>
      </c>
      <c r="P97" s="25">
        <v>2</v>
      </c>
      <c r="Q97" s="25">
        <v>524288</v>
      </c>
      <c r="R97" s="24">
        <v>5503</v>
      </c>
      <c r="S97" s="25">
        <v>0</v>
      </c>
      <c r="T97" s="24"/>
      <c r="U97" s="24">
        <v>0</v>
      </c>
      <c r="V97" s="25">
        <v>0</v>
      </c>
      <c r="W97" s="24">
        <v>0</v>
      </c>
      <c r="X97" s="24">
        <v>0</v>
      </c>
      <c r="Y97" s="24">
        <v>0</v>
      </c>
      <c r="Z97" s="24">
        <v>0</v>
      </c>
      <c r="AB97" s="24">
        <v>10001</v>
      </c>
      <c r="AC97" s="24">
        <v>-1</v>
      </c>
      <c r="AD97" s="24">
        <v>-1</v>
      </c>
      <c r="AE97" s="24">
        <v>-1</v>
      </c>
      <c r="AG97" s="24">
        <v>1</v>
      </c>
      <c r="AH97" s="24">
        <v>0</v>
      </c>
      <c r="AI97" s="24">
        <v>0</v>
      </c>
      <c r="AJ97" s="24">
        <v>0</v>
      </c>
      <c r="AK97" s="24">
        <v>0</v>
      </c>
      <c r="AL97" s="24">
        <v>0</v>
      </c>
      <c r="AM97" s="24">
        <v>0</v>
      </c>
      <c r="AN97" s="24">
        <v>0</v>
      </c>
      <c r="AO97" s="24">
        <v>0</v>
      </c>
      <c r="AP97" s="24">
        <v>0</v>
      </c>
      <c r="AQ97" s="24">
        <v>0</v>
      </c>
      <c r="AR97" s="24">
        <v>0</v>
      </c>
      <c r="AS97" s="24">
        <v>0</v>
      </c>
      <c r="AT97" s="24">
        <v>0</v>
      </c>
      <c r="AU97" s="24">
        <v>0</v>
      </c>
      <c r="AV97" s="24">
        <v>0</v>
      </c>
      <c r="AW97" s="24">
        <v>0</v>
      </c>
      <c r="AX97" s="24">
        <v>0</v>
      </c>
      <c r="AY97" s="24">
        <v>0</v>
      </c>
      <c r="BA97" s="24">
        <v>0</v>
      </c>
      <c r="BB97" s="24">
        <v>1100</v>
      </c>
      <c r="BC97" s="24">
        <v>1300</v>
      </c>
      <c r="BD97" s="24">
        <v>0</v>
      </c>
      <c r="BE97" s="24">
        <v>100</v>
      </c>
      <c r="BF97" s="24">
        <v>1</v>
      </c>
      <c r="BG97" s="25">
        <v>1</v>
      </c>
      <c r="BH97" s="24">
        <v>1</v>
      </c>
      <c r="BI97" s="24">
        <v>0</v>
      </c>
      <c r="BJ97" s="24">
        <v>0</v>
      </c>
      <c r="BK97" s="24">
        <v>0</v>
      </c>
      <c r="BL97" s="25">
        <v>126</v>
      </c>
      <c r="BM97" s="24">
        <v>0</v>
      </c>
      <c r="BO97" s="25">
        <v>16</v>
      </c>
      <c r="BP97" s="24">
        <v>4</v>
      </c>
      <c r="BQ97" s="24">
        <v>0</v>
      </c>
      <c r="BR97" s="24">
        <v>5</v>
      </c>
      <c r="BS97" s="24">
        <v>1</v>
      </c>
      <c r="BT97" s="24">
        <v>40</v>
      </c>
      <c r="BU97" s="24">
        <v>10</v>
      </c>
      <c r="BV97" s="24">
        <v>6</v>
      </c>
      <c r="BW97" s="24">
        <v>0</v>
      </c>
      <c r="BX97" s="24">
        <v>2</v>
      </c>
      <c r="BZ97" s="24">
        <v>-1</v>
      </c>
      <c r="CA97" s="24">
        <v>0</v>
      </c>
      <c r="CB97" s="24">
        <v>0</v>
      </c>
      <c r="CC97" s="24">
        <v>0</v>
      </c>
      <c r="CD97" s="24">
        <v>0</v>
      </c>
      <c r="CE97" s="24">
        <v>0</v>
      </c>
      <c r="CG97" s="24">
        <v>-1</v>
      </c>
      <c r="CH97" s="24">
        <v>0</v>
      </c>
      <c r="CI97" s="24">
        <v>0</v>
      </c>
      <c r="CJ97" s="24">
        <v>0</v>
      </c>
      <c r="CK97" s="24">
        <v>0</v>
      </c>
      <c r="CL97" s="24">
        <v>0</v>
      </c>
      <c r="CM97" s="24">
        <v>0</v>
      </c>
      <c r="CN97" s="24">
        <v>0</v>
      </c>
      <c r="CO97" s="24">
        <v>0</v>
      </c>
      <c r="CQ97" s="24">
        <v>0</v>
      </c>
      <c r="CR97" s="24">
        <v>0</v>
      </c>
      <c r="CS97" s="24">
        <v>0</v>
      </c>
      <c r="CT97" s="24">
        <v>0</v>
      </c>
      <c r="CV97" s="24">
        <v>100604</v>
      </c>
      <c r="CW97" s="24">
        <v>18</v>
      </c>
      <c r="CX97" s="24">
        <v>1001</v>
      </c>
      <c r="CY97" s="26">
        <v>1</v>
      </c>
      <c r="CZ97" s="24">
        <v>1</v>
      </c>
      <c r="DA97" s="24">
        <v>0</v>
      </c>
      <c r="DC97" s="24">
        <v>1</v>
      </c>
      <c r="DD97" s="24">
        <v>0</v>
      </c>
      <c r="DE97" s="24">
        <v>0</v>
      </c>
      <c r="DF97" s="24">
        <v>0</v>
      </c>
      <c r="DG97" s="24">
        <v>-1</v>
      </c>
      <c r="DI97" s="24">
        <v>0</v>
      </c>
      <c r="DJ97" s="24">
        <v>0</v>
      </c>
      <c r="DL97" s="24">
        <v>0</v>
      </c>
      <c r="DM97" s="24">
        <v>0</v>
      </c>
      <c r="DO97" s="24">
        <v>0</v>
      </c>
      <c r="DP97" s="24">
        <v>0</v>
      </c>
      <c r="DQ97" s="24">
        <v>0</v>
      </c>
      <c r="DR97" s="24">
        <v>0</v>
      </c>
      <c r="DS97" s="24">
        <v>0</v>
      </c>
      <c r="DT97" s="24">
        <v>0</v>
      </c>
      <c r="DV97" s="24">
        <v>0</v>
      </c>
      <c r="DW97" s="24">
        <v>0</v>
      </c>
      <c r="DX97" s="24">
        <v>0</v>
      </c>
      <c r="DY97" s="24">
        <v>0</v>
      </c>
      <c r="DZ97" s="24">
        <v>0</v>
      </c>
    </row>
    <row r="98" spans="1:130">
      <c r="A98" s="24" t="s">
        <v>142</v>
      </c>
      <c r="B98" s="24" t="s">
        <v>142</v>
      </c>
      <c r="C98" s="24" t="s">
        <v>142</v>
      </c>
      <c r="D98" s="24" t="s">
        <v>142</v>
      </c>
      <c r="E98" s="24">
        <v>5507</v>
      </c>
      <c r="F98" s="24" t="s">
        <v>762</v>
      </c>
      <c r="G98" s="24">
        <v>0</v>
      </c>
      <c r="H98" s="24">
        <v>505507</v>
      </c>
      <c r="I98" s="24" t="s">
        <v>762</v>
      </c>
      <c r="J98" s="24" t="s">
        <v>765</v>
      </c>
      <c r="K98" s="24" t="s">
        <v>799</v>
      </c>
      <c r="M98" s="24">
        <v>102</v>
      </c>
      <c r="N98" s="24">
        <v>0</v>
      </c>
      <c r="P98" s="25">
        <v>2</v>
      </c>
      <c r="Q98" s="25">
        <v>524544</v>
      </c>
      <c r="R98" s="24">
        <v>0</v>
      </c>
      <c r="S98" s="25">
        <v>0</v>
      </c>
      <c r="T98" s="24"/>
      <c r="U98" s="24">
        <v>0</v>
      </c>
      <c r="V98" s="25">
        <v>0</v>
      </c>
      <c r="W98" s="24">
        <v>0</v>
      </c>
      <c r="X98" s="24">
        <v>0</v>
      </c>
      <c r="Y98" s="24">
        <v>0</v>
      </c>
      <c r="Z98" s="24">
        <v>0</v>
      </c>
      <c r="AB98" s="24">
        <v>10001</v>
      </c>
      <c r="AC98" s="24">
        <v>-1</v>
      </c>
      <c r="AD98" s="24">
        <v>-1</v>
      </c>
      <c r="AE98" s="24">
        <v>-1</v>
      </c>
      <c r="AG98" s="24">
        <v>1</v>
      </c>
      <c r="AH98" s="24">
        <v>0</v>
      </c>
      <c r="AI98" s="24">
        <v>0</v>
      </c>
      <c r="AJ98" s="24">
        <v>0</v>
      </c>
      <c r="AK98" s="24">
        <v>0</v>
      </c>
      <c r="AL98" s="24">
        <v>0</v>
      </c>
      <c r="AM98" s="24">
        <v>0</v>
      </c>
      <c r="AN98" s="24">
        <v>0</v>
      </c>
      <c r="AO98" s="24">
        <v>0</v>
      </c>
      <c r="AP98" s="24">
        <v>0</v>
      </c>
      <c r="AQ98" s="24">
        <v>0</v>
      </c>
      <c r="AR98" s="24">
        <v>0</v>
      </c>
      <c r="AS98" s="24">
        <v>0</v>
      </c>
      <c r="AT98" s="24">
        <v>0</v>
      </c>
      <c r="AU98" s="24">
        <v>0</v>
      </c>
      <c r="AV98" s="24">
        <v>0</v>
      </c>
      <c r="AW98" s="24">
        <v>0</v>
      </c>
      <c r="AX98" s="24">
        <v>0</v>
      </c>
      <c r="AY98" s="24">
        <v>0</v>
      </c>
      <c r="BA98" s="24">
        <v>0</v>
      </c>
      <c r="BB98" s="24">
        <v>2200</v>
      </c>
      <c r="BC98" s="24">
        <v>2400</v>
      </c>
      <c r="BD98" s="24">
        <v>450</v>
      </c>
      <c r="BE98" s="24">
        <v>150</v>
      </c>
      <c r="BF98" s="24">
        <v>6</v>
      </c>
      <c r="BG98" s="25">
        <v>1</v>
      </c>
      <c r="BH98" s="24">
        <v>1</v>
      </c>
      <c r="BI98" s="24">
        <v>0</v>
      </c>
      <c r="BJ98" s="24">
        <v>0</v>
      </c>
      <c r="BK98" s="24">
        <v>0</v>
      </c>
      <c r="BL98" s="25">
        <v>126</v>
      </c>
      <c r="BM98" s="24">
        <v>0</v>
      </c>
      <c r="BO98" s="25">
        <v>16</v>
      </c>
      <c r="BP98" s="24">
        <v>6</v>
      </c>
      <c r="BQ98" s="24">
        <v>0</v>
      </c>
      <c r="BR98" s="24">
        <v>3</v>
      </c>
      <c r="BS98" s="24">
        <v>1</v>
      </c>
      <c r="BT98" s="24">
        <v>60</v>
      </c>
      <c r="BU98" s="24">
        <v>120</v>
      </c>
      <c r="BV98" s="24">
        <v>6</v>
      </c>
      <c r="BW98" s="24">
        <v>0</v>
      </c>
      <c r="BX98" s="24">
        <v>4</v>
      </c>
      <c r="BZ98" s="24">
        <v>5507</v>
      </c>
      <c r="CA98" s="24">
        <v>0</v>
      </c>
      <c r="CB98" s="24">
        <v>0</v>
      </c>
      <c r="CC98" s="24">
        <v>0</v>
      </c>
      <c r="CD98" s="24">
        <v>0</v>
      </c>
      <c r="CE98" s="24">
        <v>0</v>
      </c>
      <c r="CG98" s="24">
        <v>-1</v>
      </c>
      <c r="CH98" s="24">
        <v>0</v>
      </c>
      <c r="CI98" s="24">
        <v>0</v>
      </c>
      <c r="CJ98" s="24">
        <v>0</v>
      </c>
      <c r="CK98" s="24">
        <v>0</v>
      </c>
      <c r="CL98" s="24">
        <v>0</v>
      </c>
      <c r="CM98" s="24">
        <v>0</v>
      </c>
      <c r="CN98" s="24">
        <v>0</v>
      </c>
      <c r="CO98" s="24">
        <v>0</v>
      </c>
      <c r="CQ98" s="24">
        <v>0</v>
      </c>
      <c r="CR98" s="24">
        <v>0</v>
      </c>
      <c r="CS98" s="24">
        <v>0</v>
      </c>
      <c r="CT98" s="24">
        <v>0</v>
      </c>
      <c r="CV98" s="24">
        <v>100606</v>
      </c>
      <c r="CW98" s="24">
        <v>18</v>
      </c>
      <c r="CX98" s="24">
        <v>6001</v>
      </c>
      <c r="CY98" s="26">
        <v>1</v>
      </c>
      <c r="CZ98" s="24">
        <v>1</v>
      </c>
      <c r="DA98" s="24">
        <v>0</v>
      </c>
      <c r="DC98" s="24">
        <v>1</v>
      </c>
      <c r="DD98" s="24">
        <v>0</v>
      </c>
      <c r="DE98" s="24">
        <v>0</v>
      </c>
      <c r="DF98" s="24">
        <v>0</v>
      </c>
      <c r="DG98" s="24">
        <v>-1</v>
      </c>
      <c r="DI98" s="24">
        <v>0</v>
      </c>
      <c r="DJ98" s="24">
        <v>0</v>
      </c>
      <c r="DL98" s="24">
        <v>0</v>
      </c>
      <c r="DM98" s="24">
        <v>0</v>
      </c>
      <c r="DO98" s="24">
        <v>0</v>
      </c>
      <c r="DP98" s="24">
        <v>0</v>
      </c>
      <c r="DQ98" s="24">
        <v>0</v>
      </c>
      <c r="DR98" s="24">
        <v>0</v>
      </c>
      <c r="DS98" s="24">
        <v>0</v>
      </c>
      <c r="DT98" s="24">
        <v>0</v>
      </c>
      <c r="DV98" s="24">
        <v>0</v>
      </c>
      <c r="DW98" s="24">
        <v>0</v>
      </c>
      <c r="DX98" s="24">
        <v>0</v>
      </c>
      <c r="DY98" s="24">
        <v>0</v>
      </c>
      <c r="DZ98" s="24">
        <v>0</v>
      </c>
    </row>
    <row r="99" spans="1:130">
      <c r="A99" s="24" t="s">
        <v>142</v>
      </c>
      <c r="B99" s="24" t="s">
        <v>142</v>
      </c>
      <c r="C99" s="24" t="s">
        <v>142</v>
      </c>
      <c r="D99" s="24" t="s">
        <v>142</v>
      </c>
      <c r="E99" s="24">
        <v>5508</v>
      </c>
      <c r="F99" s="24" t="s">
        <v>763</v>
      </c>
      <c r="G99" s="24">
        <v>0</v>
      </c>
      <c r="H99" s="24">
        <v>505508</v>
      </c>
      <c r="I99" s="24" t="s">
        <v>763</v>
      </c>
      <c r="J99" s="24" t="s">
        <v>763</v>
      </c>
      <c r="K99" s="24" t="s">
        <v>473</v>
      </c>
      <c r="M99" s="24">
        <v>0</v>
      </c>
      <c r="N99" s="24">
        <v>0</v>
      </c>
      <c r="P99" s="25">
        <v>12</v>
      </c>
      <c r="Q99" s="25">
        <v>0</v>
      </c>
      <c r="R99" s="24">
        <v>5507</v>
      </c>
      <c r="S99" s="25">
        <v>0</v>
      </c>
      <c r="T99" s="24"/>
      <c r="U99" s="24">
        <v>1</v>
      </c>
      <c r="V99" s="25">
        <v>2050</v>
      </c>
      <c r="W99" s="24">
        <v>1</v>
      </c>
      <c r="X99" s="24">
        <v>5507</v>
      </c>
      <c r="Y99" s="24">
        <v>0</v>
      </c>
      <c r="Z99" s="24">
        <v>1000</v>
      </c>
      <c r="AB99" s="24">
        <v>30001</v>
      </c>
      <c r="AC99" s="24">
        <v>-1</v>
      </c>
      <c r="AD99" s="24">
        <v>-1</v>
      </c>
      <c r="AE99" s="24">
        <v>-1</v>
      </c>
      <c r="AG99" s="24">
        <v>1</v>
      </c>
      <c r="AH99" s="24">
        <v>0</v>
      </c>
      <c r="AI99" s="24">
        <v>0</v>
      </c>
      <c r="AJ99" s="24">
        <v>0</v>
      </c>
      <c r="AK99" s="24">
        <v>0</v>
      </c>
      <c r="AL99" s="24">
        <v>0</v>
      </c>
      <c r="AM99" s="24">
        <v>0</v>
      </c>
      <c r="AN99" s="24">
        <v>0</v>
      </c>
      <c r="AO99" s="24">
        <v>0</v>
      </c>
      <c r="AP99" s="24">
        <v>0</v>
      </c>
      <c r="AQ99" s="24">
        <v>0</v>
      </c>
      <c r="AR99" s="24">
        <v>0</v>
      </c>
      <c r="AS99" s="24">
        <v>0</v>
      </c>
      <c r="AT99" s="24">
        <v>0</v>
      </c>
      <c r="AU99" s="24">
        <v>0</v>
      </c>
      <c r="AV99" s="24">
        <v>0</v>
      </c>
      <c r="AW99" s="24">
        <v>0</v>
      </c>
      <c r="AX99" s="24">
        <v>0</v>
      </c>
      <c r="AY99" s="24">
        <v>0</v>
      </c>
      <c r="BA99" s="24">
        <v>0</v>
      </c>
      <c r="BB99" s="24">
        <v>0</v>
      </c>
      <c r="BC99" s="24">
        <v>0</v>
      </c>
      <c r="BD99" s="24">
        <v>0</v>
      </c>
      <c r="BE99" s="24">
        <v>0</v>
      </c>
      <c r="BF99" s="24">
        <v>1</v>
      </c>
      <c r="BG99" s="25">
        <v>1024</v>
      </c>
      <c r="BH99" s="24">
        <v>4</v>
      </c>
      <c r="BI99" s="24">
        <v>5508</v>
      </c>
      <c r="BJ99" s="24">
        <v>1</v>
      </c>
      <c r="BK99" s="24">
        <v>1</v>
      </c>
      <c r="BL99" s="25">
        <v>126</v>
      </c>
      <c r="BM99" s="24">
        <v>0</v>
      </c>
      <c r="BO99" s="25">
        <v>4</v>
      </c>
      <c r="BP99" s="24">
        <v>0</v>
      </c>
      <c r="BQ99" s="24">
        <v>0</v>
      </c>
      <c r="BR99" s="24">
        <v>3</v>
      </c>
      <c r="BS99" s="24">
        <v>1</v>
      </c>
      <c r="BT99" s="24">
        <v>60</v>
      </c>
      <c r="BU99" s="24">
        <v>120</v>
      </c>
      <c r="BV99" s="24">
        <v>6</v>
      </c>
      <c r="BW99" s="24">
        <v>0</v>
      </c>
      <c r="BX99" s="24">
        <v>4</v>
      </c>
      <c r="BZ99" s="24">
        <v>-1</v>
      </c>
      <c r="CA99" s="24">
        <v>0</v>
      </c>
      <c r="CB99" s="24">
        <v>0</v>
      </c>
      <c r="CC99" s="24">
        <v>0</v>
      </c>
      <c r="CD99" s="24">
        <v>0</v>
      </c>
      <c r="CE99" s="24">
        <v>0</v>
      </c>
      <c r="CG99" s="24">
        <v>-1</v>
      </c>
      <c r="CH99" s="24">
        <v>0</v>
      </c>
      <c r="CI99" s="24">
        <v>0</v>
      </c>
      <c r="CJ99" s="24">
        <v>0</v>
      </c>
      <c r="CK99" s="24">
        <v>0</v>
      </c>
      <c r="CL99" s="24">
        <v>0</v>
      </c>
      <c r="CM99" s="24">
        <v>0</v>
      </c>
      <c r="CN99" s="24">
        <v>0</v>
      </c>
      <c r="CO99" s="24">
        <v>0</v>
      </c>
      <c r="CQ99" s="24">
        <v>0</v>
      </c>
      <c r="CR99" s="24">
        <v>0</v>
      </c>
      <c r="CS99" s="24">
        <v>0</v>
      </c>
      <c r="CT99" s="24">
        <v>0</v>
      </c>
      <c r="CV99" s="24">
        <v>0</v>
      </c>
      <c r="CW99" s="24">
        <v>18</v>
      </c>
      <c r="CX99" s="24">
        <v>-1</v>
      </c>
      <c r="CY99" s="26">
        <v>0</v>
      </c>
      <c r="CZ99" s="24">
        <v>1</v>
      </c>
      <c r="DA99" s="24">
        <v>0</v>
      </c>
      <c r="DC99" s="24">
        <v>0</v>
      </c>
      <c r="DD99" s="24">
        <v>0</v>
      </c>
      <c r="DE99" s="24">
        <v>0</v>
      </c>
      <c r="DF99" s="24">
        <v>0</v>
      </c>
      <c r="DG99" s="24">
        <v>-1</v>
      </c>
      <c r="DI99" s="24">
        <v>0</v>
      </c>
      <c r="DJ99" s="24">
        <v>0</v>
      </c>
      <c r="DL99" s="24">
        <v>0</v>
      </c>
      <c r="DM99" s="24">
        <v>0</v>
      </c>
      <c r="DO99" s="24">
        <v>0</v>
      </c>
      <c r="DP99" s="24">
        <v>0</v>
      </c>
      <c r="DQ99" s="24">
        <v>0</v>
      </c>
      <c r="DR99" s="24">
        <v>0</v>
      </c>
      <c r="DS99" s="24">
        <v>0</v>
      </c>
      <c r="DT99" s="24">
        <v>0</v>
      </c>
      <c r="DV99" s="24">
        <v>0</v>
      </c>
      <c r="DW99" s="24">
        <v>0</v>
      </c>
      <c r="DX99" s="24">
        <v>0</v>
      </c>
      <c r="DY99" s="24">
        <v>0</v>
      </c>
      <c r="DZ99" s="24">
        <v>0</v>
      </c>
    </row>
    <row r="100" spans="1:130">
      <c r="A100" s="24" t="s">
        <v>142</v>
      </c>
      <c r="B100" s="24" t="s">
        <v>142</v>
      </c>
      <c r="C100" s="24" t="s">
        <v>142</v>
      </c>
      <c r="D100" s="24" t="s">
        <v>142</v>
      </c>
      <c r="E100" s="24">
        <v>5509</v>
      </c>
      <c r="F100" s="24" t="s">
        <v>767</v>
      </c>
      <c r="G100" s="24">
        <v>0</v>
      </c>
      <c r="H100" s="24">
        <v>505509</v>
      </c>
      <c r="I100" s="24" t="s">
        <v>767</v>
      </c>
      <c r="J100" s="24" t="s">
        <v>767</v>
      </c>
      <c r="K100" s="24" t="s">
        <v>473</v>
      </c>
      <c r="M100" s="24">
        <v>0</v>
      </c>
      <c r="N100" s="24">
        <v>0</v>
      </c>
      <c r="P100" s="25">
        <v>12</v>
      </c>
      <c r="Q100" s="25">
        <v>0</v>
      </c>
      <c r="R100" s="24">
        <v>5507</v>
      </c>
      <c r="S100" s="25">
        <v>0</v>
      </c>
      <c r="T100" s="24"/>
      <c r="U100" s="24">
        <v>1</v>
      </c>
      <c r="V100" s="25">
        <v>2050</v>
      </c>
      <c r="W100" s="24">
        <v>1</v>
      </c>
      <c r="X100" s="24">
        <v>5507</v>
      </c>
      <c r="Y100" s="24">
        <v>0</v>
      </c>
      <c r="Z100" s="24">
        <v>1000</v>
      </c>
      <c r="AB100" s="24">
        <v>30001</v>
      </c>
      <c r="AC100" s="24">
        <v>-1</v>
      </c>
      <c r="AD100" s="24">
        <v>-1</v>
      </c>
      <c r="AE100" s="24">
        <v>-1</v>
      </c>
      <c r="AG100" s="24">
        <v>1</v>
      </c>
      <c r="AH100" s="24">
        <v>0</v>
      </c>
      <c r="AI100" s="24">
        <v>0</v>
      </c>
      <c r="AJ100" s="24">
        <v>0</v>
      </c>
      <c r="AK100" s="24">
        <v>0</v>
      </c>
      <c r="AL100" s="24">
        <v>0</v>
      </c>
      <c r="AM100" s="24">
        <v>0</v>
      </c>
      <c r="AN100" s="24">
        <v>0</v>
      </c>
      <c r="AO100" s="24">
        <v>0</v>
      </c>
      <c r="AP100" s="24">
        <v>0</v>
      </c>
      <c r="AQ100" s="24">
        <v>0</v>
      </c>
      <c r="AR100" s="24">
        <v>0</v>
      </c>
      <c r="AS100" s="24">
        <v>0</v>
      </c>
      <c r="AT100" s="24">
        <v>0</v>
      </c>
      <c r="AU100" s="24">
        <v>0</v>
      </c>
      <c r="AV100" s="24">
        <v>0</v>
      </c>
      <c r="AW100" s="24">
        <v>0</v>
      </c>
      <c r="AX100" s="24">
        <v>0</v>
      </c>
      <c r="AY100" s="24">
        <v>0</v>
      </c>
      <c r="BA100" s="24">
        <v>0</v>
      </c>
      <c r="BB100" s="24">
        <v>0</v>
      </c>
      <c r="BC100" s="24">
        <v>0</v>
      </c>
      <c r="BD100" s="24">
        <v>0</v>
      </c>
      <c r="BE100" s="24">
        <v>0</v>
      </c>
      <c r="BF100" s="24">
        <v>1</v>
      </c>
      <c r="BG100" s="25">
        <v>514</v>
      </c>
      <c r="BH100" s="24">
        <v>15</v>
      </c>
      <c r="BI100" s="24">
        <v>0</v>
      </c>
      <c r="BJ100" s="24">
        <v>0</v>
      </c>
      <c r="BK100" s="24">
        <v>0</v>
      </c>
      <c r="BL100" s="25">
        <v>126</v>
      </c>
      <c r="BM100" s="24">
        <v>5509</v>
      </c>
      <c r="BO100" s="25">
        <v>1</v>
      </c>
      <c r="BP100" s="24">
        <v>0</v>
      </c>
      <c r="BQ100" s="24">
        <v>0</v>
      </c>
      <c r="BR100" s="24">
        <v>1</v>
      </c>
      <c r="BS100" s="24">
        <v>0</v>
      </c>
      <c r="BT100" s="24">
        <v>0</v>
      </c>
      <c r="BU100" s="24">
        <v>0</v>
      </c>
      <c r="BV100" s="24">
        <v>0</v>
      </c>
      <c r="BW100" s="24">
        <v>0</v>
      </c>
      <c r="BX100" s="24">
        <v>1</v>
      </c>
      <c r="BZ100" s="24">
        <v>-1</v>
      </c>
      <c r="CA100" s="24">
        <v>0</v>
      </c>
      <c r="CB100" s="24">
        <v>0</v>
      </c>
      <c r="CC100" s="24">
        <v>0</v>
      </c>
      <c r="CD100" s="24">
        <v>0</v>
      </c>
      <c r="CE100" s="24">
        <v>0</v>
      </c>
      <c r="CG100" s="24">
        <v>-1</v>
      </c>
      <c r="CH100" s="24">
        <v>0</v>
      </c>
      <c r="CI100" s="24">
        <v>0</v>
      </c>
      <c r="CJ100" s="24">
        <v>0</v>
      </c>
      <c r="CK100" s="24">
        <v>0</v>
      </c>
      <c r="CL100" s="24">
        <v>0</v>
      </c>
      <c r="CM100" s="24">
        <v>0</v>
      </c>
      <c r="CN100" s="24">
        <v>0</v>
      </c>
      <c r="CO100" s="24">
        <v>0</v>
      </c>
      <c r="CQ100" s="24">
        <v>0</v>
      </c>
      <c r="CR100" s="24">
        <v>0</v>
      </c>
      <c r="CS100" s="24">
        <v>0</v>
      </c>
      <c r="CT100" s="24">
        <v>0</v>
      </c>
      <c r="CV100" s="24">
        <v>0</v>
      </c>
      <c r="CW100" s="24">
        <v>18</v>
      </c>
      <c r="CX100" s="24">
        <v>-1</v>
      </c>
      <c r="CY100" s="26">
        <v>0</v>
      </c>
      <c r="CZ100" s="24">
        <v>1</v>
      </c>
      <c r="DA100" s="24">
        <v>0</v>
      </c>
      <c r="DC100" s="24">
        <v>0</v>
      </c>
      <c r="DD100" s="24">
        <v>0</v>
      </c>
      <c r="DE100" s="24">
        <v>0</v>
      </c>
      <c r="DF100" s="24">
        <v>0</v>
      </c>
      <c r="DG100" s="24">
        <v>-1</v>
      </c>
      <c r="DI100" s="24">
        <v>0</v>
      </c>
      <c r="DJ100" s="24">
        <v>0</v>
      </c>
      <c r="DL100" s="24">
        <v>0</v>
      </c>
      <c r="DM100" s="24">
        <v>0</v>
      </c>
      <c r="DO100" s="24">
        <v>0</v>
      </c>
      <c r="DP100" s="24">
        <v>0</v>
      </c>
      <c r="DQ100" s="24">
        <v>0</v>
      </c>
      <c r="DR100" s="24">
        <v>0</v>
      </c>
      <c r="DS100" s="24">
        <v>0</v>
      </c>
      <c r="DT100" s="24">
        <v>0</v>
      </c>
      <c r="DV100" s="24">
        <v>0</v>
      </c>
      <c r="DW100" s="24">
        <v>0</v>
      </c>
      <c r="DX100" s="24">
        <v>0</v>
      </c>
      <c r="DY100" s="24">
        <v>0</v>
      </c>
      <c r="DZ100" s="24">
        <v>0</v>
      </c>
    </row>
    <row r="101" spans="1:130">
      <c r="A101" s="24" t="s">
        <v>142</v>
      </c>
      <c r="B101" s="24" t="s">
        <v>142</v>
      </c>
      <c r="C101" s="24" t="s">
        <v>142</v>
      </c>
      <c r="D101" s="24" t="s">
        <v>142</v>
      </c>
      <c r="E101" s="24">
        <v>5510</v>
      </c>
      <c r="F101" s="24" t="s">
        <v>764</v>
      </c>
      <c r="G101" s="24">
        <v>0</v>
      </c>
      <c r="H101" s="24">
        <v>505510</v>
      </c>
      <c r="I101" s="24" t="s">
        <v>764</v>
      </c>
      <c r="J101" s="24" t="s">
        <v>764</v>
      </c>
      <c r="K101" s="24" t="s">
        <v>800</v>
      </c>
      <c r="M101" s="24">
        <v>102</v>
      </c>
      <c r="N101" s="24">
        <v>0</v>
      </c>
      <c r="P101" s="25">
        <v>2</v>
      </c>
      <c r="Q101" s="25">
        <v>2098176</v>
      </c>
      <c r="R101" s="24">
        <v>0</v>
      </c>
      <c r="S101" s="25">
        <v>0</v>
      </c>
      <c r="T101" s="24"/>
      <c r="U101" s="24">
        <v>0</v>
      </c>
      <c r="V101" s="25">
        <v>0</v>
      </c>
      <c r="W101" s="24">
        <v>0</v>
      </c>
      <c r="X101" s="24">
        <v>0</v>
      </c>
      <c r="Y101" s="24">
        <v>0</v>
      </c>
      <c r="Z101" s="24">
        <v>0</v>
      </c>
      <c r="AB101" s="24">
        <v>10001</v>
      </c>
      <c r="AC101" s="24">
        <v>-1</v>
      </c>
      <c r="AD101" s="24">
        <v>-1</v>
      </c>
      <c r="AE101" s="24">
        <v>-1</v>
      </c>
      <c r="AG101" s="24">
        <v>2</v>
      </c>
      <c r="AH101" s="24">
        <v>0</v>
      </c>
      <c r="AI101" s="24">
        <v>0</v>
      </c>
      <c r="AJ101" s="24">
        <v>0</v>
      </c>
      <c r="AK101" s="24">
        <v>1</v>
      </c>
      <c r="AL101" s="24">
        <v>1</v>
      </c>
      <c r="AM101" s="24">
        <v>0</v>
      </c>
      <c r="AN101" s="24">
        <v>0</v>
      </c>
      <c r="AO101" s="24">
        <v>0</v>
      </c>
      <c r="AP101" s="24">
        <v>3000</v>
      </c>
      <c r="AQ101" s="24">
        <v>6</v>
      </c>
      <c r="AR101" s="24">
        <v>0</v>
      </c>
      <c r="AS101" s="24">
        <v>0</v>
      </c>
      <c r="AT101" s="24">
        <v>1</v>
      </c>
      <c r="AU101" s="24">
        <v>4014</v>
      </c>
      <c r="AV101" s="24">
        <v>0</v>
      </c>
      <c r="AW101" s="24">
        <v>0</v>
      </c>
      <c r="AX101" s="24">
        <v>0</v>
      </c>
      <c r="AY101" s="24">
        <v>0</v>
      </c>
      <c r="BA101" s="24">
        <v>0</v>
      </c>
      <c r="BB101" s="24">
        <v>2250</v>
      </c>
      <c r="BC101" s="24">
        <v>2700</v>
      </c>
      <c r="BD101" s="24">
        <v>0</v>
      </c>
      <c r="BE101" s="24">
        <v>0</v>
      </c>
      <c r="BF101" s="24">
        <v>1</v>
      </c>
      <c r="BG101" s="25">
        <v>514</v>
      </c>
      <c r="BH101" s="24">
        <v>15</v>
      </c>
      <c r="BI101" s="24">
        <v>0</v>
      </c>
      <c r="BJ101" s="24">
        <v>0</v>
      </c>
      <c r="BK101" s="24">
        <v>0</v>
      </c>
      <c r="BL101" s="25">
        <v>126</v>
      </c>
      <c r="BM101" s="24">
        <v>5510</v>
      </c>
      <c r="BO101" s="25">
        <v>2</v>
      </c>
      <c r="BP101" s="24">
        <v>10</v>
      </c>
      <c r="BQ101" s="24">
        <v>0</v>
      </c>
      <c r="BR101" s="24">
        <v>1</v>
      </c>
      <c r="BS101" s="24">
        <v>0</v>
      </c>
      <c r="BT101" s="24">
        <v>0</v>
      </c>
      <c r="BU101" s="24">
        <v>0</v>
      </c>
      <c r="BV101" s="24">
        <v>0</v>
      </c>
      <c r="BW101" s="24">
        <v>0</v>
      </c>
      <c r="BX101" s="24">
        <v>0</v>
      </c>
      <c r="BZ101" s="24">
        <v>5510</v>
      </c>
      <c r="CA101" s="24">
        <v>0</v>
      </c>
      <c r="CB101" s="24">
        <v>0</v>
      </c>
      <c r="CC101" s="24">
        <v>0</v>
      </c>
      <c r="CD101" s="24">
        <v>0</v>
      </c>
      <c r="CE101" s="24">
        <v>0</v>
      </c>
      <c r="CG101" s="24">
        <v>-1</v>
      </c>
      <c r="CH101" s="24">
        <v>0</v>
      </c>
      <c r="CI101" s="24">
        <v>0</v>
      </c>
      <c r="CJ101" s="24">
        <v>0</v>
      </c>
      <c r="CK101" s="24">
        <v>0</v>
      </c>
      <c r="CL101" s="24">
        <v>0</v>
      </c>
      <c r="CM101" s="24">
        <v>0</v>
      </c>
      <c r="CN101" s="24">
        <v>0</v>
      </c>
      <c r="CO101" s="24">
        <v>0</v>
      </c>
      <c r="CQ101" s="24">
        <v>0</v>
      </c>
      <c r="CR101" s="24">
        <v>0</v>
      </c>
      <c r="CS101" s="24">
        <v>0</v>
      </c>
      <c r="CT101" s="24">
        <v>0</v>
      </c>
      <c r="CV101" s="24">
        <v>100608</v>
      </c>
      <c r="CW101" s="24">
        <v>18</v>
      </c>
      <c r="CX101" s="24">
        <v>1001</v>
      </c>
      <c r="CY101" s="26">
        <v>1</v>
      </c>
      <c r="CZ101" s="24">
        <v>1</v>
      </c>
      <c r="DA101" s="24">
        <v>0</v>
      </c>
      <c r="DC101" s="24">
        <v>1</v>
      </c>
      <c r="DD101" s="24">
        <v>2</v>
      </c>
      <c r="DE101" s="24">
        <v>0</v>
      </c>
      <c r="DF101" s="24">
        <v>0</v>
      </c>
      <c r="DG101" s="24">
        <v>-1</v>
      </c>
      <c r="DI101" s="24">
        <v>0</v>
      </c>
      <c r="DJ101" s="24">
        <v>0</v>
      </c>
      <c r="DL101" s="24">
        <v>0</v>
      </c>
      <c r="DM101" s="24">
        <v>0</v>
      </c>
      <c r="DO101" s="24">
        <v>0</v>
      </c>
      <c r="DP101" s="24">
        <v>0</v>
      </c>
      <c r="DQ101" s="24">
        <v>0</v>
      </c>
      <c r="DR101" s="24">
        <v>0</v>
      </c>
      <c r="DS101" s="24">
        <v>0</v>
      </c>
      <c r="DT101" s="24">
        <v>0</v>
      </c>
      <c r="DV101" s="24">
        <v>0</v>
      </c>
      <c r="DW101" s="24">
        <v>0</v>
      </c>
      <c r="DX101" s="24">
        <v>0</v>
      </c>
      <c r="DY101" s="24">
        <v>0</v>
      </c>
      <c r="DZ101" s="24">
        <v>0</v>
      </c>
    </row>
    <row r="102" spans="1:130">
      <c r="A102" s="24" t="s">
        <v>142</v>
      </c>
      <c r="B102" s="24" t="s">
        <v>142</v>
      </c>
      <c r="C102" s="24" t="s">
        <v>142</v>
      </c>
      <c r="D102" s="24" t="s">
        <v>142</v>
      </c>
      <c r="E102" s="24">
        <v>5511</v>
      </c>
      <c r="F102" s="24" t="s">
        <v>770</v>
      </c>
      <c r="G102" s="24">
        <v>0</v>
      </c>
      <c r="H102" s="24">
        <v>505511</v>
      </c>
      <c r="I102" s="24" t="s">
        <v>770</v>
      </c>
      <c r="J102" s="24" t="s">
        <v>766</v>
      </c>
      <c r="K102" s="24" t="s">
        <v>843</v>
      </c>
      <c r="M102" s="24">
        <v>102</v>
      </c>
      <c r="N102" s="24">
        <v>0</v>
      </c>
      <c r="P102" s="25">
        <v>2</v>
      </c>
      <c r="Q102" s="25">
        <v>2097408</v>
      </c>
      <c r="R102" s="24">
        <v>0</v>
      </c>
      <c r="S102" s="25">
        <v>0</v>
      </c>
      <c r="T102" s="24"/>
      <c r="U102" s="24">
        <v>0</v>
      </c>
      <c r="V102" s="25">
        <v>0</v>
      </c>
      <c r="W102" s="24">
        <v>0</v>
      </c>
      <c r="X102" s="24">
        <v>0</v>
      </c>
      <c r="Y102" s="24">
        <v>0</v>
      </c>
      <c r="Z102" s="24">
        <v>0</v>
      </c>
      <c r="AB102" s="24">
        <v>10001</v>
      </c>
      <c r="AC102" s="24">
        <v>-1</v>
      </c>
      <c r="AD102" s="24">
        <v>-1</v>
      </c>
      <c r="AE102" s="24">
        <v>-1</v>
      </c>
      <c r="AG102" s="24">
        <v>1</v>
      </c>
      <c r="AH102" s="24">
        <v>0</v>
      </c>
      <c r="AI102" s="24">
        <v>0</v>
      </c>
      <c r="AJ102" s="24">
        <v>0</v>
      </c>
      <c r="AK102" s="24">
        <v>0</v>
      </c>
      <c r="AL102" s="24">
        <v>0</v>
      </c>
      <c r="AM102" s="24">
        <v>0</v>
      </c>
      <c r="AN102" s="24">
        <v>0</v>
      </c>
      <c r="AO102" s="24">
        <v>0</v>
      </c>
      <c r="AP102" s="24">
        <v>0</v>
      </c>
      <c r="AQ102" s="24">
        <v>0</v>
      </c>
      <c r="AR102" s="24">
        <v>0</v>
      </c>
      <c r="AS102" s="24">
        <v>0</v>
      </c>
      <c r="AT102" s="24">
        <v>0</v>
      </c>
      <c r="AU102" s="24">
        <v>0</v>
      </c>
      <c r="AV102" s="24">
        <v>0</v>
      </c>
      <c r="AW102" s="24">
        <v>0</v>
      </c>
      <c r="AX102" s="24">
        <v>0</v>
      </c>
      <c r="AY102" s="24">
        <v>0</v>
      </c>
      <c r="BA102" s="24">
        <v>0</v>
      </c>
      <c r="BB102" s="24">
        <v>1480</v>
      </c>
      <c r="BC102" s="24">
        <v>1800</v>
      </c>
      <c r="BD102" s="24">
        <v>0</v>
      </c>
      <c r="BE102" s="24">
        <v>810</v>
      </c>
      <c r="BF102" s="24">
        <v>1</v>
      </c>
      <c r="BG102" s="25">
        <v>514</v>
      </c>
      <c r="BH102" s="24">
        <v>15</v>
      </c>
      <c r="BI102" s="24">
        <v>0</v>
      </c>
      <c r="BJ102" s="24">
        <v>0</v>
      </c>
      <c r="BK102" s="24">
        <v>0</v>
      </c>
      <c r="BL102" s="25">
        <v>126</v>
      </c>
      <c r="BM102" s="24">
        <v>5511</v>
      </c>
      <c r="BO102" s="25">
        <v>1</v>
      </c>
      <c r="BP102" s="24">
        <v>0</v>
      </c>
      <c r="BQ102" s="24">
        <v>0</v>
      </c>
      <c r="BR102" s="24">
        <v>1</v>
      </c>
      <c r="BS102" s="24">
        <v>0</v>
      </c>
      <c r="BT102" s="24">
        <v>0</v>
      </c>
      <c r="BU102" s="24">
        <v>0</v>
      </c>
      <c r="BV102" s="24">
        <v>0</v>
      </c>
      <c r="BW102" s="24">
        <v>0</v>
      </c>
      <c r="BX102" s="24">
        <v>0</v>
      </c>
      <c r="BZ102" s="24">
        <v>5511</v>
      </c>
      <c r="CA102" s="24">
        <v>0</v>
      </c>
      <c r="CB102" s="24">
        <v>0</v>
      </c>
      <c r="CC102" s="24">
        <v>0</v>
      </c>
      <c r="CD102" s="24">
        <v>0</v>
      </c>
      <c r="CE102" s="24">
        <v>0</v>
      </c>
      <c r="CG102" s="24">
        <v>-1</v>
      </c>
      <c r="CH102" s="24">
        <v>0</v>
      </c>
      <c r="CI102" s="24">
        <v>0</v>
      </c>
      <c r="CJ102" s="24">
        <v>0</v>
      </c>
      <c r="CK102" s="24">
        <v>0</v>
      </c>
      <c r="CL102" s="24">
        <v>0</v>
      </c>
      <c r="CM102" s="24">
        <v>0</v>
      </c>
      <c r="CN102" s="24">
        <v>0</v>
      </c>
      <c r="CO102" s="24">
        <v>0</v>
      </c>
      <c r="CQ102" s="24">
        <v>0</v>
      </c>
      <c r="CR102" s="24">
        <v>0</v>
      </c>
      <c r="CS102" s="24">
        <v>0</v>
      </c>
      <c r="CT102" s="24">
        <v>0</v>
      </c>
      <c r="CV102" s="24">
        <v>100607</v>
      </c>
      <c r="CW102" s="24">
        <v>18</v>
      </c>
      <c r="CX102" s="24">
        <v>1001</v>
      </c>
      <c r="CY102" s="26">
        <v>1</v>
      </c>
      <c r="CZ102" s="24">
        <v>1</v>
      </c>
      <c r="DA102" s="24">
        <v>0</v>
      </c>
      <c r="DC102" s="24">
        <v>0</v>
      </c>
      <c r="DD102" s="24">
        <v>0</v>
      </c>
      <c r="DE102" s="24">
        <v>0</v>
      </c>
      <c r="DF102" s="24">
        <v>0</v>
      </c>
      <c r="DG102" s="24">
        <v>-1</v>
      </c>
      <c r="DI102" s="24">
        <v>0</v>
      </c>
      <c r="DJ102" s="24">
        <v>0</v>
      </c>
      <c r="DL102" s="24">
        <v>0</v>
      </c>
      <c r="DM102" s="24">
        <v>0</v>
      </c>
      <c r="DO102" s="24">
        <v>0</v>
      </c>
      <c r="DP102" s="24">
        <v>0</v>
      </c>
      <c r="DQ102" s="24">
        <v>0</v>
      </c>
      <c r="DR102" s="24">
        <v>0</v>
      </c>
      <c r="DS102" s="24">
        <v>0</v>
      </c>
      <c r="DT102" s="24">
        <v>0</v>
      </c>
      <c r="DV102" s="24">
        <v>0</v>
      </c>
      <c r="DW102" s="24">
        <v>0</v>
      </c>
      <c r="DX102" s="24">
        <v>0</v>
      </c>
      <c r="DY102" s="24">
        <v>0</v>
      </c>
      <c r="DZ102" s="24">
        <v>0</v>
      </c>
    </row>
    <row r="103" spans="1:130">
      <c r="A103" s="24" t="s">
        <v>142</v>
      </c>
      <c r="B103" s="24" t="s">
        <v>142</v>
      </c>
      <c r="C103" s="24" t="s">
        <v>142</v>
      </c>
      <c r="D103" s="24" t="s">
        <v>142</v>
      </c>
      <c r="E103" s="24">
        <v>5512</v>
      </c>
      <c r="F103" s="24" t="s">
        <v>772</v>
      </c>
      <c r="G103" s="24">
        <v>0</v>
      </c>
      <c r="H103" s="24">
        <v>505512</v>
      </c>
      <c r="I103" s="24" t="s">
        <v>772</v>
      </c>
      <c r="J103" s="24" t="s">
        <v>772</v>
      </c>
      <c r="K103" s="24" t="s">
        <v>473</v>
      </c>
      <c r="M103" s="24">
        <v>0</v>
      </c>
      <c r="N103" s="24">
        <v>0</v>
      </c>
      <c r="P103" s="25">
        <v>12</v>
      </c>
      <c r="Q103" s="25">
        <v>0</v>
      </c>
      <c r="R103" s="24">
        <v>5501</v>
      </c>
      <c r="S103" s="25">
        <v>0</v>
      </c>
      <c r="T103" s="24"/>
      <c r="U103" s="24">
        <v>1</v>
      </c>
      <c r="V103" s="25">
        <v>2050</v>
      </c>
      <c r="W103" s="24">
        <v>1</v>
      </c>
      <c r="X103" s="24">
        <v>5501</v>
      </c>
      <c r="Y103" s="24">
        <v>0</v>
      </c>
      <c r="Z103" s="24">
        <v>1000</v>
      </c>
      <c r="AB103" s="24">
        <v>30001</v>
      </c>
      <c r="AC103" s="24">
        <v>-1</v>
      </c>
      <c r="AD103" s="24">
        <v>-1</v>
      </c>
      <c r="AE103" s="24">
        <v>-1</v>
      </c>
      <c r="AG103" s="24">
        <v>1</v>
      </c>
      <c r="AH103" s="24">
        <v>0</v>
      </c>
      <c r="AI103" s="24">
        <v>0</v>
      </c>
      <c r="AJ103" s="24">
        <v>0</v>
      </c>
      <c r="AK103" s="24">
        <v>0</v>
      </c>
      <c r="AL103" s="24">
        <v>0</v>
      </c>
      <c r="AM103" s="24">
        <v>0</v>
      </c>
      <c r="AN103" s="24">
        <v>0</v>
      </c>
      <c r="AO103" s="24">
        <v>0</v>
      </c>
      <c r="AP103" s="24">
        <v>0</v>
      </c>
      <c r="AQ103" s="24">
        <v>0</v>
      </c>
      <c r="AR103" s="24">
        <v>0</v>
      </c>
      <c r="AS103" s="24">
        <v>0</v>
      </c>
      <c r="AT103" s="24">
        <v>0</v>
      </c>
      <c r="AU103" s="24">
        <v>0</v>
      </c>
      <c r="AV103" s="24">
        <v>0</v>
      </c>
      <c r="AW103" s="24">
        <v>0</v>
      </c>
      <c r="AX103" s="24">
        <v>0</v>
      </c>
      <c r="AY103" s="24">
        <v>0</v>
      </c>
      <c r="BA103" s="24">
        <v>0</v>
      </c>
      <c r="BB103" s="24">
        <v>0</v>
      </c>
      <c r="BC103" s="24">
        <v>0</v>
      </c>
      <c r="BD103" s="24">
        <v>0</v>
      </c>
      <c r="BE103" s="24">
        <v>0</v>
      </c>
      <c r="BF103" s="24">
        <v>1</v>
      </c>
      <c r="BG103" s="25">
        <v>1024</v>
      </c>
      <c r="BH103" s="24">
        <v>4</v>
      </c>
      <c r="BI103" s="24">
        <v>5512</v>
      </c>
      <c r="BJ103" s="24">
        <v>1</v>
      </c>
      <c r="BK103" s="24">
        <v>1</v>
      </c>
      <c r="BL103" s="25">
        <v>126</v>
      </c>
      <c r="BM103" s="24">
        <v>0</v>
      </c>
      <c r="BO103" s="25">
        <v>1</v>
      </c>
      <c r="BP103" s="24">
        <v>0</v>
      </c>
      <c r="BQ103" s="24">
        <v>0</v>
      </c>
      <c r="BR103" s="24">
        <v>1</v>
      </c>
      <c r="BS103" s="24">
        <v>0</v>
      </c>
      <c r="BT103" s="24">
        <v>0</v>
      </c>
      <c r="BU103" s="24">
        <v>0</v>
      </c>
      <c r="BV103" s="24">
        <v>0</v>
      </c>
      <c r="BW103" s="24">
        <v>0</v>
      </c>
      <c r="BX103" s="24">
        <v>0</v>
      </c>
      <c r="BZ103" s="24">
        <v>-1</v>
      </c>
      <c r="CA103" s="24">
        <v>0</v>
      </c>
      <c r="CB103" s="24">
        <v>0</v>
      </c>
      <c r="CC103" s="24">
        <v>0</v>
      </c>
      <c r="CD103" s="24">
        <v>0</v>
      </c>
      <c r="CE103" s="24">
        <v>0</v>
      </c>
      <c r="CG103" s="24">
        <v>-1</v>
      </c>
      <c r="CH103" s="24">
        <v>0</v>
      </c>
      <c r="CI103" s="24">
        <v>0</v>
      </c>
      <c r="CJ103" s="24">
        <v>0</v>
      </c>
      <c r="CK103" s="24">
        <v>0</v>
      </c>
      <c r="CL103" s="24">
        <v>0</v>
      </c>
      <c r="CM103" s="24">
        <v>0</v>
      </c>
      <c r="CN103" s="24">
        <v>0</v>
      </c>
      <c r="CO103" s="24">
        <v>0</v>
      </c>
      <c r="CQ103" s="24">
        <v>0</v>
      </c>
      <c r="CR103" s="24">
        <v>0</v>
      </c>
      <c r="CS103" s="24">
        <v>0</v>
      </c>
      <c r="CT103" s="24">
        <v>0</v>
      </c>
      <c r="CV103" s="24">
        <v>0</v>
      </c>
      <c r="CW103" s="24">
        <v>18</v>
      </c>
      <c r="CX103" s="24">
        <v>-1</v>
      </c>
      <c r="CY103" s="26">
        <v>0</v>
      </c>
      <c r="CZ103" s="24">
        <v>1</v>
      </c>
      <c r="DA103" s="24">
        <v>0</v>
      </c>
      <c r="DC103" s="24">
        <v>0</v>
      </c>
      <c r="DD103" s="24">
        <v>0</v>
      </c>
      <c r="DE103" s="24">
        <v>0</v>
      </c>
      <c r="DF103" s="24">
        <v>0</v>
      </c>
      <c r="DG103" s="24">
        <v>-1</v>
      </c>
      <c r="DI103" s="24">
        <v>0</v>
      </c>
      <c r="DJ103" s="24">
        <v>0</v>
      </c>
      <c r="DL103" s="24">
        <v>0</v>
      </c>
      <c r="DM103" s="24">
        <v>0</v>
      </c>
      <c r="DO103" s="24">
        <v>0</v>
      </c>
      <c r="DP103" s="24">
        <v>0</v>
      </c>
      <c r="DQ103" s="24">
        <v>0</v>
      </c>
      <c r="DR103" s="24">
        <v>0</v>
      </c>
      <c r="DS103" s="24">
        <v>0</v>
      </c>
      <c r="DT103" s="24">
        <v>0</v>
      </c>
      <c r="DV103" s="24">
        <v>0</v>
      </c>
      <c r="DW103" s="24">
        <v>0</v>
      </c>
      <c r="DX103" s="24">
        <v>0</v>
      </c>
      <c r="DY103" s="24">
        <v>0</v>
      </c>
      <c r="DZ103" s="24">
        <v>0</v>
      </c>
    </row>
    <row r="104" spans="1:130">
      <c r="A104" s="24" t="s">
        <v>142</v>
      </c>
      <c r="B104" s="24" t="s">
        <v>142</v>
      </c>
      <c r="C104" s="24" t="s">
        <v>142</v>
      </c>
      <c r="D104" s="24" t="s">
        <v>142</v>
      </c>
      <c r="E104" s="24">
        <v>5513</v>
      </c>
      <c r="F104" s="24" t="s">
        <v>769</v>
      </c>
      <c r="G104" s="24">
        <v>0</v>
      </c>
      <c r="H104" s="24">
        <v>505513</v>
      </c>
      <c r="I104" s="24" t="s">
        <v>769</v>
      </c>
      <c r="J104" s="24" t="s">
        <v>769</v>
      </c>
      <c r="K104" s="24" t="s">
        <v>473</v>
      </c>
      <c r="M104" s="24">
        <v>0</v>
      </c>
      <c r="N104" s="24">
        <v>0</v>
      </c>
      <c r="P104" s="25">
        <v>12</v>
      </c>
      <c r="Q104" s="25">
        <v>0</v>
      </c>
      <c r="R104" s="24">
        <v>5511</v>
      </c>
      <c r="S104" s="25">
        <v>0</v>
      </c>
      <c r="T104" s="24"/>
      <c r="U104" s="24">
        <v>1</v>
      </c>
      <c r="V104" s="25">
        <v>2050</v>
      </c>
      <c r="W104" s="24">
        <v>1</v>
      </c>
      <c r="X104" s="24">
        <v>5511</v>
      </c>
      <c r="Y104" s="24">
        <v>0</v>
      </c>
      <c r="Z104" s="24">
        <v>1000</v>
      </c>
      <c r="AB104" s="24">
        <v>30001</v>
      </c>
      <c r="AC104" s="24">
        <v>-1</v>
      </c>
      <c r="AD104" s="24">
        <v>-1</v>
      </c>
      <c r="AE104" s="24">
        <v>-1</v>
      </c>
      <c r="AG104" s="24">
        <v>1</v>
      </c>
      <c r="AH104" s="24">
        <v>0</v>
      </c>
      <c r="AI104" s="24">
        <v>0</v>
      </c>
      <c r="AJ104" s="24">
        <v>0</v>
      </c>
      <c r="AK104" s="24">
        <v>0</v>
      </c>
      <c r="AL104" s="24">
        <v>0</v>
      </c>
      <c r="AM104" s="24">
        <v>0</v>
      </c>
      <c r="AN104" s="24">
        <v>0</v>
      </c>
      <c r="AO104" s="24">
        <v>0</v>
      </c>
      <c r="AP104" s="24">
        <v>0</v>
      </c>
      <c r="AQ104" s="24">
        <v>0</v>
      </c>
      <c r="AR104" s="24">
        <v>0</v>
      </c>
      <c r="AS104" s="24">
        <v>0</v>
      </c>
      <c r="AT104" s="24">
        <v>0</v>
      </c>
      <c r="AU104" s="24">
        <v>0</v>
      </c>
      <c r="AV104" s="24">
        <v>0</v>
      </c>
      <c r="AW104" s="24">
        <v>0</v>
      </c>
      <c r="AX104" s="24">
        <v>0</v>
      </c>
      <c r="AY104" s="24">
        <v>0</v>
      </c>
      <c r="BA104" s="24">
        <v>0</v>
      </c>
      <c r="BB104" s="24">
        <v>0</v>
      </c>
      <c r="BC104" s="24">
        <v>0</v>
      </c>
      <c r="BD104" s="24">
        <v>0</v>
      </c>
      <c r="BE104" s="24">
        <v>0</v>
      </c>
      <c r="BF104" s="24">
        <v>1</v>
      </c>
      <c r="BG104" s="25">
        <v>512</v>
      </c>
      <c r="BH104" s="24">
        <v>4</v>
      </c>
      <c r="BI104" s="24">
        <v>5513</v>
      </c>
      <c r="BJ104" s="24">
        <v>1</v>
      </c>
      <c r="BK104" s="24">
        <v>1</v>
      </c>
      <c r="BL104" s="25">
        <v>126</v>
      </c>
      <c r="BM104" s="24">
        <v>0</v>
      </c>
      <c r="BO104" s="25">
        <v>1</v>
      </c>
      <c r="BP104" s="24">
        <v>0</v>
      </c>
      <c r="BQ104" s="24">
        <v>0</v>
      </c>
      <c r="BR104" s="24">
        <v>1</v>
      </c>
      <c r="BS104" s="24">
        <v>0</v>
      </c>
      <c r="BT104" s="24">
        <v>0</v>
      </c>
      <c r="BU104" s="24">
        <v>0</v>
      </c>
      <c r="BV104" s="24">
        <v>0</v>
      </c>
      <c r="BW104" s="24">
        <v>0</v>
      </c>
      <c r="BX104" s="24">
        <v>0</v>
      </c>
      <c r="BZ104" s="24">
        <v>-1</v>
      </c>
      <c r="CA104" s="24">
        <v>0</v>
      </c>
      <c r="CB104" s="24">
        <v>0</v>
      </c>
      <c r="CC104" s="24">
        <v>0</v>
      </c>
      <c r="CD104" s="24">
        <v>0</v>
      </c>
      <c r="CE104" s="24">
        <v>0</v>
      </c>
      <c r="CG104" s="24">
        <v>-1</v>
      </c>
      <c r="CH104" s="24">
        <v>0</v>
      </c>
      <c r="CI104" s="24">
        <v>0</v>
      </c>
      <c r="CJ104" s="24">
        <v>0</v>
      </c>
      <c r="CK104" s="24">
        <v>0</v>
      </c>
      <c r="CL104" s="24">
        <v>0</v>
      </c>
      <c r="CM104" s="24">
        <v>0</v>
      </c>
      <c r="CN104" s="24">
        <v>0</v>
      </c>
      <c r="CO104" s="24">
        <v>0</v>
      </c>
      <c r="CQ104" s="24">
        <v>0</v>
      </c>
      <c r="CR104" s="24">
        <v>0</v>
      </c>
      <c r="CS104" s="24">
        <v>0</v>
      </c>
      <c r="CT104" s="24">
        <v>0</v>
      </c>
      <c r="CV104" s="24">
        <v>0</v>
      </c>
      <c r="CW104" s="24">
        <v>18</v>
      </c>
      <c r="CX104" s="24">
        <v>-1</v>
      </c>
      <c r="CY104" s="26">
        <v>0</v>
      </c>
      <c r="CZ104" s="24">
        <v>1</v>
      </c>
      <c r="DA104" s="24">
        <v>0</v>
      </c>
      <c r="DC104" s="24">
        <v>0</v>
      </c>
      <c r="DD104" s="24">
        <v>0</v>
      </c>
      <c r="DE104" s="24">
        <v>0</v>
      </c>
      <c r="DF104" s="24">
        <v>0</v>
      </c>
      <c r="DG104" s="24">
        <v>-1</v>
      </c>
      <c r="DI104" s="24">
        <v>0</v>
      </c>
      <c r="DJ104" s="24">
        <v>0</v>
      </c>
      <c r="DL104" s="24">
        <v>0</v>
      </c>
      <c r="DM104" s="24">
        <v>0</v>
      </c>
      <c r="DO104" s="24">
        <v>0</v>
      </c>
      <c r="DP104" s="24">
        <v>0</v>
      </c>
      <c r="DQ104" s="24">
        <v>0</v>
      </c>
      <c r="DR104" s="24">
        <v>0</v>
      </c>
      <c r="DS104" s="24">
        <v>0</v>
      </c>
      <c r="DT104" s="24">
        <v>0</v>
      </c>
      <c r="DV104" s="24">
        <v>0</v>
      </c>
      <c r="DW104" s="24">
        <v>0</v>
      </c>
      <c r="DX104" s="24">
        <v>0</v>
      </c>
      <c r="DY104" s="24">
        <v>0</v>
      </c>
      <c r="DZ104" s="24">
        <v>0</v>
      </c>
    </row>
    <row r="105" spans="1:130">
      <c r="S105" s="25"/>
      <c r="T105" s="24"/>
      <c r="BO105" s="25" t="s">
        <v>639</v>
      </c>
    </row>
    <row r="106" spans="1:130">
      <c r="K106" s="24" t="s">
        <v>639</v>
      </c>
      <c r="S106" s="25"/>
      <c r="T106" s="24"/>
      <c r="BO106" s="25" t="s">
        <v>639</v>
      </c>
    </row>
    <row r="107" spans="1:130">
      <c r="K107" s="24" t="s">
        <v>639</v>
      </c>
      <c r="S107" s="25"/>
      <c r="T107" s="24"/>
      <c r="BO107" s="25" t="s">
        <v>639</v>
      </c>
    </row>
    <row r="108" spans="1:130">
      <c r="K108" s="24" t="s">
        <v>639</v>
      </c>
      <c r="S108" s="25"/>
      <c r="T108" s="24"/>
      <c r="BO108" s="25" t="s">
        <v>639</v>
      </c>
    </row>
    <row r="109" spans="1:130">
      <c r="K109" s="24" t="s">
        <v>639</v>
      </c>
      <c r="S109" s="25"/>
      <c r="T109" s="24"/>
      <c r="BO109" s="25" t="s">
        <v>639</v>
      </c>
    </row>
    <row r="110" spans="1:130">
      <c r="K110" s="24" t="s">
        <v>639</v>
      </c>
      <c r="S110" s="25"/>
      <c r="T110" s="24"/>
      <c r="BO110" s="25" t="s">
        <v>639</v>
      </c>
    </row>
    <row r="111" spans="1:130">
      <c r="G111" s="24" t="s">
        <v>639</v>
      </c>
      <c r="K111" s="24" t="s">
        <v>639</v>
      </c>
      <c r="S111" s="25"/>
      <c r="T111" s="24"/>
      <c r="BO111" s="25" t="s">
        <v>639</v>
      </c>
      <c r="CV111" s="24" t="s">
        <v>639</v>
      </c>
      <c r="DC111" s="24" t="s">
        <v>639</v>
      </c>
      <c r="DD111" s="24" t="s">
        <v>639</v>
      </c>
      <c r="DE111" s="24" t="s">
        <v>639</v>
      </c>
      <c r="DF111" s="24" t="s">
        <v>639</v>
      </c>
      <c r="DG111" s="24" t="s">
        <v>639</v>
      </c>
      <c r="DI111" s="24" t="s">
        <v>639</v>
      </c>
      <c r="DJ111" s="24" t="s">
        <v>639</v>
      </c>
      <c r="DL111" s="24" t="s">
        <v>639</v>
      </c>
      <c r="DM111" s="24" t="s">
        <v>639</v>
      </c>
      <c r="DO111" s="24" t="s">
        <v>639</v>
      </c>
      <c r="DP111" s="24" t="s">
        <v>639</v>
      </c>
      <c r="DQ111" s="24" t="s">
        <v>639</v>
      </c>
      <c r="DR111" s="24" t="s">
        <v>639</v>
      </c>
      <c r="DS111" s="24" t="s">
        <v>639</v>
      </c>
      <c r="DT111" s="24" t="s">
        <v>639</v>
      </c>
      <c r="DV111" s="24" t="s">
        <v>639</v>
      </c>
      <c r="DW111" s="24" t="s">
        <v>639</v>
      </c>
      <c r="DX111" s="24" t="s">
        <v>639</v>
      </c>
      <c r="DY111" s="24" t="s">
        <v>639</v>
      </c>
      <c r="DZ111" s="24" t="s">
        <v>639</v>
      </c>
    </row>
    <row r="112" spans="1:130">
      <c r="A112" s="24" t="s">
        <v>142</v>
      </c>
      <c r="B112" s="24" t="s">
        <v>142</v>
      </c>
      <c r="C112" s="24" t="s">
        <v>142</v>
      </c>
      <c r="D112" s="24" t="s">
        <v>142</v>
      </c>
      <c r="E112" s="24">
        <v>5601</v>
      </c>
      <c r="F112" s="24" t="s">
        <v>917</v>
      </c>
      <c r="G112" s="24">
        <v>0</v>
      </c>
      <c r="H112" s="24">
        <v>505601</v>
      </c>
      <c r="I112" s="24" t="s">
        <v>917</v>
      </c>
      <c r="J112" s="24" t="s">
        <v>917</v>
      </c>
      <c r="K112" s="24" t="s">
        <v>473</v>
      </c>
      <c r="M112" s="24">
        <v>0</v>
      </c>
      <c r="N112" s="24">
        <v>0</v>
      </c>
      <c r="P112" s="25">
        <v>4</v>
      </c>
      <c r="Q112" s="25">
        <v>0</v>
      </c>
      <c r="R112" s="24">
        <v>0</v>
      </c>
      <c r="S112" s="25">
        <v>0</v>
      </c>
      <c r="T112" s="24"/>
      <c r="U112" s="24">
        <v>0</v>
      </c>
      <c r="V112" s="25">
        <v>0</v>
      </c>
      <c r="W112" s="24">
        <v>0</v>
      </c>
      <c r="X112" s="24">
        <v>0</v>
      </c>
      <c r="Y112" s="24">
        <v>0</v>
      </c>
      <c r="Z112" s="24">
        <v>0</v>
      </c>
      <c r="AB112" s="24">
        <v>20004</v>
      </c>
      <c r="AC112" s="24">
        <v>5601</v>
      </c>
      <c r="AD112" s="24">
        <v>5610</v>
      </c>
      <c r="AE112" s="24">
        <v>0</v>
      </c>
      <c r="AG112" s="24">
        <v>1</v>
      </c>
      <c r="AH112" s="24">
        <v>0</v>
      </c>
      <c r="AI112" s="24">
        <v>0</v>
      </c>
      <c r="AJ112" s="24">
        <v>0</v>
      </c>
      <c r="AK112" s="24">
        <v>0</v>
      </c>
      <c r="AL112" s="24">
        <v>0</v>
      </c>
      <c r="AM112" s="24">
        <v>0</v>
      </c>
      <c r="AN112" s="24">
        <v>0</v>
      </c>
      <c r="AO112" s="24">
        <v>0</v>
      </c>
      <c r="AP112" s="24">
        <v>0</v>
      </c>
      <c r="AQ112" s="24">
        <v>0</v>
      </c>
      <c r="AR112" s="24">
        <v>0</v>
      </c>
      <c r="AS112" s="24">
        <v>0</v>
      </c>
      <c r="AT112" s="24">
        <v>0</v>
      </c>
      <c r="AU112" s="24">
        <v>0</v>
      </c>
      <c r="AV112" s="24">
        <v>0</v>
      </c>
      <c r="AW112" s="24">
        <v>0</v>
      </c>
      <c r="AX112" s="24">
        <v>0</v>
      </c>
      <c r="AY112" s="24">
        <v>0</v>
      </c>
      <c r="BA112" s="24">
        <v>0</v>
      </c>
      <c r="BB112" s="24">
        <v>0</v>
      </c>
      <c r="BC112" s="24">
        <v>0</v>
      </c>
      <c r="BD112" s="24">
        <v>0</v>
      </c>
      <c r="BE112" s="24">
        <v>0</v>
      </c>
      <c r="BF112" s="24">
        <v>1</v>
      </c>
      <c r="BG112" s="25">
        <v>512</v>
      </c>
      <c r="BH112" s="24">
        <v>4</v>
      </c>
      <c r="BI112" s="24">
        <v>5601</v>
      </c>
      <c r="BJ112" s="24">
        <v>1</v>
      </c>
      <c r="BK112" s="24">
        <v>1</v>
      </c>
      <c r="BL112" s="25">
        <v>126</v>
      </c>
      <c r="BM112" s="24">
        <v>0</v>
      </c>
      <c r="BO112" s="25">
        <v>1</v>
      </c>
      <c r="BP112" s="24">
        <v>0</v>
      </c>
      <c r="BQ112" s="24">
        <v>0</v>
      </c>
      <c r="BR112" s="24">
        <v>1</v>
      </c>
      <c r="BS112" s="24">
        <v>0</v>
      </c>
      <c r="BT112" s="24">
        <v>0</v>
      </c>
      <c r="BU112" s="24">
        <v>0</v>
      </c>
      <c r="BV112" s="24">
        <v>0</v>
      </c>
      <c r="BW112" s="24">
        <v>0</v>
      </c>
      <c r="BX112" s="24">
        <v>0</v>
      </c>
      <c r="BZ112" s="24">
        <v>-1</v>
      </c>
      <c r="CA112" s="24">
        <v>0</v>
      </c>
      <c r="CB112" s="24">
        <v>0</v>
      </c>
      <c r="CC112" s="24">
        <v>0</v>
      </c>
      <c r="CD112" s="24">
        <v>0</v>
      </c>
      <c r="CE112" s="24">
        <v>0</v>
      </c>
      <c r="CG112" s="24">
        <v>-1</v>
      </c>
      <c r="CH112" s="24">
        <v>0</v>
      </c>
      <c r="CI112" s="24">
        <v>0</v>
      </c>
      <c r="CJ112" s="24">
        <v>0</v>
      </c>
      <c r="CK112" s="24">
        <v>0</v>
      </c>
      <c r="CL112" s="24">
        <v>0</v>
      </c>
      <c r="CM112" s="24">
        <v>0</v>
      </c>
      <c r="CN112" s="24">
        <v>0</v>
      </c>
      <c r="CO112" s="24">
        <v>0</v>
      </c>
      <c r="CQ112" s="24">
        <v>0</v>
      </c>
      <c r="CR112" s="24">
        <v>0</v>
      </c>
      <c r="CS112" s="24">
        <v>0</v>
      </c>
      <c r="CT112" s="24">
        <v>0</v>
      </c>
      <c r="CV112" s="24">
        <v>0</v>
      </c>
      <c r="CW112" s="24">
        <v>0</v>
      </c>
      <c r="CX112" s="24">
        <v>-1</v>
      </c>
      <c r="CY112" s="26">
        <v>0</v>
      </c>
      <c r="CZ112" s="24">
        <v>0</v>
      </c>
      <c r="DA112" s="24">
        <v>0</v>
      </c>
      <c r="DC112" s="24">
        <v>1</v>
      </c>
      <c r="DD112" s="24">
        <v>1</v>
      </c>
      <c r="DE112" s="24">
        <v>0</v>
      </c>
      <c r="DF112" s="24">
        <v>0</v>
      </c>
      <c r="DG112" s="24">
        <v>-1</v>
      </c>
      <c r="DI112" s="24">
        <v>0</v>
      </c>
      <c r="DJ112" s="24">
        <v>0</v>
      </c>
      <c r="DL112" s="24">
        <v>0</v>
      </c>
      <c r="DM112" s="24">
        <v>0</v>
      </c>
      <c r="DO112" s="24">
        <v>0</v>
      </c>
      <c r="DP112" s="24">
        <v>0</v>
      </c>
      <c r="DQ112" s="24">
        <v>0</v>
      </c>
      <c r="DR112" s="24">
        <v>0</v>
      </c>
      <c r="DS112" s="24">
        <v>0</v>
      </c>
      <c r="DT112" s="24">
        <v>0</v>
      </c>
      <c r="DV112" s="24">
        <v>0</v>
      </c>
      <c r="DW112" s="24">
        <v>0</v>
      </c>
      <c r="DX112" s="24">
        <v>0</v>
      </c>
      <c r="DY112" s="24">
        <v>0</v>
      </c>
      <c r="DZ112" s="24">
        <v>0</v>
      </c>
    </row>
    <row r="113" spans="1:130">
      <c r="A113" s="24" t="s">
        <v>142</v>
      </c>
      <c r="B113" s="24" t="s">
        <v>142</v>
      </c>
      <c r="C113" s="24" t="s">
        <v>142</v>
      </c>
      <c r="D113" s="24" t="s">
        <v>142</v>
      </c>
      <c r="E113" s="24">
        <v>5602</v>
      </c>
      <c r="F113" s="24" t="s">
        <v>634</v>
      </c>
      <c r="G113" s="24">
        <v>0</v>
      </c>
      <c r="H113" s="24">
        <v>505602</v>
      </c>
      <c r="I113" s="24" t="s">
        <v>634</v>
      </c>
      <c r="J113" s="24" t="s">
        <v>634</v>
      </c>
      <c r="K113" s="24" t="s">
        <v>801</v>
      </c>
      <c r="M113" s="24">
        <v>102</v>
      </c>
      <c r="N113" s="24">
        <v>0</v>
      </c>
      <c r="P113" s="25">
        <v>2</v>
      </c>
      <c r="Q113" s="25">
        <v>589824</v>
      </c>
      <c r="R113" s="24">
        <v>0</v>
      </c>
      <c r="S113" s="25">
        <v>0</v>
      </c>
      <c r="T113" s="24"/>
      <c r="U113" s="24">
        <v>0</v>
      </c>
      <c r="V113" s="25">
        <v>0</v>
      </c>
      <c r="W113" s="24">
        <v>0</v>
      </c>
      <c r="X113" s="14">
        <v>0</v>
      </c>
      <c r="Y113" s="24">
        <v>0</v>
      </c>
      <c r="Z113" s="24">
        <v>0</v>
      </c>
      <c r="AB113" s="24">
        <v>10001</v>
      </c>
      <c r="AC113" s="24">
        <v>-1</v>
      </c>
      <c r="AD113" s="24">
        <v>-1</v>
      </c>
      <c r="AE113" s="24">
        <v>-1</v>
      </c>
      <c r="AG113" s="24">
        <v>1</v>
      </c>
      <c r="AH113" s="24">
        <v>0</v>
      </c>
      <c r="AI113" s="24">
        <v>0</v>
      </c>
      <c r="AJ113" s="24">
        <v>0</v>
      </c>
      <c r="AK113" s="24">
        <v>0</v>
      </c>
      <c r="AL113" s="24">
        <v>0</v>
      </c>
      <c r="AM113" s="24">
        <v>0</v>
      </c>
      <c r="AN113" s="24">
        <v>0</v>
      </c>
      <c r="AO113" s="24">
        <v>0</v>
      </c>
      <c r="AP113" s="24">
        <v>0</v>
      </c>
      <c r="AQ113" s="24">
        <v>0</v>
      </c>
      <c r="AR113" s="24">
        <v>0</v>
      </c>
      <c r="AS113" s="24">
        <v>0</v>
      </c>
      <c r="AT113" s="24">
        <v>0</v>
      </c>
      <c r="AU113" s="24">
        <v>0</v>
      </c>
      <c r="AV113" s="24">
        <v>0</v>
      </c>
      <c r="AW113" s="24">
        <v>0</v>
      </c>
      <c r="AX113" s="24">
        <v>0</v>
      </c>
      <c r="AY113" s="24">
        <v>0</v>
      </c>
      <c r="BA113" s="24">
        <v>0</v>
      </c>
      <c r="BB113" s="24">
        <v>500</v>
      </c>
      <c r="BC113" s="24">
        <v>1000</v>
      </c>
      <c r="BD113" s="24">
        <v>260</v>
      </c>
      <c r="BE113" s="24">
        <v>260</v>
      </c>
      <c r="BF113" s="24">
        <v>1</v>
      </c>
      <c r="BG113" s="25">
        <v>1</v>
      </c>
      <c r="BH113" s="24">
        <v>1</v>
      </c>
      <c r="BI113" s="24">
        <v>0</v>
      </c>
      <c r="BJ113" s="24">
        <v>0</v>
      </c>
      <c r="BK113" s="24">
        <v>0</v>
      </c>
      <c r="BL113" s="25">
        <v>126</v>
      </c>
      <c r="BM113" s="24">
        <v>0</v>
      </c>
      <c r="BO113" s="25">
        <v>4</v>
      </c>
      <c r="BP113" s="24">
        <v>15</v>
      </c>
      <c r="BQ113" s="24">
        <v>0</v>
      </c>
      <c r="BR113" s="24">
        <v>1</v>
      </c>
      <c r="BS113" s="24">
        <v>0</v>
      </c>
      <c r="BT113" s="24">
        <v>0</v>
      </c>
      <c r="BU113" s="24">
        <v>0</v>
      </c>
      <c r="BV113" s="24">
        <v>6</v>
      </c>
      <c r="BW113" s="24">
        <v>0</v>
      </c>
      <c r="BX113" s="24">
        <v>1</v>
      </c>
      <c r="BZ113" s="24">
        <v>-1</v>
      </c>
      <c r="CA113" s="24">
        <v>0</v>
      </c>
      <c r="CB113" s="24">
        <v>0</v>
      </c>
      <c r="CC113" s="24">
        <v>0</v>
      </c>
      <c r="CD113" s="24">
        <v>0</v>
      </c>
      <c r="CE113" s="24">
        <v>0</v>
      </c>
      <c r="CG113" s="24">
        <v>-1</v>
      </c>
      <c r="CH113" s="24">
        <v>0</v>
      </c>
      <c r="CI113" s="24">
        <v>0</v>
      </c>
      <c r="CJ113" s="24">
        <v>0</v>
      </c>
      <c r="CK113" s="24">
        <v>0</v>
      </c>
      <c r="CL113" s="24">
        <v>0</v>
      </c>
      <c r="CM113" s="24">
        <v>0</v>
      </c>
      <c r="CN113" s="24">
        <v>0</v>
      </c>
      <c r="CO113" s="24">
        <v>0</v>
      </c>
      <c r="CQ113" s="24">
        <v>0</v>
      </c>
      <c r="CR113" s="24">
        <v>0</v>
      </c>
      <c r="CS113" s="24">
        <v>0</v>
      </c>
      <c r="CT113" s="24">
        <v>0</v>
      </c>
      <c r="CV113" s="24">
        <v>100201</v>
      </c>
      <c r="CW113" s="24">
        <v>21</v>
      </c>
      <c r="CX113" s="24">
        <v>100</v>
      </c>
      <c r="CY113" s="26">
        <v>3</v>
      </c>
      <c r="CZ113" s="24">
        <v>1</v>
      </c>
      <c r="DA113" s="24">
        <v>0</v>
      </c>
      <c r="DC113" s="24">
        <v>1</v>
      </c>
      <c r="DD113" s="24">
        <v>1</v>
      </c>
      <c r="DE113" s="24">
        <v>0</v>
      </c>
      <c r="DF113" s="24">
        <v>0</v>
      </c>
      <c r="DG113" s="24">
        <v>-1</v>
      </c>
      <c r="DI113" s="24">
        <v>1</v>
      </c>
      <c r="DJ113" s="24">
        <v>30</v>
      </c>
      <c r="DL113" s="24">
        <v>0</v>
      </c>
      <c r="DM113" s="24">
        <v>0</v>
      </c>
      <c r="DO113" s="24">
        <v>0</v>
      </c>
      <c r="DP113" s="24">
        <v>0</v>
      </c>
      <c r="DQ113" s="24">
        <v>0</v>
      </c>
      <c r="DR113" s="24">
        <v>0</v>
      </c>
      <c r="DS113" s="24">
        <v>0</v>
      </c>
      <c r="DT113" s="24">
        <v>0</v>
      </c>
      <c r="DV113" s="24">
        <v>0</v>
      </c>
      <c r="DW113" s="24">
        <v>0</v>
      </c>
      <c r="DX113" s="24">
        <v>0</v>
      </c>
      <c r="DY113" s="24">
        <v>0</v>
      </c>
      <c r="DZ113" s="24">
        <v>0</v>
      </c>
    </row>
    <row r="114" spans="1:130">
      <c r="A114" s="24" t="s">
        <v>142</v>
      </c>
      <c r="B114" s="24" t="s">
        <v>142</v>
      </c>
      <c r="C114" s="24" t="s">
        <v>142</v>
      </c>
      <c r="D114" s="24" t="s">
        <v>142</v>
      </c>
      <c r="E114" s="24">
        <v>5603</v>
      </c>
      <c r="F114" s="24" t="s">
        <v>657</v>
      </c>
      <c r="G114" s="24">
        <v>0</v>
      </c>
      <c r="H114" s="24">
        <v>505603</v>
      </c>
      <c r="I114" s="24" t="s">
        <v>657</v>
      </c>
      <c r="J114" s="24" t="s">
        <v>657</v>
      </c>
      <c r="K114" s="24" t="s">
        <v>802</v>
      </c>
      <c r="M114" s="24">
        <v>102</v>
      </c>
      <c r="N114" s="24">
        <v>0</v>
      </c>
      <c r="P114" s="25">
        <v>2</v>
      </c>
      <c r="Q114" s="25">
        <v>529408</v>
      </c>
      <c r="R114" s="24">
        <v>0</v>
      </c>
      <c r="S114" s="25">
        <v>0</v>
      </c>
      <c r="T114" s="24"/>
      <c r="U114" s="24">
        <v>0</v>
      </c>
      <c r="V114" s="25">
        <v>0</v>
      </c>
      <c r="W114" s="24">
        <v>0</v>
      </c>
      <c r="X114" s="14">
        <v>0</v>
      </c>
      <c r="Y114" s="24">
        <v>0</v>
      </c>
      <c r="Z114" s="24">
        <v>0</v>
      </c>
      <c r="AB114" s="24">
        <v>10001</v>
      </c>
      <c r="AC114" s="24">
        <v>-1</v>
      </c>
      <c r="AD114" s="24">
        <v>-1</v>
      </c>
      <c r="AE114" s="24">
        <v>-1</v>
      </c>
      <c r="AG114" s="24">
        <v>2</v>
      </c>
      <c r="AH114" s="24">
        <v>0</v>
      </c>
      <c r="AI114" s="24">
        <v>0</v>
      </c>
      <c r="AJ114" s="24">
        <v>0</v>
      </c>
      <c r="AK114" s="24">
        <v>1</v>
      </c>
      <c r="AL114" s="24">
        <v>1</v>
      </c>
      <c r="AM114" s="24">
        <v>0</v>
      </c>
      <c r="AN114" s="24">
        <v>0</v>
      </c>
      <c r="AO114" s="24">
        <v>0</v>
      </c>
      <c r="AP114" s="24">
        <v>1500</v>
      </c>
      <c r="AQ114" s="24">
        <v>20</v>
      </c>
      <c r="AR114" s="24">
        <v>0</v>
      </c>
      <c r="AS114" s="24">
        <v>0</v>
      </c>
      <c r="AT114" s="24">
        <v>0</v>
      </c>
      <c r="AU114" s="24">
        <v>4006</v>
      </c>
      <c r="AV114" s="24">
        <v>2010</v>
      </c>
      <c r="AW114" s="24">
        <v>2010</v>
      </c>
      <c r="AX114" s="24">
        <v>0</v>
      </c>
      <c r="AY114" s="24">
        <v>0</v>
      </c>
      <c r="BA114" s="24">
        <v>0</v>
      </c>
      <c r="BB114" s="24">
        <v>1733</v>
      </c>
      <c r="BC114" s="24">
        <v>2233</v>
      </c>
      <c r="BD114" s="24">
        <v>1103</v>
      </c>
      <c r="BE114" s="24">
        <v>1103</v>
      </c>
      <c r="BF114" s="24">
        <v>1</v>
      </c>
      <c r="BG114" s="25">
        <v>1</v>
      </c>
      <c r="BH114" s="24">
        <v>1</v>
      </c>
      <c r="BI114" s="24">
        <v>0</v>
      </c>
      <c r="BJ114" s="24">
        <v>0</v>
      </c>
      <c r="BK114" s="24">
        <v>0</v>
      </c>
      <c r="BL114" s="25">
        <v>126</v>
      </c>
      <c r="BM114" s="24">
        <v>0</v>
      </c>
      <c r="BO114" s="25">
        <v>4</v>
      </c>
      <c r="BP114" s="24">
        <v>15</v>
      </c>
      <c r="BQ114" s="24">
        <v>0</v>
      </c>
      <c r="BR114" s="24">
        <v>2</v>
      </c>
      <c r="BS114" s="24">
        <v>30</v>
      </c>
      <c r="BT114" s="24">
        <v>0</v>
      </c>
      <c r="BU114" s="24">
        <v>0</v>
      </c>
      <c r="BV114" s="24">
        <v>6</v>
      </c>
      <c r="BW114" s="24">
        <v>0</v>
      </c>
      <c r="BX114" s="24">
        <v>6</v>
      </c>
      <c r="BZ114" s="24">
        <v>5603</v>
      </c>
      <c r="CA114" s="24">
        <v>0</v>
      </c>
      <c r="CB114" s="24">
        <v>0</v>
      </c>
      <c r="CC114" s="24">
        <v>0</v>
      </c>
      <c r="CD114" s="24">
        <v>0</v>
      </c>
      <c r="CE114" s="24">
        <v>0</v>
      </c>
      <c r="CG114" s="24">
        <v>-1</v>
      </c>
      <c r="CH114" s="24">
        <v>0</v>
      </c>
      <c r="CI114" s="24">
        <v>0</v>
      </c>
      <c r="CJ114" s="24">
        <v>0</v>
      </c>
      <c r="CK114" s="24">
        <v>0</v>
      </c>
      <c r="CL114" s="24">
        <v>0</v>
      </c>
      <c r="CM114" s="24">
        <v>0</v>
      </c>
      <c r="CN114" s="24">
        <v>0</v>
      </c>
      <c r="CO114" s="24">
        <v>0</v>
      </c>
      <c r="CQ114" s="24">
        <v>0</v>
      </c>
      <c r="CR114" s="24">
        <v>0</v>
      </c>
      <c r="CS114" s="24">
        <v>0</v>
      </c>
      <c r="CT114" s="24">
        <v>0</v>
      </c>
      <c r="CV114" s="24">
        <v>100705</v>
      </c>
      <c r="CW114" s="24">
        <v>21</v>
      </c>
      <c r="CX114" s="24">
        <v>7001</v>
      </c>
      <c r="CY114" s="26">
        <v>3</v>
      </c>
      <c r="CZ114" s="24">
        <v>2</v>
      </c>
      <c r="DA114" s="24">
        <v>0</v>
      </c>
      <c r="DC114" s="24">
        <v>1</v>
      </c>
      <c r="DD114" s="24">
        <v>1</v>
      </c>
      <c r="DE114" s="24">
        <v>0</v>
      </c>
      <c r="DF114" s="24">
        <v>0</v>
      </c>
      <c r="DG114" s="24">
        <v>-1</v>
      </c>
      <c r="DI114" s="24">
        <v>1</v>
      </c>
      <c r="DJ114" s="24">
        <v>30</v>
      </c>
      <c r="DL114" s="24">
        <v>0</v>
      </c>
      <c r="DM114" s="24">
        <v>0</v>
      </c>
      <c r="DO114" s="24">
        <v>0</v>
      </c>
      <c r="DP114" s="24">
        <v>0</v>
      </c>
      <c r="DQ114" s="24">
        <v>0</v>
      </c>
      <c r="DR114" s="24">
        <v>0</v>
      </c>
      <c r="DS114" s="24">
        <v>0</v>
      </c>
      <c r="DT114" s="24">
        <v>0</v>
      </c>
      <c r="DV114" s="24">
        <v>0</v>
      </c>
      <c r="DW114" s="24">
        <v>0</v>
      </c>
      <c r="DX114" s="24">
        <v>0</v>
      </c>
      <c r="DY114" s="24">
        <v>0</v>
      </c>
      <c r="DZ114" s="24">
        <v>0</v>
      </c>
    </row>
    <row r="115" spans="1:130">
      <c r="A115" s="24" t="s">
        <v>142</v>
      </c>
      <c r="B115" s="24" t="s">
        <v>142</v>
      </c>
      <c r="C115" s="24" t="s">
        <v>142</v>
      </c>
      <c r="D115" s="24" t="s">
        <v>142</v>
      </c>
      <c r="E115" s="24">
        <v>5604</v>
      </c>
      <c r="F115" s="24" t="s">
        <v>658</v>
      </c>
      <c r="G115" s="24">
        <v>0</v>
      </c>
      <c r="H115" s="24">
        <v>505604</v>
      </c>
      <c r="I115" s="24" t="s">
        <v>658</v>
      </c>
      <c r="J115" s="24" t="s">
        <v>658</v>
      </c>
      <c r="K115" s="24" t="s">
        <v>473</v>
      </c>
      <c r="M115" s="24">
        <v>0</v>
      </c>
      <c r="N115" s="24">
        <v>0</v>
      </c>
      <c r="P115" s="25">
        <v>12</v>
      </c>
      <c r="Q115" s="25">
        <v>1024</v>
      </c>
      <c r="R115" s="24">
        <v>5603</v>
      </c>
      <c r="S115" s="25">
        <v>0</v>
      </c>
      <c r="T115" s="24"/>
      <c r="U115" s="24">
        <v>11</v>
      </c>
      <c r="V115" s="25">
        <v>2050</v>
      </c>
      <c r="W115" s="24">
        <v>2</v>
      </c>
      <c r="X115" s="24">
        <v>5603</v>
      </c>
      <c r="Y115" s="24">
        <v>0</v>
      </c>
      <c r="Z115" s="24">
        <v>1000</v>
      </c>
      <c r="AB115" s="24">
        <v>30001</v>
      </c>
      <c r="AC115" s="24">
        <v>0</v>
      </c>
      <c r="AD115" s="24">
        <v>0</v>
      </c>
      <c r="AE115" s="24">
        <v>0</v>
      </c>
      <c r="AG115" s="24">
        <v>3</v>
      </c>
      <c r="AH115" s="24">
        <v>100030</v>
      </c>
      <c r="AI115" s="24">
        <v>6</v>
      </c>
      <c r="AJ115" s="24">
        <v>60</v>
      </c>
      <c r="AK115" s="24">
        <v>0</v>
      </c>
      <c r="AL115" s="24">
        <v>5</v>
      </c>
      <c r="AM115" s="24">
        <v>0</v>
      </c>
      <c r="AN115" s="24">
        <v>0</v>
      </c>
      <c r="AO115" s="24">
        <v>0</v>
      </c>
      <c r="AP115" s="24">
        <v>1000</v>
      </c>
      <c r="AQ115" s="24">
        <v>24</v>
      </c>
      <c r="AR115" s="24">
        <v>200</v>
      </c>
      <c r="AS115" s="24">
        <v>100</v>
      </c>
      <c r="AT115" s="24">
        <v>6</v>
      </c>
      <c r="AU115" s="24">
        <v>4007</v>
      </c>
      <c r="AV115" s="24">
        <v>2010</v>
      </c>
      <c r="AW115" s="24">
        <v>2010</v>
      </c>
      <c r="AX115" s="24">
        <v>0</v>
      </c>
      <c r="AY115" s="24">
        <v>0</v>
      </c>
      <c r="BA115" s="24">
        <v>0</v>
      </c>
      <c r="BB115" s="24">
        <v>0</v>
      </c>
      <c r="BC115" s="24">
        <v>0</v>
      </c>
      <c r="BD115" s="24">
        <v>0</v>
      </c>
      <c r="BE115" s="24">
        <v>0</v>
      </c>
      <c r="BF115" s="24">
        <v>1</v>
      </c>
      <c r="BG115" s="25">
        <v>1</v>
      </c>
      <c r="BH115" s="24">
        <v>1</v>
      </c>
      <c r="BI115" s="24">
        <v>0</v>
      </c>
      <c r="BJ115" s="24">
        <v>0</v>
      </c>
      <c r="BK115" s="24">
        <v>0</v>
      </c>
      <c r="BL115" s="25">
        <v>126</v>
      </c>
      <c r="BM115" s="24">
        <v>0</v>
      </c>
      <c r="BO115" s="25">
        <v>16</v>
      </c>
      <c r="BP115" s="24">
        <v>10</v>
      </c>
      <c r="BQ115" s="24">
        <v>0</v>
      </c>
      <c r="BR115" s="24">
        <v>2</v>
      </c>
      <c r="BS115" s="24">
        <v>20</v>
      </c>
      <c r="BT115" s="24">
        <v>0</v>
      </c>
      <c r="BU115" s="24">
        <v>0</v>
      </c>
      <c r="BV115" s="24">
        <v>6</v>
      </c>
      <c r="BW115" s="24">
        <v>0</v>
      </c>
      <c r="BX115" s="24">
        <v>3</v>
      </c>
      <c r="BZ115" s="24">
        <v>-1</v>
      </c>
      <c r="CA115" s="24">
        <v>0</v>
      </c>
      <c r="CB115" s="24">
        <v>0</v>
      </c>
      <c r="CC115" s="24">
        <v>0</v>
      </c>
      <c r="CD115" s="24">
        <v>0</v>
      </c>
      <c r="CE115" s="24">
        <v>0</v>
      </c>
      <c r="CG115" s="24">
        <v>-1</v>
      </c>
      <c r="CH115" s="24">
        <v>0</v>
      </c>
      <c r="CI115" s="24">
        <v>0</v>
      </c>
      <c r="CJ115" s="24">
        <v>0</v>
      </c>
      <c r="CK115" s="24">
        <v>0</v>
      </c>
      <c r="CL115" s="24">
        <v>0</v>
      </c>
      <c r="CM115" s="24">
        <v>0</v>
      </c>
      <c r="CN115" s="24">
        <v>0</v>
      </c>
      <c r="CO115" s="24">
        <v>0</v>
      </c>
      <c r="CQ115" s="24">
        <v>0</v>
      </c>
      <c r="CR115" s="24">
        <v>0</v>
      </c>
      <c r="CS115" s="24">
        <v>0</v>
      </c>
      <c r="CT115" s="24">
        <v>0</v>
      </c>
      <c r="CV115" s="24">
        <v>0</v>
      </c>
      <c r="CW115" s="24">
        <v>0</v>
      </c>
      <c r="CX115" s="24">
        <v>7001</v>
      </c>
      <c r="CY115" s="26">
        <v>3</v>
      </c>
      <c r="CZ115" s="24">
        <v>2</v>
      </c>
      <c r="DA115" s="24">
        <v>0</v>
      </c>
      <c r="DC115" s="24">
        <v>1</v>
      </c>
      <c r="DD115" s="24">
        <v>1</v>
      </c>
      <c r="DE115" s="24">
        <v>0</v>
      </c>
      <c r="DF115" s="24">
        <v>0</v>
      </c>
      <c r="DG115" s="24">
        <v>-1</v>
      </c>
      <c r="DI115" s="24">
        <v>0</v>
      </c>
      <c r="DJ115" s="24">
        <v>0</v>
      </c>
      <c r="DL115" s="24">
        <v>0</v>
      </c>
      <c r="DM115" s="24">
        <v>0</v>
      </c>
      <c r="DO115" s="24">
        <v>0</v>
      </c>
      <c r="DP115" s="24">
        <v>0</v>
      </c>
      <c r="DQ115" s="24">
        <v>0</v>
      </c>
      <c r="DR115" s="24">
        <v>0</v>
      </c>
      <c r="DS115" s="24">
        <v>0</v>
      </c>
      <c r="DT115" s="24">
        <v>0</v>
      </c>
      <c r="DV115" s="24">
        <v>0</v>
      </c>
      <c r="DW115" s="24">
        <v>0</v>
      </c>
      <c r="DX115" s="24">
        <v>0</v>
      </c>
      <c r="DY115" s="24">
        <v>0</v>
      </c>
      <c r="DZ115" s="24">
        <v>0</v>
      </c>
    </row>
    <row r="116" spans="1:130">
      <c r="A116" s="24" t="s">
        <v>142</v>
      </c>
      <c r="B116" s="24" t="s">
        <v>142</v>
      </c>
      <c r="C116" s="24" t="s">
        <v>142</v>
      </c>
      <c r="D116" s="24" t="s">
        <v>142</v>
      </c>
      <c r="E116" s="24">
        <v>5605</v>
      </c>
      <c r="F116" s="24" t="s">
        <v>659</v>
      </c>
      <c r="G116" s="24">
        <v>0</v>
      </c>
      <c r="H116" s="24">
        <v>505605</v>
      </c>
      <c r="I116" s="24" t="s">
        <v>659</v>
      </c>
      <c r="J116" s="24" t="s">
        <v>659</v>
      </c>
      <c r="K116" s="24" t="s">
        <v>803</v>
      </c>
      <c r="M116" s="24">
        <v>102</v>
      </c>
      <c r="N116" s="24">
        <v>0</v>
      </c>
      <c r="P116" s="25">
        <v>2</v>
      </c>
      <c r="Q116" s="25">
        <v>17302528</v>
      </c>
      <c r="R116" s="24">
        <v>0</v>
      </c>
      <c r="S116" s="25">
        <v>0</v>
      </c>
      <c r="T116" s="24"/>
      <c r="U116" s="24">
        <v>0</v>
      </c>
      <c r="V116" s="25">
        <v>0</v>
      </c>
      <c r="W116" s="24">
        <v>0</v>
      </c>
      <c r="X116" s="14">
        <v>0</v>
      </c>
      <c r="Y116" s="24">
        <v>0</v>
      </c>
      <c r="Z116" s="24">
        <v>0</v>
      </c>
      <c r="AB116" s="24">
        <v>10001</v>
      </c>
      <c r="AC116" s="24">
        <v>-1</v>
      </c>
      <c r="AD116" s="24">
        <v>-1</v>
      </c>
      <c r="AE116" s="24">
        <v>-1</v>
      </c>
      <c r="AG116" s="24">
        <v>2</v>
      </c>
      <c r="AH116" s="24">
        <v>26</v>
      </c>
      <c r="AI116" s="24">
        <v>0</v>
      </c>
      <c r="AJ116" s="24">
        <v>40</v>
      </c>
      <c r="AK116" s="24">
        <v>1</v>
      </c>
      <c r="AL116" s="24">
        <v>1</v>
      </c>
      <c r="AM116" s="24">
        <v>0</v>
      </c>
      <c r="AN116" s="24">
        <v>0</v>
      </c>
      <c r="AO116" s="24">
        <v>0</v>
      </c>
      <c r="AP116" s="24">
        <v>5000</v>
      </c>
      <c r="AQ116" s="24">
        <v>24</v>
      </c>
      <c r="AR116" s="24">
        <v>0</v>
      </c>
      <c r="AS116" s="24">
        <v>0</v>
      </c>
      <c r="AT116" s="24">
        <v>6</v>
      </c>
      <c r="AU116" s="24">
        <v>4015</v>
      </c>
      <c r="AV116" s="24">
        <v>2025</v>
      </c>
      <c r="AW116" s="24">
        <v>2010</v>
      </c>
      <c r="AX116" s="24">
        <v>0</v>
      </c>
      <c r="AY116" s="24">
        <v>0</v>
      </c>
      <c r="BA116" s="24">
        <v>0</v>
      </c>
      <c r="BB116" s="24">
        <v>1300</v>
      </c>
      <c r="BC116" s="24">
        <v>2500</v>
      </c>
      <c r="BD116" s="24">
        <v>1108</v>
      </c>
      <c r="BE116" s="24">
        <v>1108</v>
      </c>
      <c r="BF116" s="24">
        <v>1</v>
      </c>
      <c r="BG116" s="25">
        <v>1</v>
      </c>
      <c r="BH116" s="24">
        <v>1</v>
      </c>
      <c r="BI116" s="24">
        <v>0</v>
      </c>
      <c r="BJ116" s="24">
        <v>0</v>
      </c>
      <c r="BK116" s="24">
        <v>0</v>
      </c>
      <c r="BL116" s="25">
        <v>126</v>
      </c>
      <c r="BM116" s="24">
        <v>0</v>
      </c>
      <c r="BO116" s="25">
        <v>4</v>
      </c>
      <c r="BP116" s="24">
        <v>15</v>
      </c>
      <c r="BQ116" s="24">
        <v>0</v>
      </c>
      <c r="BR116" s="24">
        <v>2</v>
      </c>
      <c r="BS116" s="24">
        <v>60</v>
      </c>
      <c r="BT116" s="24">
        <v>0</v>
      </c>
      <c r="BU116" s="24">
        <v>0</v>
      </c>
      <c r="BV116" s="24">
        <v>6</v>
      </c>
      <c r="BW116" s="24">
        <v>0</v>
      </c>
      <c r="BX116" s="24">
        <v>6</v>
      </c>
      <c r="BZ116" s="24">
        <v>5605</v>
      </c>
      <c r="CA116" s="24">
        <v>0</v>
      </c>
      <c r="CB116" s="24">
        <v>0</v>
      </c>
      <c r="CC116" s="24">
        <v>0</v>
      </c>
      <c r="CD116" s="24">
        <v>0</v>
      </c>
      <c r="CE116" s="24">
        <v>0</v>
      </c>
      <c r="CG116" s="24">
        <v>-1</v>
      </c>
      <c r="CH116" s="24">
        <v>0</v>
      </c>
      <c r="CI116" s="24">
        <v>0</v>
      </c>
      <c r="CJ116" s="24">
        <v>0</v>
      </c>
      <c r="CK116" s="24">
        <v>0</v>
      </c>
      <c r="CL116" s="24">
        <v>0</v>
      </c>
      <c r="CM116" s="24">
        <v>0</v>
      </c>
      <c r="CN116" s="24">
        <v>0</v>
      </c>
      <c r="CO116" s="24">
        <v>0</v>
      </c>
      <c r="CQ116" s="24">
        <v>0</v>
      </c>
      <c r="CR116" s="24">
        <v>0</v>
      </c>
      <c r="CS116" s="24">
        <v>0</v>
      </c>
      <c r="CT116" s="24">
        <v>0</v>
      </c>
      <c r="CV116" s="24">
        <v>100703</v>
      </c>
      <c r="CW116" s="24">
        <v>21</v>
      </c>
      <c r="CX116" s="24">
        <v>7001</v>
      </c>
      <c r="CY116" s="26">
        <v>3</v>
      </c>
      <c r="CZ116" s="24">
        <v>2</v>
      </c>
      <c r="DA116" s="24">
        <v>0</v>
      </c>
      <c r="DC116" s="24">
        <v>1</v>
      </c>
      <c r="DD116" s="24">
        <v>1</v>
      </c>
      <c r="DE116" s="24">
        <v>0</v>
      </c>
      <c r="DF116" s="24">
        <v>0</v>
      </c>
      <c r="DG116" s="24">
        <v>-1</v>
      </c>
      <c r="DI116" s="24">
        <v>1</v>
      </c>
      <c r="DJ116" s="24">
        <v>30</v>
      </c>
      <c r="DL116" s="24">
        <v>0</v>
      </c>
      <c r="DM116" s="24">
        <v>0</v>
      </c>
      <c r="DO116" s="24">
        <v>0</v>
      </c>
      <c r="DP116" s="24">
        <v>0</v>
      </c>
      <c r="DQ116" s="24">
        <v>0</v>
      </c>
      <c r="DR116" s="24">
        <v>0</v>
      </c>
      <c r="DS116" s="24">
        <v>0</v>
      </c>
      <c r="DT116" s="24">
        <v>0</v>
      </c>
      <c r="DV116" s="24">
        <v>0</v>
      </c>
      <c r="DW116" s="24">
        <v>0</v>
      </c>
      <c r="DX116" s="24">
        <v>0</v>
      </c>
      <c r="DY116" s="24">
        <v>0</v>
      </c>
      <c r="DZ116" s="24">
        <v>0</v>
      </c>
    </row>
    <row r="117" spans="1:130">
      <c r="A117" s="24" t="s">
        <v>142</v>
      </c>
      <c r="B117" s="24" t="s">
        <v>142</v>
      </c>
      <c r="C117" s="24" t="s">
        <v>142</v>
      </c>
      <c r="D117" s="24" t="s">
        <v>142</v>
      </c>
      <c r="E117" s="24">
        <v>5606</v>
      </c>
      <c r="F117" s="24" t="s">
        <v>660</v>
      </c>
      <c r="G117" s="24">
        <v>0</v>
      </c>
      <c r="H117" s="24">
        <v>505606</v>
      </c>
      <c r="I117" s="24" t="s">
        <v>660</v>
      </c>
      <c r="J117" s="24" t="s">
        <v>660</v>
      </c>
      <c r="K117" s="24" t="s">
        <v>804</v>
      </c>
      <c r="M117" s="24">
        <v>0</v>
      </c>
      <c r="N117" s="24">
        <v>0</v>
      </c>
      <c r="P117" s="25">
        <v>2</v>
      </c>
      <c r="Q117" s="25">
        <v>524288</v>
      </c>
      <c r="R117" s="24">
        <v>5605</v>
      </c>
      <c r="S117" s="25">
        <v>0</v>
      </c>
      <c r="T117" s="24"/>
      <c r="U117" s="24">
        <v>0</v>
      </c>
      <c r="V117" s="25">
        <v>0</v>
      </c>
      <c r="W117" s="24">
        <v>0</v>
      </c>
      <c r="X117" s="14">
        <v>0</v>
      </c>
      <c r="Y117" s="24">
        <v>0</v>
      </c>
      <c r="Z117" s="24">
        <v>0</v>
      </c>
      <c r="AB117" s="24">
        <v>10001</v>
      </c>
      <c r="AC117" s="24">
        <v>-1</v>
      </c>
      <c r="AD117" s="24">
        <v>-1</v>
      </c>
      <c r="AE117" s="24">
        <v>-1</v>
      </c>
      <c r="AG117" s="24">
        <v>1</v>
      </c>
      <c r="AH117" s="24">
        <v>0</v>
      </c>
      <c r="AI117" s="24">
        <v>0</v>
      </c>
      <c r="AJ117" s="24">
        <v>0</v>
      </c>
      <c r="AK117" s="24">
        <v>0</v>
      </c>
      <c r="AL117" s="24">
        <v>0</v>
      </c>
      <c r="AM117" s="24">
        <v>0</v>
      </c>
      <c r="AN117" s="24">
        <v>0</v>
      </c>
      <c r="AO117" s="24">
        <v>0</v>
      </c>
      <c r="AP117" s="24">
        <v>0</v>
      </c>
      <c r="AQ117" s="24">
        <v>0</v>
      </c>
      <c r="AR117" s="24">
        <v>0</v>
      </c>
      <c r="AS117" s="24">
        <v>0</v>
      </c>
      <c r="AT117" s="24">
        <v>0</v>
      </c>
      <c r="AU117" s="24">
        <v>0</v>
      </c>
      <c r="AV117" s="24">
        <v>0</v>
      </c>
      <c r="AW117" s="24">
        <v>0</v>
      </c>
      <c r="AX117" s="24">
        <v>0</v>
      </c>
      <c r="AY117" s="24">
        <v>0</v>
      </c>
      <c r="BA117" s="24">
        <v>0</v>
      </c>
      <c r="BB117" s="24">
        <v>0</v>
      </c>
      <c r="BC117" s="24">
        <v>0</v>
      </c>
      <c r="BD117" s="24">
        <v>0</v>
      </c>
      <c r="BE117" s="24">
        <v>0</v>
      </c>
      <c r="BF117" s="24">
        <v>1</v>
      </c>
      <c r="BG117" s="25">
        <v>1</v>
      </c>
      <c r="BH117" s="24">
        <v>3</v>
      </c>
      <c r="BI117" s="24">
        <v>0</v>
      </c>
      <c r="BJ117" s="24">
        <v>0</v>
      </c>
      <c r="BK117" s="24">
        <v>0</v>
      </c>
      <c r="BL117" s="25">
        <v>126</v>
      </c>
      <c r="BM117" s="24">
        <v>0</v>
      </c>
      <c r="BO117" s="25">
        <v>1</v>
      </c>
      <c r="BP117" s="24">
        <v>15</v>
      </c>
      <c r="BQ117" s="24">
        <v>0</v>
      </c>
      <c r="BR117" s="24">
        <v>1</v>
      </c>
      <c r="BS117" s="24">
        <v>0</v>
      </c>
      <c r="BT117" s="24">
        <v>0</v>
      </c>
      <c r="BU117" s="24">
        <v>0</v>
      </c>
      <c r="BV117" s="24">
        <v>0</v>
      </c>
      <c r="BW117" s="24">
        <v>0</v>
      </c>
      <c r="BX117" s="24">
        <v>1</v>
      </c>
      <c r="BZ117" s="24">
        <v>-1</v>
      </c>
      <c r="CA117" s="24">
        <v>0</v>
      </c>
      <c r="CB117" s="24">
        <v>0</v>
      </c>
      <c r="CC117" s="24">
        <v>0</v>
      </c>
      <c r="CD117" s="24">
        <v>0</v>
      </c>
      <c r="CE117" s="24">
        <v>0</v>
      </c>
      <c r="CG117" s="24">
        <v>-1</v>
      </c>
      <c r="CH117" s="24">
        <v>0</v>
      </c>
      <c r="CI117" s="24">
        <v>0</v>
      </c>
      <c r="CJ117" s="24">
        <v>0</v>
      </c>
      <c r="CK117" s="24">
        <v>0</v>
      </c>
      <c r="CL117" s="24">
        <v>0</v>
      </c>
      <c r="CM117" s="24">
        <v>0</v>
      </c>
      <c r="CN117" s="24">
        <v>0</v>
      </c>
      <c r="CO117" s="24">
        <v>0</v>
      </c>
      <c r="CQ117" s="24">
        <v>0</v>
      </c>
      <c r="CR117" s="24">
        <v>0</v>
      </c>
      <c r="CS117" s="24">
        <v>0</v>
      </c>
      <c r="CT117" s="24">
        <v>0</v>
      </c>
      <c r="CV117" s="24">
        <v>0</v>
      </c>
      <c r="CW117" s="24">
        <v>0</v>
      </c>
      <c r="CX117" s="24">
        <v>7001</v>
      </c>
      <c r="CY117" s="26">
        <v>3</v>
      </c>
      <c r="CZ117" s="24">
        <v>2</v>
      </c>
      <c r="DA117" s="24">
        <v>0</v>
      </c>
      <c r="DC117" s="24">
        <v>1</v>
      </c>
      <c r="DD117" s="24">
        <v>1</v>
      </c>
      <c r="DE117" s="24">
        <v>0</v>
      </c>
      <c r="DF117" s="24">
        <v>0</v>
      </c>
      <c r="DG117" s="24">
        <v>-1</v>
      </c>
      <c r="DI117" s="24">
        <v>0</v>
      </c>
      <c r="DJ117" s="24">
        <v>0</v>
      </c>
      <c r="DL117" s="24">
        <v>0</v>
      </c>
      <c r="DM117" s="24">
        <v>0</v>
      </c>
      <c r="DO117" s="24">
        <v>0</v>
      </c>
      <c r="DP117" s="24">
        <v>0</v>
      </c>
      <c r="DQ117" s="24">
        <v>0</v>
      </c>
      <c r="DR117" s="24">
        <v>0</v>
      </c>
      <c r="DS117" s="24">
        <v>0</v>
      </c>
      <c r="DT117" s="24">
        <v>0</v>
      </c>
      <c r="DV117" s="24">
        <v>0</v>
      </c>
      <c r="DW117" s="24">
        <v>0</v>
      </c>
      <c r="DX117" s="24">
        <v>0</v>
      </c>
      <c r="DY117" s="24">
        <v>0</v>
      </c>
      <c r="DZ117" s="24">
        <v>0</v>
      </c>
    </row>
    <row r="118" spans="1:130">
      <c r="A118" s="24" t="s">
        <v>142</v>
      </c>
      <c r="B118" s="24" t="s">
        <v>142</v>
      </c>
      <c r="C118" s="24" t="s">
        <v>142</v>
      </c>
      <c r="D118" s="24" t="s">
        <v>142</v>
      </c>
      <c r="E118" s="24">
        <v>5607</v>
      </c>
      <c r="F118" s="24" t="s">
        <v>661</v>
      </c>
      <c r="G118" s="24">
        <v>0</v>
      </c>
      <c r="H118" s="24">
        <v>505607</v>
      </c>
      <c r="I118" s="24" t="s">
        <v>661</v>
      </c>
      <c r="J118" s="24" t="s">
        <v>661</v>
      </c>
      <c r="K118" s="24" t="s">
        <v>805</v>
      </c>
      <c r="M118" s="24">
        <v>102</v>
      </c>
      <c r="N118" s="24">
        <v>0</v>
      </c>
      <c r="P118" s="25">
        <v>2</v>
      </c>
      <c r="Q118" s="25">
        <v>2099712</v>
      </c>
      <c r="R118" s="24">
        <v>0</v>
      </c>
      <c r="S118" s="25">
        <v>0</v>
      </c>
      <c r="T118" s="24"/>
      <c r="U118" s="24">
        <v>0</v>
      </c>
      <c r="V118" s="25">
        <v>0</v>
      </c>
      <c r="W118" s="24">
        <v>0</v>
      </c>
      <c r="X118" s="14">
        <v>0</v>
      </c>
      <c r="Y118" s="24">
        <v>0</v>
      </c>
      <c r="Z118" s="24">
        <v>0</v>
      </c>
      <c r="AB118" s="24">
        <v>10001</v>
      </c>
      <c r="AC118" s="24">
        <v>-1</v>
      </c>
      <c r="AD118" s="24">
        <v>-1</v>
      </c>
      <c r="AE118" s="24">
        <v>-1</v>
      </c>
      <c r="AG118" s="24">
        <v>2</v>
      </c>
      <c r="AH118" s="24">
        <v>0</v>
      </c>
      <c r="AI118" s="24">
        <v>0</v>
      </c>
      <c r="AJ118" s="24">
        <v>0</v>
      </c>
      <c r="AK118" s="24">
        <v>1</v>
      </c>
      <c r="AL118" s="24">
        <v>1</v>
      </c>
      <c r="AM118" s="24">
        <v>0</v>
      </c>
      <c r="AN118" s="24">
        <v>0</v>
      </c>
      <c r="AO118" s="24">
        <v>0</v>
      </c>
      <c r="AP118" s="24">
        <v>500</v>
      </c>
      <c r="AQ118" s="24">
        <v>25</v>
      </c>
      <c r="AR118" s="24">
        <v>0</v>
      </c>
      <c r="AS118" s="24">
        <v>200</v>
      </c>
      <c r="AT118" s="24">
        <v>0</v>
      </c>
      <c r="AU118" s="24">
        <v>0</v>
      </c>
      <c r="AV118" s="24">
        <v>0</v>
      </c>
      <c r="AW118" s="24">
        <v>0</v>
      </c>
      <c r="AX118" s="24">
        <v>0</v>
      </c>
      <c r="AY118" s="24">
        <v>0</v>
      </c>
      <c r="BA118" s="24">
        <v>0</v>
      </c>
      <c r="BB118" s="24">
        <v>3500</v>
      </c>
      <c r="BC118" s="24">
        <v>3500</v>
      </c>
      <c r="BD118" s="24">
        <v>3500</v>
      </c>
      <c r="BE118" s="24">
        <v>3500</v>
      </c>
      <c r="BF118" s="24">
        <v>1</v>
      </c>
      <c r="BG118" s="25">
        <v>0</v>
      </c>
      <c r="BH118" s="24">
        <v>0</v>
      </c>
      <c r="BI118" s="24">
        <v>0</v>
      </c>
      <c r="BJ118" s="24">
        <v>0</v>
      </c>
      <c r="BK118" s="24">
        <v>0</v>
      </c>
      <c r="BL118" s="25">
        <v>126</v>
      </c>
      <c r="BM118" s="24">
        <v>0</v>
      </c>
      <c r="BO118" s="25">
        <v>16</v>
      </c>
      <c r="BP118" s="24">
        <v>0</v>
      </c>
      <c r="BQ118" s="24">
        <v>0</v>
      </c>
      <c r="BR118" s="24">
        <v>1</v>
      </c>
      <c r="BS118" s="24">
        <v>0</v>
      </c>
      <c r="BT118" s="24">
        <v>0</v>
      </c>
      <c r="BU118" s="24">
        <v>0</v>
      </c>
      <c r="BV118" s="24">
        <v>6</v>
      </c>
      <c r="BW118" s="24">
        <v>0</v>
      </c>
      <c r="BX118" s="24">
        <v>0</v>
      </c>
      <c r="BZ118" s="24">
        <v>5607</v>
      </c>
      <c r="CA118" s="24">
        <v>0</v>
      </c>
      <c r="CB118" s="24">
        <v>0</v>
      </c>
      <c r="CC118" s="24">
        <v>0</v>
      </c>
      <c r="CD118" s="24">
        <v>0</v>
      </c>
      <c r="CE118" s="24">
        <v>0</v>
      </c>
      <c r="CG118" s="24">
        <v>-1</v>
      </c>
      <c r="CH118" s="24">
        <v>0</v>
      </c>
      <c r="CI118" s="24">
        <v>0</v>
      </c>
      <c r="CJ118" s="24">
        <v>0</v>
      </c>
      <c r="CK118" s="24">
        <v>0</v>
      </c>
      <c r="CL118" s="24">
        <v>0</v>
      </c>
      <c r="CM118" s="24">
        <v>0</v>
      </c>
      <c r="CN118" s="24">
        <v>0</v>
      </c>
      <c r="CO118" s="24">
        <v>0</v>
      </c>
      <c r="CQ118" s="24">
        <v>0</v>
      </c>
      <c r="CR118" s="24">
        <v>0</v>
      </c>
      <c r="CS118" s="24">
        <v>0</v>
      </c>
      <c r="CT118" s="24">
        <v>0</v>
      </c>
      <c r="CV118" s="24">
        <v>100704</v>
      </c>
      <c r="CW118" s="24">
        <v>0</v>
      </c>
      <c r="CX118" s="24">
        <v>-1</v>
      </c>
      <c r="CY118" s="26">
        <v>0</v>
      </c>
      <c r="CZ118" s="24">
        <v>10</v>
      </c>
      <c r="DA118" s="24">
        <v>0</v>
      </c>
      <c r="DC118" s="24">
        <v>1</v>
      </c>
      <c r="DD118" s="24">
        <v>1</v>
      </c>
      <c r="DE118" s="24">
        <v>0</v>
      </c>
      <c r="DF118" s="24">
        <v>0</v>
      </c>
      <c r="DG118" s="24">
        <v>-1</v>
      </c>
      <c r="DI118" s="24">
        <v>0</v>
      </c>
      <c r="DJ118" s="24">
        <v>0</v>
      </c>
      <c r="DL118" s="24">
        <v>0</v>
      </c>
      <c r="DM118" s="24">
        <v>0</v>
      </c>
      <c r="DO118" s="24">
        <v>0</v>
      </c>
      <c r="DP118" s="24">
        <v>0</v>
      </c>
      <c r="DQ118" s="24">
        <v>0</v>
      </c>
      <c r="DR118" s="24">
        <v>0</v>
      </c>
      <c r="DS118" s="24">
        <v>0</v>
      </c>
      <c r="DT118" s="24">
        <v>0</v>
      </c>
      <c r="DV118" s="24">
        <v>0</v>
      </c>
      <c r="DW118" s="24">
        <v>0</v>
      </c>
      <c r="DX118" s="24">
        <v>0</v>
      </c>
      <c r="DY118" s="24">
        <v>0</v>
      </c>
      <c r="DZ118" s="24">
        <v>0</v>
      </c>
    </row>
    <row r="119" spans="1:130">
      <c r="A119" s="24" t="s">
        <v>142</v>
      </c>
      <c r="B119" s="24" t="s">
        <v>142</v>
      </c>
      <c r="C119" s="24" t="s">
        <v>142</v>
      </c>
      <c r="D119" s="24" t="s">
        <v>142</v>
      </c>
      <c r="E119" s="24">
        <v>5609</v>
      </c>
      <c r="F119" s="24" t="s">
        <v>664</v>
      </c>
      <c r="G119" s="24">
        <v>0</v>
      </c>
      <c r="H119" s="24">
        <v>505609</v>
      </c>
      <c r="I119" s="24" t="s">
        <v>664</v>
      </c>
      <c r="J119" s="24" t="s">
        <v>663</v>
      </c>
      <c r="K119" s="24" t="s">
        <v>473</v>
      </c>
      <c r="M119" s="24">
        <v>0</v>
      </c>
      <c r="N119" s="24">
        <v>0</v>
      </c>
      <c r="P119" s="25">
        <v>12</v>
      </c>
      <c r="Q119" s="25">
        <v>512</v>
      </c>
      <c r="R119" s="24">
        <v>5607</v>
      </c>
      <c r="S119" s="25">
        <v>0</v>
      </c>
      <c r="T119" s="24"/>
      <c r="U119" s="24">
        <v>11</v>
      </c>
      <c r="V119" s="25">
        <v>2050</v>
      </c>
      <c r="W119" s="24">
        <v>1</v>
      </c>
      <c r="X119" s="14">
        <v>5607</v>
      </c>
      <c r="Y119" s="24">
        <v>0</v>
      </c>
      <c r="Z119" s="24">
        <v>1000</v>
      </c>
      <c r="AB119" s="24">
        <v>30001</v>
      </c>
      <c r="AC119" s="24">
        <v>0</v>
      </c>
      <c r="AD119" s="24">
        <v>0</v>
      </c>
      <c r="AE119" s="24">
        <v>0</v>
      </c>
      <c r="AG119" s="24">
        <v>2</v>
      </c>
      <c r="AH119" s="24">
        <v>0</v>
      </c>
      <c r="AI119" s="24">
        <v>0</v>
      </c>
      <c r="AJ119" s="24">
        <v>0</v>
      </c>
      <c r="AK119" s="24">
        <v>1</v>
      </c>
      <c r="AL119" s="24">
        <v>3</v>
      </c>
      <c r="AM119" s="24">
        <v>0</v>
      </c>
      <c r="AN119" s="24">
        <v>0</v>
      </c>
      <c r="AO119" s="24">
        <v>0</v>
      </c>
      <c r="AP119" s="24">
        <v>800</v>
      </c>
      <c r="AQ119" s="24">
        <v>0</v>
      </c>
      <c r="AR119" s="24">
        <v>500</v>
      </c>
      <c r="AS119" s="24">
        <v>500</v>
      </c>
      <c r="AT119" s="24">
        <v>3</v>
      </c>
      <c r="AU119" s="24">
        <v>0</v>
      </c>
      <c r="AV119" s="24">
        <v>0</v>
      </c>
      <c r="AW119" s="24">
        <v>0</v>
      </c>
      <c r="AX119" s="24">
        <v>0</v>
      </c>
      <c r="AY119" s="24">
        <v>0</v>
      </c>
      <c r="BA119" s="24">
        <v>0</v>
      </c>
      <c r="BB119" s="24">
        <v>0</v>
      </c>
      <c r="BC119" s="24">
        <v>0</v>
      </c>
      <c r="BD119" s="24">
        <v>0</v>
      </c>
      <c r="BE119" s="24">
        <v>0</v>
      </c>
      <c r="BF119" s="24">
        <v>1</v>
      </c>
      <c r="BG119" s="25">
        <v>1</v>
      </c>
      <c r="BH119" s="24">
        <v>1</v>
      </c>
      <c r="BI119" s="24">
        <v>0</v>
      </c>
      <c r="BJ119" s="24">
        <v>0</v>
      </c>
      <c r="BK119" s="24">
        <v>0</v>
      </c>
      <c r="BL119" s="25">
        <v>126</v>
      </c>
      <c r="BM119" s="24">
        <v>0</v>
      </c>
      <c r="BO119" s="25">
        <v>16</v>
      </c>
      <c r="BP119" s="24">
        <v>30</v>
      </c>
      <c r="BQ119" s="24">
        <v>0</v>
      </c>
      <c r="BR119" s="24">
        <v>5</v>
      </c>
      <c r="BS119" s="24">
        <v>0</v>
      </c>
      <c r="BT119" s="24">
        <v>50</v>
      </c>
      <c r="BU119" s="24">
        <v>80</v>
      </c>
      <c r="BV119" s="24">
        <v>6</v>
      </c>
      <c r="BW119" s="24">
        <v>0</v>
      </c>
      <c r="BX119" s="24">
        <v>3</v>
      </c>
      <c r="BZ119" s="24">
        <v>-1</v>
      </c>
      <c r="CA119" s="24">
        <v>0</v>
      </c>
      <c r="CB119" s="24">
        <v>0</v>
      </c>
      <c r="CC119" s="24">
        <v>0</v>
      </c>
      <c r="CD119" s="24">
        <v>0</v>
      </c>
      <c r="CE119" s="24">
        <v>0</v>
      </c>
      <c r="CG119" s="24">
        <v>-1</v>
      </c>
      <c r="CH119" s="24">
        <v>0</v>
      </c>
      <c r="CI119" s="24">
        <v>0</v>
      </c>
      <c r="CJ119" s="24">
        <v>0</v>
      </c>
      <c r="CK119" s="24">
        <v>0</v>
      </c>
      <c r="CL119" s="24">
        <v>0</v>
      </c>
      <c r="CM119" s="24">
        <v>0</v>
      </c>
      <c r="CN119" s="24">
        <v>0</v>
      </c>
      <c r="CO119" s="24">
        <v>0</v>
      </c>
      <c r="CQ119" s="24">
        <v>0</v>
      </c>
      <c r="CR119" s="24">
        <v>0</v>
      </c>
      <c r="CS119" s="24">
        <v>0</v>
      </c>
      <c r="CT119" s="24">
        <v>0</v>
      </c>
      <c r="CV119" s="24">
        <v>0</v>
      </c>
      <c r="CW119" s="24">
        <v>0</v>
      </c>
      <c r="CX119" s="24">
        <v>7001</v>
      </c>
      <c r="CY119" s="26">
        <v>3</v>
      </c>
      <c r="CZ119" s="24">
        <v>2</v>
      </c>
      <c r="DA119" s="24">
        <v>0</v>
      </c>
      <c r="DC119" s="24">
        <v>1</v>
      </c>
      <c r="DD119" s="24">
        <v>1</v>
      </c>
      <c r="DE119" s="24">
        <v>0</v>
      </c>
      <c r="DF119" s="24">
        <v>0</v>
      </c>
      <c r="DG119" s="24">
        <v>-1</v>
      </c>
      <c r="DI119" s="24">
        <v>0</v>
      </c>
      <c r="DJ119" s="24">
        <v>0</v>
      </c>
      <c r="DL119" s="24">
        <v>0</v>
      </c>
      <c r="DM119" s="24">
        <v>0</v>
      </c>
      <c r="DO119" s="24">
        <v>0</v>
      </c>
      <c r="DP119" s="24">
        <v>0</v>
      </c>
      <c r="DQ119" s="24">
        <v>0</v>
      </c>
      <c r="DR119" s="24">
        <v>0</v>
      </c>
      <c r="DS119" s="24">
        <v>0</v>
      </c>
      <c r="DT119" s="24">
        <v>0</v>
      </c>
      <c r="DV119" s="24">
        <v>0</v>
      </c>
      <c r="DW119" s="24">
        <v>0</v>
      </c>
      <c r="DX119" s="24">
        <v>0</v>
      </c>
      <c r="DY119" s="24">
        <v>0</v>
      </c>
      <c r="DZ119" s="24">
        <v>0</v>
      </c>
    </row>
    <row r="120" spans="1:130">
      <c r="A120" s="24" t="s">
        <v>142</v>
      </c>
      <c r="B120" s="24" t="s">
        <v>142</v>
      </c>
      <c r="C120" s="24" t="s">
        <v>142</v>
      </c>
      <c r="D120" s="24" t="s">
        <v>142</v>
      </c>
      <c r="E120" s="24">
        <v>5608</v>
      </c>
      <c r="F120" s="24" t="s">
        <v>662</v>
      </c>
      <c r="G120" s="24">
        <v>0</v>
      </c>
      <c r="H120" s="24">
        <v>505608</v>
      </c>
      <c r="I120" s="24" t="s">
        <v>662</v>
      </c>
      <c r="J120" s="24" t="s">
        <v>662</v>
      </c>
      <c r="K120" s="24" t="s">
        <v>473</v>
      </c>
      <c r="M120" s="24">
        <v>102</v>
      </c>
      <c r="N120" s="24">
        <v>0</v>
      </c>
      <c r="P120" s="25">
        <v>2</v>
      </c>
      <c r="Q120" s="25">
        <v>524288</v>
      </c>
      <c r="R120" s="24">
        <v>0</v>
      </c>
      <c r="S120" s="25">
        <v>0</v>
      </c>
      <c r="T120" s="24"/>
      <c r="U120" s="24">
        <v>0</v>
      </c>
      <c r="V120" s="25">
        <v>0</v>
      </c>
      <c r="W120" s="24">
        <v>0</v>
      </c>
      <c r="X120" s="14">
        <v>0</v>
      </c>
      <c r="Y120" s="24">
        <v>0</v>
      </c>
      <c r="Z120" s="24">
        <v>0</v>
      </c>
      <c r="AB120" s="24">
        <v>10001</v>
      </c>
      <c r="AC120" s="24">
        <v>-1</v>
      </c>
      <c r="AD120" s="24">
        <v>-1</v>
      </c>
      <c r="AE120" s="24">
        <v>-1</v>
      </c>
      <c r="AG120" s="24">
        <v>1</v>
      </c>
      <c r="AH120" s="24">
        <v>0</v>
      </c>
      <c r="AI120" s="24">
        <v>0</v>
      </c>
      <c r="AJ120" s="24">
        <v>0</v>
      </c>
      <c r="AK120" s="24">
        <v>0</v>
      </c>
      <c r="AL120" s="24">
        <v>0</v>
      </c>
      <c r="AM120" s="24">
        <v>0</v>
      </c>
      <c r="AN120" s="24">
        <v>0</v>
      </c>
      <c r="AO120" s="24">
        <v>0</v>
      </c>
      <c r="AP120" s="24">
        <v>0</v>
      </c>
      <c r="AQ120" s="24">
        <v>0</v>
      </c>
      <c r="AR120" s="24">
        <v>0</v>
      </c>
      <c r="AS120" s="24">
        <v>0</v>
      </c>
      <c r="AT120" s="24">
        <v>0</v>
      </c>
      <c r="AU120" s="24">
        <v>0</v>
      </c>
      <c r="AV120" s="24">
        <v>0</v>
      </c>
      <c r="AW120" s="24">
        <v>0</v>
      </c>
      <c r="AX120" s="24">
        <v>0</v>
      </c>
      <c r="AY120" s="24">
        <v>0</v>
      </c>
      <c r="BA120" s="24">
        <v>0</v>
      </c>
      <c r="BB120" s="24">
        <v>1500</v>
      </c>
      <c r="BC120" s="24">
        <v>1500</v>
      </c>
      <c r="BD120" s="24">
        <v>300</v>
      </c>
      <c r="BE120" s="24">
        <v>300</v>
      </c>
      <c r="BF120" s="24">
        <v>1</v>
      </c>
      <c r="BG120" s="25">
        <v>1</v>
      </c>
      <c r="BH120" s="24">
        <v>1</v>
      </c>
      <c r="BI120" s="24">
        <v>0</v>
      </c>
      <c r="BJ120" s="24">
        <v>0</v>
      </c>
      <c r="BK120" s="24">
        <v>0</v>
      </c>
      <c r="BL120" s="25">
        <v>126</v>
      </c>
      <c r="BM120" s="24">
        <v>0</v>
      </c>
      <c r="BO120" s="25">
        <v>16</v>
      </c>
      <c r="BP120" s="24">
        <v>10</v>
      </c>
      <c r="BQ120" s="24">
        <v>0</v>
      </c>
      <c r="BR120" s="24">
        <v>1</v>
      </c>
      <c r="BS120" s="24">
        <v>0</v>
      </c>
      <c r="BT120" s="24">
        <v>0</v>
      </c>
      <c r="BU120" s="24">
        <v>0</v>
      </c>
      <c r="BV120" s="24">
        <v>6</v>
      </c>
      <c r="BW120" s="24">
        <v>0</v>
      </c>
      <c r="BX120" s="24">
        <v>1</v>
      </c>
      <c r="BZ120" s="24">
        <v>-1</v>
      </c>
      <c r="CA120" s="24">
        <v>0</v>
      </c>
      <c r="CB120" s="24">
        <v>0</v>
      </c>
      <c r="CC120" s="24">
        <v>0</v>
      </c>
      <c r="CD120" s="24">
        <v>0</v>
      </c>
      <c r="CE120" s="24">
        <v>0</v>
      </c>
      <c r="CG120" s="24">
        <v>-1</v>
      </c>
      <c r="CH120" s="24">
        <v>0</v>
      </c>
      <c r="CI120" s="24">
        <v>0</v>
      </c>
      <c r="CJ120" s="24">
        <v>0</v>
      </c>
      <c r="CK120" s="24">
        <v>0</v>
      </c>
      <c r="CL120" s="24">
        <v>0</v>
      </c>
      <c r="CM120" s="24">
        <v>0</v>
      </c>
      <c r="CN120" s="24">
        <v>0</v>
      </c>
      <c r="CO120" s="24">
        <v>0</v>
      </c>
      <c r="CQ120" s="24">
        <v>1.03914</v>
      </c>
      <c r="CR120" s="24">
        <v>1</v>
      </c>
      <c r="CS120" s="24">
        <v>0</v>
      </c>
      <c r="CT120" s="24">
        <v>0</v>
      </c>
      <c r="CV120" s="24">
        <v>100702</v>
      </c>
      <c r="CW120" s="24">
        <v>21</v>
      </c>
      <c r="CX120" s="24">
        <v>-1</v>
      </c>
      <c r="CY120" s="26">
        <v>0</v>
      </c>
      <c r="CZ120" s="24">
        <v>3</v>
      </c>
      <c r="DA120" s="24">
        <v>0</v>
      </c>
      <c r="DC120" s="24">
        <v>1</v>
      </c>
      <c r="DD120" s="24">
        <v>1</v>
      </c>
      <c r="DE120" s="24">
        <v>0</v>
      </c>
      <c r="DF120" s="24">
        <v>0</v>
      </c>
      <c r="DG120" s="24">
        <v>-1</v>
      </c>
      <c r="DI120" s="24">
        <v>0</v>
      </c>
      <c r="DJ120" s="24">
        <v>0</v>
      </c>
      <c r="DL120" s="24">
        <v>0</v>
      </c>
      <c r="DM120" s="24">
        <v>0</v>
      </c>
      <c r="DO120" s="24">
        <v>0</v>
      </c>
      <c r="DP120" s="24">
        <v>0</v>
      </c>
      <c r="DQ120" s="24">
        <v>0</v>
      </c>
      <c r="DR120" s="24">
        <v>0</v>
      </c>
      <c r="DS120" s="24">
        <v>0</v>
      </c>
      <c r="DT120" s="24">
        <v>0</v>
      </c>
      <c r="DV120" s="24">
        <v>0</v>
      </c>
      <c r="DW120" s="24">
        <v>0</v>
      </c>
      <c r="DX120" s="24">
        <v>0</v>
      </c>
      <c r="DY120" s="24">
        <v>0</v>
      </c>
      <c r="DZ120" s="24">
        <v>0</v>
      </c>
    </row>
    <row r="121" spans="1:130">
      <c r="A121" s="24" t="s">
        <v>142</v>
      </c>
      <c r="B121" s="24" t="s">
        <v>142</v>
      </c>
      <c r="C121" s="24" t="s">
        <v>142</v>
      </c>
      <c r="D121" s="24" t="s">
        <v>142</v>
      </c>
      <c r="E121" s="24">
        <v>5610</v>
      </c>
      <c r="F121" s="24" t="s">
        <v>918</v>
      </c>
      <c r="G121" s="24">
        <v>0</v>
      </c>
      <c r="H121" s="24">
        <v>505610</v>
      </c>
      <c r="I121" s="24" t="s">
        <v>918</v>
      </c>
      <c r="J121" s="24" t="s">
        <v>918</v>
      </c>
      <c r="K121" s="24" t="s">
        <v>473</v>
      </c>
      <c r="M121" s="24">
        <v>0</v>
      </c>
      <c r="N121" s="24">
        <v>0</v>
      </c>
      <c r="P121" s="25">
        <v>4</v>
      </c>
      <c r="Q121" s="25">
        <v>0</v>
      </c>
      <c r="R121" s="24">
        <v>0</v>
      </c>
      <c r="S121" s="25">
        <v>0</v>
      </c>
      <c r="T121" s="24"/>
      <c r="U121" s="24">
        <v>0</v>
      </c>
      <c r="V121" s="25">
        <v>0</v>
      </c>
      <c r="W121" s="24">
        <v>0</v>
      </c>
      <c r="X121" s="24">
        <v>0</v>
      </c>
      <c r="Y121" s="24">
        <v>0</v>
      </c>
      <c r="Z121" s="24">
        <v>0</v>
      </c>
      <c r="AB121" s="24">
        <v>20004</v>
      </c>
      <c r="AC121" s="24">
        <v>5610</v>
      </c>
      <c r="AD121" s="24">
        <v>5601</v>
      </c>
      <c r="AE121" s="24">
        <v>0</v>
      </c>
      <c r="AG121" s="24">
        <v>1</v>
      </c>
      <c r="AH121" s="24">
        <v>0</v>
      </c>
      <c r="AI121" s="24">
        <v>0</v>
      </c>
      <c r="AJ121" s="24">
        <v>0</v>
      </c>
      <c r="AK121" s="24">
        <v>0</v>
      </c>
      <c r="AL121" s="24">
        <v>0</v>
      </c>
      <c r="AM121" s="24">
        <v>0</v>
      </c>
      <c r="AN121" s="24">
        <v>0</v>
      </c>
      <c r="AO121" s="24">
        <v>0</v>
      </c>
      <c r="AP121" s="24">
        <v>0</v>
      </c>
      <c r="AQ121" s="24">
        <v>0</v>
      </c>
      <c r="AR121" s="24">
        <v>0</v>
      </c>
      <c r="AS121" s="24">
        <v>0</v>
      </c>
      <c r="AT121" s="24">
        <v>0</v>
      </c>
      <c r="AU121" s="24">
        <v>0</v>
      </c>
      <c r="AV121" s="24">
        <v>0</v>
      </c>
      <c r="AW121" s="24">
        <v>0</v>
      </c>
      <c r="AX121" s="24">
        <v>0</v>
      </c>
      <c r="AY121" s="24">
        <v>0</v>
      </c>
      <c r="BA121" s="24">
        <v>0</v>
      </c>
      <c r="BB121" s="24">
        <v>0</v>
      </c>
      <c r="BC121" s="24">
        <v>0</v>
      </c>
      <c r="BD121" s="24">
        <v>0</v>
      </c>
      <c r="BE121" s="24">
        <v>0</v>
      </c>
      <c r="BF121" s="24">
        <v>1</v>
      </c>
      <c r="BG121" s="25">
        <v>512</v>
      </c>
      <c r="BH121" s="24">
        <v>5</v>
      </c>
      <c r="BI121" s="24">
        <v>5601</v>
      </c>
      <c r="BJ121" s="24">
        <v>1</v>
      </c>
      <c r="BK121" s="24">
        <v>1</v>
      </c>
      <c r="BL121" s="25">
        <v>126</v>
      </c>
      <c r="BM121" s="24">
        <v>0</v>
      </c>
      <c r="BO121" s="25">
        <v>1</v>
      </c>
      <c r="BP121" s="24">
        <v>0</v>
      </c>
      <c r="BQ121" s="24">
        <v>0</v>
      </c>
      <c r="BR121" s="24">
        <v>1</v>
      </c>
      <c r="BS121" s="24">
        <v>0</v>
      </c>
      <c r="BT121" s="24">
        <v>0</v>
      </c>
      <c r="BU121" s="24">
        <v>0</v>
      </c>
      <c r="BV121" s="24">
        <v>0</v>
      </c>
      <c r="BW121" s="24">
        <v>0</v>
      </c>
      <c r="BX121" s="24">
        <v>0</v>
      </c>
      <c r="BZ121" s="24">
        <v>-1</v>
      </c>
      <c r="CA121" s="24">
        <v>0</v>
      </c>
      <c r="CB121" s="24">
        <v>0</v>
      </c>
      <c r="CC121" s="24">
        <v>0</v>
      </c>
      <c r="CD121" s="24">
        <v>0</v>
      </c>
      <c r="CE121" s="24">
        <v>0</v>
      </c>
      <c r="CG121" s="24">
        <v>-1</v>
      </c>
      <c r="CH121" s="24">
        <v>0</v>
      </c>
      <c r="CI121" s="24">
        <v>0</v>
      </c>
      <c r="CJ121" s="24">
        <v>0</v>
      </c>
      <c r="CK121" s="24">
        <v>0</v>
      </c>
      <c r="CL121" s="24">
        <v>0</v>
      </c>
      <c r="CM121" s="24">
        <v>0</v>
      </c>
      <c r="CN121" s="24">
        <v>0</v>
      </c>
      <c r="CO121" s="24">
        <v>0</v>
      </c>
      <c r="CQ121" s="24">
        <v>0</v>
      </c>
      <c r="CR121" s="24">
        <v>0</v>
      </c>
      <c r="CS121" s="24">
        <v>0</v>
      </c>
      <c r="CT121" s="24">
        <v>0</v>
      </c>
      <c r="CV121" s="24">
        <v>0</v>
      </c>
      <c r="CW121" s="24">
        <v>0</v>
      </c>
      <c r="CX121" s="24">
        <v>-1</v>
      </c>
      <c r="CY121" s="26">
        <v>0</v>
      </c>
      <c r="CZ121" s="24">
        <v>0</v>
      </c>
      <c r="DA121" s="24">
        <v>0</v>
      </c>
      <c r="DC121" s="24">
        <v>1</v>
      </c>
      <c r="DD121" s="24">
        <v>1</v>
      </c>
      <c r="DE121" s="24">
        <v>0</v>
      </c>
      <c r="DF121" s="24">
        <v>0</v>
      </c>
      <c r="DG121" s="24">
        <v>-1</v>
      </c>
      <c r="DI121" s="24">
        <v>0</v>
      </c>
      <c r="DJ121" s="24">
        <v>0</v>
      </c>
      <c r="DL121" s="24">
        <v>0</v>
      </c>
      <c r="DM121" s="24">
        <v>0</v>
      </c>
      <c r="DO121" s="24">
        <v>0</v>
      </c>
      <c r="DP121" s="24">
        <v>0</v>
      </c>
      <c r="DQ121" s="24">
        <v>0</v>
      </c>
      <c r="DR121" s="24">
        <v>0</v>
      </c>
      <c r="DS121" s="24">
        <v>0</v>
      </c>
      <c r="DT121" s="24">
        <v>0</v>
      </c>
      <c r="DV121" s="24">
        <v>0</v>
      </c>
      <c r="DW121" s="24">
        <v>0</v>
      </c>
      <c r="DX121" s="24">
        <v>0</v>
      </c>
      <c r="DY121" s="24">
        <v>0</v>
      </c>
      <c r="DZ121" s="24">
        <v>0</v>
      </c>
    </row>
    <row r="122" spans="1:130">
      <c r="K122" s="24" t="s">
        <v>639</v>
      </c>
      <c r="S122" s="25"/>
      <c r="T122" s="24"/>
      <c r="BO122" s="25" t="s">
        <v>639</v>
      </c>
      <c r="CV122" s="24" t="s">
        <v>639</v>
      </c>
    </row>
    <row r="123" spans="1:130">
      <c r="K123" s="24" t="s">
        <v>639</v>
      </c>
      <c r="S123" s="25"/>
      <c r="T123" s="24"/>
      <c r="BO123" s="25" t="s">
        <v>639</v>
      </c>
      <c r="CV123" s="24" t="s">
        <v>639</v>
      </c>
    </row>
    <row r="124" spans="1:130">
      <c r="K124" s="24" t="s">
        <v>639</v>
      </c>
      <c r="S124" s="25"/>
      <c r="T124" s="24"/>
      <c r="BO124" s="25" t="s">
        <v>639</v>
      </c>
      <c r="CV124" s="24" t="s">
        <v>639</v>
      </c>
    </row>
    <row r="125" spans="1:130">
      <c r="K125" s="24" t="s">
        <v>639</v>
      </c>
      <c r="S125" s="25"/>
      <c r="T125" s="24"/>
      <c r="BO125" s="25" t="s">
        <v>639</v>
      </c>
      <c r="CV125" s="24" t="s">
        <v>639</v>
      </c>
    </row>
    <row r="126" spans="1:130">
      <c r="G126" s="24" t="s">
        <v>639</v>
      </c>
      <c r="K126" s="24" t="s">
        <v>639</v>
      </c>
      <c r="S126" s="25"/>
      <c r="T126" s="24"/>
      <c r="BO126" s="25" t="s">
        <v>639</v>
      </c>
      <c r="CV126" s="24" t="s">
        <v>639</v>
      </c>
      <c r="DC126" s="24" t="s">
        <v>639</v>
      </c>
      <c r="DD126" s="24" t="s">
        <v>639</v>
      </c>
      <c r="DE126" s="24" t="s">
        <v>639</v>
      </c>
      <c r="DF126" s="24" t="s">
        <v>639</v>
      </c>
      <c r="DG126" s="24" t="s">
        <v>639</v>
      </c>
      <c r="DI126" s="24" t="s">
        <v>639</v>
      </c>
      <c r="DJ126" s="24" t="s">
        <v>639</v>
      </c>
      <c r="DL126" s="24" t="s">
        <v>639</v>
      </c>
      <c r="DM126" s="24" t="s">
        <v>639</v>
      </c>
      <c r="DO126" s="24" t="s">
        <v>639</v>
      </c>
      <c r="DP126" s="24" t="s">
        <v>639</v>
      </c>
      <c r="DQ126" s="24" t="s">
        <v>639</v>
      </c>
      <c r="DR126" s="24" t="s">
        <v>639</v>
      </c>
      <c r="DS126" s="24" t="s">
        <v>639</v>
      </c>
      <c r="DT126" s="24" t="s">
        <v>639</v>
      </c>
      <c r="DV126" s="24" t="s">
        <v>639</v>
      </c>
      <c r="DW126" s="24" t="s">
        <v>639</v>
      </c>
      <c r="DX126" s="24" t="s">
        <v>639</v>
      </c>
      <c r="DY126" s="24" t="s">
        <v>639</v>
      </c>
      <c r="DZ126" s="24" t="s">
        <v>639</v>
      </c>
    </row>
    <row r="127" spans="1:130">
      <c r="G127" s="24" t="s">
        <v>639</v>
      </c>
      <c r="K127" s="24" t="s">
        <v>639</v>
      </c>
      <c r="S127" s="25"/>
      <c r="T127" s="24"/>
      <c r="BO127" s="25" t="s">
        <v>639</v>
      </c>
      <c r="CV127" s="24" t="s">
        <v>639</v>
      </c>
      <c r="DC127" s="24" t="s">
        <v>639</v>
      </c>
      <c r="DD127" s="24" t="s">
        <v>639</v>
      </c>
      <c r="DE127" s="24" t="s">
        <v>639</v>
      </c>
      <c r="DF127" s="24" t="s">
        <v>639</v>
      </c>
      <c r="DG127" s="24" t="s">
        <v>639</v>
      </c>
      <c r="DI127" s="24" t="s">
        <v>639</v>
      </c>
      <c r="DJ127" s="24" t="s">
        <v>639</v>
      </c>
      <c r="DL127" s="24" t="s">
        <v>639</v>
      </c>
      <c r="DM127" s="24" t="s">
        <v>639</v>
      </c>
      <c r="DO127" s="24" t="s">
        <v>639</v>
      </c>
      <c r="DP127" s="24" t="s">
        <v>639</v>
      </c>
      <c r="DQ127" s="24" t="s">
        <v>639</v>
      </c>
      <c r="DR127" s="24" t="s">
        <v>639</v>
      </c>
      <c r="DS127" s="24" t="s">
        <v>639</v>
      </c>
      <c r="DT127" s="24" t="s">
        <v>639</v>
      </c>
      <c r="DV127" s="24" t="s">
        <v>639</v>
      </c>
      <c r="DW127" s="24" t="s">
        <v>639</v>
      </c>
      <c r="DX127" s="24" t="s">
        <v>639</v>
      </c>
      <c r="DY127" s="24" t="s">
        <v>639</v>
      </c>
      <c r="DZ127" s="24" t="s">
        <v>639</v>
      </c>
    </row>
    <row r="128" spans="1:130">
      <c r="A128" s="24" t="s">
        <v>142</v>
      </c>
      <c r="B128" s="24" t="s">
        <v>142</v>
      </c>
      <c r="C128" s="24" t="s">
        <v>142</v>
      </c>
      <c r="D128" s="24" t="s">
        <v>142</v>
      </c>
      <c r="E128" s="24">
        <v>5701</v>
      </c>
      <c r="F128" s="24" t="s">
        <v>579</v>
      </c>
      <c r="G128" s="24">
        <v>0</v>
      </c>
      <c r="H128" s="24">
        <v>505701</v>
      </c>
      <c r="I128" s="24" t="s">
        <v>579</v>
      </c>
      <c r="J128" s="24" t="s">
        <v>579</v>
      </c>
      <c r="K128" s="24" t="s">
        <v>473</v>
      </c>
      <c r="M128" s="24">
        <v>0</v>
      </c>
      <c r="N128" s="24">
        <v>0</v>
      </c>
      <c r="P128" s="25">
        <v>4</v>
      </c>
      <c r="Q128" s="25">
        <v>0</v>
      </c>
      <c r="R128" s="24">
        <v>0</v>
      </c>
      <c r="S128" s="25">
        <v>0</v>
      </c>
      <c r="T128" s="24"/>
      <c r="U128" s="24">
        <v>0</v>
      </c>
      <c r="V128" s="25">
        <v>0</v>
      </c>
      <c r="W128" s="24">
        <v>0</v>
      </c>
      <c r="X128" s="24">
        <v>0</v>
      </c>
      <c r="Y128" s="24">
        <v>0</v>
      </c>
      <c r="Z128" s="24">
        <v>0</v>
      </c>
      <c r="AB128" s="24">
        <v>30003</v>
      </c>
      <c r="AC128" s="24">
        <v>2</v>
      </c>
      <c r="AD128" s="24">
        <v>3</v>
      </c>
      <c r="AE128" s="24">
        <v>30</v>
      </c>
      <c r="AG128" s="24">
        <v>1</v>
      </c>
      <c r="AH128" s="24">
        <v>0</v>
      </c>
      <c r="AI128" s="24">
        <v>0</v>
      </c>
      <c r="AJ128" s="24">
        <v>0</v>
      </c>
      <c r="AK128" s="24">
        <v>0</v>
      </c>
      <c r="AL128" s="24">
        <v>0</v>
      </c>
      <c r="AM128" s="24">
        <v>0</v>
      </c>
      <c r="AN128" s="24">
        <v>0</v>
      </c>
      <c r="AO128" s="24">
        <v>0</v>
      </c>
      <c r="AP128" s="24">
        <v>0</v>
      </c>
      <c r="AQ128" s="24">
        <v>0</v>
      </c>
      <c r="AR128" s="24">
        <v>0</v>
      </c>
      <c r="AS128" s="24">
        <v>0</v>
      </c>
      <c r="AT128" s="24">
        <v>0</v>
      </c>
      <c r="AU128" s="24">
        <v>0</v>
      </c>
      <c r="AV128" s="24">
        <v>0</v>
      </c>
      <c r="AW128" s="24">
        <v>0</v>
      </c>
      <c r="AX128" s="24">
        <v>0</v>
      </c>
      <c r="AY128" s="24">
        <v>0</v>
      </c>
      <c r="BA128" s="24">
        <v>0</v>
      </c>
      <c r="BB128" s="24">
        <v>0</v>
      </c>
      <c r="BC128" s="24">
        <v>0</v>
      </c>
      <c r="BD128" s="24">
        <v>0</v>
      </c>
      <c r="BE128" s="24">
        <v>0</v>
      </c>
      <c r="BF128" s="24">
        <v>1</v>
      </c>
      <c r="BG128" s="25">
        <v>512</v>
      </c>
      <c r="BH128" s="24">
        <v>0</v>
      </c>
      <c r="BI128" s="24">
        <v>0</v>
      </c>
      <c r="BJ128" s="24">
        <v>0</v>
      </c>
      <c r="BK128" s="24">
        <v>0</v>
      </c>
      <c r="BL128" s="25">
        <v>126</v>
      </c>
      <c r="BM128" s="24">
        <v>0</v>
      </c>
      <c r="BO128" s="25">
        <v>1</v>
      </c>
      <c r="BP128" s="24">
        <v>15</v>
      </c>
      <c r="BQ128" s="24">
        <v>0</v>
      </c>
      <c r="BR128" s="24">
        <v>1</v>
      </c>
      <c r="BS128" s="24">
        <v>0</v>
      </c>
      <c r="BT128" s="24">
        <v>100</v>
      </c>
      <c r="BU128" s="24">
        <v>30</v>
      </c>
      <c r="BV128" s="24">
        <v>0</v>
      </c>
      <c r="BW128" s="24">
        <v>0</v>
      </c>
      <c r="BX128" s="24">
        <v>1</v>
      </c>
      <c r="BZ128" s="24">
        <v>-1</v>
      </c>
      <c r="CA128" s="24">
        <v>0</v>
      </c>
      <c r="CB128" s="24">
        <v>0</v>
      </c>
      <c r="CC128" s="24">
        <v>0</v>
      </c>
      <c r="CD128" s="24">
        <v>0</v>
      </c>
      <c r="CE128" s="24">
        <v>0</v>
      </c>
      <c r="CG128" s="24">
        <v>-1</v>
      </c>
      <c r="CH128" s="24">
        <v>0</v>
      </c>
      <c r="CI128" s="24">
        <v>0</v>
      </c>
      <c r="CJ128" s="24">
        <v>0</v>
      </c>
      <c r="CK128" s="24">
        <v>0</v>
      </c>
      <c r="CL128" s="24">
        <v>0</v>
      </c>
      <c r="CM128" s="24">
        <v>0</v>
      </c>
      <c r="CN128" s="24">
        <v>0</v>
      </c>
      <c r="CO128" s="24">
        <v>0</v>
      </c>
      <c r="CQ128" s="24">
        <v>0</v>
      </c>
      <c r="CR128" s="24">
        <v>0</v>
      </c>
      <c r="CS128" s="24">
        <v>0</v>
      </c>
      <c r="CT128" s="24">
        <v>0</v>
      </c>
      <c r="CV128" s="24">
        <v>0</v>
      </c>
      <c r="CW128" s="24">
        <v>0</v>
      </c>
      <c r="CX128" s="24">
        <v>-1</v>
      </c>
      <c r="CY128" s="26">
        <v>0</v>
      </c>
      <c r="CZ128" s="24">
        <v>0</v>
      </c>
      <c r="DA128" s="24">
        <v>0</v>
      </c>
      <c r="DC128" s="24">
        <v>1</v>
      </c>
      <c r="DD128" s="24">
        <v>1</v>
      </c>
      <c r="DE128" s="24">
        <v>1</v>
      </c>
      <c r="DF128" s="24">
        <v>0</v>
      </c>
      <c r="DG128" s="24">
        <v>-1</v>
      </c>
      <c r="DI128" s="24">
        <v>0</v>
      </c>
      <c r="DJ128" s="24">
        <v>0</v>
      </c>
      <c r="DL128" s="24">
        <v>0</v>
      </c>
      <c r="DM128" s="24">
        <v>0</v>
      </c>
      <c r="DO128" s="24">
        <v>0</v>
      </c>
      <c r="DP128" s="24">
        <v>0</v>
      </c>
      <c r="DQ128" s="24">
        <v>0</v>
      </c>
      <c r="DR128" s="24">
        <v>0</v>
      </c>
      <c r="DS128" s="24">
        <v>0</v>
      </c>
      <c r="DT128" s="24">
        <v>0</v>
      </c>
      <c r="DV128" s="24">
        <v>0</v>
      </c>
      <c r="DW128" s="24">
        <v>0</v>
      </c>
      <c r="DX128" s="24">
        <v>0</v>
      </c>
      <c r="DY128" s="24">
        <v>0</v>
      </c>
      <c r="DZ128" s="24">
        <v>0</v>
      </c>
    </row>
    <row r="129" spans="1:130">
      <c r="A129" s="24" t="s">
        <v>142</v>
      </c>
      <c r="B129" s="24" t="s">
        <v>142</v>
      </c>
      <c r="C129" s="24" t="s">
        <v>142</v>
      </c>
      <c r="D129" s="24" t="s">
        <v>142</v>
      </c>
      <c r="E129" s="24">
        <v>5702</v>
      </c>
      <c r="F129" s="24" t="s">
        <v>580</v>
      </c>
      <c r="G129" s="24">
        <v>0</v>
      </c>
      <c r="H129" s="24">
        <v>505702</v>
      </c>
      <c r="I129" s="24" t="s">
        <v>580</v>
      </c>
      <c r="J129" s="24" t="s">
        <v>580</v>
      </c>
      <c r="K129" s="24" t="s">
        <v>806</v>
      </c>
      <c r="M129" s="24">
        <v>102</v>
      </c>
      <c r="N129" s="24">
        <v>0</v>
      </c>
      <c r="P129" s="25">
        <v>2</v>
      </c>
      <c r="Q129" s="25">
        <v>524288</v>
      </c>
      <c r="R129" s="24">
        <v>0</v>
      </c>
      <c r="S129" s="25">
        <v>0</v>
      </c>
      <c r="T129" s="24"/>
      <c r="U129" s="24">
        <v>0</v>
      </c>
      <c r="V129" s="25">
        <v>0</v>
      </c>
      <c r="W129" s="24">
        <v>0</v>
      </c>
      <c r="X129" s="24">
        <v>0</v>
      </c>
      <c r="Y129" s="24">
        <v>0</v>
      </c>
      <c r="Z129" s="24">
        <v>0</v>
      </c>
      <c r="AB129" s="24">
        <v>10001</v>
      </c>
      <c r="AC129" s="24">
        <v>-1</v>
      </c>
      <c r="AD129" s="24">
        <v>-1</v>
      </c>
      <c r="AE129" s="24">
        <v>-1</v>
      </c>
      <c r="AG129" s="24">
        <v>1</v>
      </c>
      <c r="AH129" s="24">
        <v>0</v>
      </c>
      <c r="AI129" s="24">
        <v>0</v>
      </c>
      <c r="AJ129" s="24">
        <v>0</v>
      </c>
      <c r="AK129" s="24">
        <v>0</v>
      </c>
      <c r="AL129" s="24">
        <v>0</v>
      </c>
      <c r="AM129" s="24">
        <v>0</v>
      </c>
      <c r="AN129" s="24">
        <v>0</v>
      </c>
      <c r="AO129" s="24">
        <v>0</v>
      </c>
      <c r="AP129" s="24">
        <v>0</v>
      </c>
      <c r="AQ129" s="24">
        <v>0</v>
      </c>
      <c r="AR129" s="24">
        <v>0</v>
      </c>
      <c r="AS129" s="24">
        <v>0</v>
      </c>
      <c r="AT129" s="24">
        <v>0</v>
      </c>
      <c r="AU129" s="24">
        <v>0</v>
      </c>
      <c r="AV129" s="24">
        <v>0</v>
      </c>
      <c r="AW129" s="24">
        <v>0</v>
      </c>
      <c r="AX129" s="24">
        <v>0</v>
      </c>
      <c r="AY129" s="24">
        <v>0</v>
      </c>
      <c r="BA129" s="24">
        <v>0</v>
      </c>
      <c r="BB129" s="24">
        <v>1300</v>
      </c>
      <c r="BC129" s="24">
        <v>1300</v>
      </c>
      <c r="BD129" s="24">
        <v>0</v>
      </c>
      <c r="BE129" s="24">
        <v>0</v>
      </c>
      <c r="BF129" s="24">
        <v>1</v>
      </c>
      <c r="BG129" s="25">
        <v>512</v>
      </c>
      <c r="BH129" s="24">
        <v>4</v>
      </c>
      <c r="BI129" s="24">
        <v>5702</v>
      </c>
      <c r="BJ129" s="24">
        <v>1</v>
      </c>
      <c r="BK129" s="24">
        <v>1</v>
      </c>
      <c r="BL129" s="25">
        <v>126</v>
      </c>
      <c r="BM129" s="24">
        <v>0</v>
      </c>
      <c r="BO129" s="25">
        <v>1</v>
      </c>
      <c r="BP129" s="24">
        <v>0</v>
      </c>
      <c r="BQ129" s="24">
        <v>0</v>
      </c>
      <c r="BR129" s="24">
        <v>1</v>
      </c>
      <c r="BS129" s="24">
        <v>0</v>
      </c>
      <c r="BT129" s="24">
        <v>0</v>
      </c>
      <c r="BU129" s="24">
        <v>0</v>
      </c>
      <c r="BV129" s="24">
        <v>0</v>
      </c>
      <c r="BW129" s="24">
        <v>0</v>
      </c>
      <c r="BX129" s="24">
        <v>1</v>
      </c>
      <c r="BZ129" s="24">
        <v>5702</v>
      </c>
      <c r="CA129" s="24">
        <v>0</v>
      </c>
      <c r="CB129" s="24">
        <v>0</v>
      </c>
      <c r="CC129" s="24">
        <v>0</v>
      </c>
      <c r="CD129" s="24">
        <v>0</v>
      </c>
      <c r="CE129" s="24">
        <v>0</v>
      </c>
      <c r="CG129" s="24">
        <v>-1</v>
      </c>
      <c r="CH129" s="24">
        <v>0</v>
      </c>
      <c r="CI129" s="24">
        <v>0</v>
      </c>
      <c r="CJ129" s="24">
        <v>0</v>
      </c>
      <c r="CK129" s="24">
        <v>0</v>
      </c>
      <c r="CL129" s="24">
        <v>0</v>
      </c>
      <c r="CM129" s="24">
        <v>0</v>
      </c>
      <c r="CN129" s="24">
        <v>0</v>
      </c>
      <c r="CO129" s="24">
        <v>0</v>
      </c>
      <c r="CQ129" s="24">
        <v>0</v>
      </c>
      <c r="CR129" s="24">
        <v>0</v>
      </c>
      <c r="CS129" s="24">
        <v>0</v>
      </c>
      <c r="CT129" s="24">
        <v>0</v>
      </c>
      <c r="CV129" s="24">
        <v>100803</v>
      </c>
      <c r="CW129" s="24">
        <v>15</v>
      </c>
      <c r="CX129" s="24">
        <v>-1</v>
      </c>
      <c r="CY129" s="26">
        <v>0</v>
      </c>
      <c r="CZ129" s="24">
        <v>2</v>
      </c>
      <c r="DA129" s="24">
        <v>0</v>
      </c>
      <c r="DC129" s="24">
        <v>1</v>
      </c>
      <c r="DD129" s="24">
        <v>1</v>
      </c>
      <c r="DE129" s="24">
        <v>1</v>
      </c>
      <c r="DF129" s="24">
        <v>0</v>
      </c>
      <c r="DG129" s="24">
        <v>-1</v>
      </c>
      <c r="DI129" s="24">
        <v>0</v>
      </c>
      <c r="DJ129" s="24">
        <v>0</v>
      </c>
      <c r="DL129" s="24">
        <v>0</v>
      </c>
      <c r="DM129" s="24">
        <v>0</v>
      </c>
      <c r="DO129" s="24">
        <v>0</v>
      </c>
      <c r="DP129" s="24">
        <v>0</v>
      </c>
      <c r="DQ129" s="24">
        <v>0</v>
      </c>
      <c r="DR129" s="24">
        <v>0</v>
      </c>
      <c r="DS129" s="24">
        <v>0</v>
      </c>
      <c r="DT129" s="24">
        <v>0</v>
      </c>
      <c r="DV129" s="24">
        <v>0</v>
      </c>
      <c r="DW129" s="24">
        <v>0</v>
      </c>
      <c r="DX129" s="24">
        <v>0</v>
      </c>
      <c r="DY129" s="24">
        <v>0</v>
      </c>
      <c r="DZ129" s="24">
        <v>0</v>
      </c>
    </row>
    <row r="130" spans="1:130">
      <c r="A130" s="24" t="s">
        <v>142</v>
      </c>
      <c r="B130" s="24" t="s">
        <v>142</v>
      </c>
      <c r="C130" s="24" t="s">
        <v>142</v>
      </c>
      <c r="D130" s="24" t="s">
        <v>142</v>
      </c>
      <c r="E130" s="24">
        <v>5703</v>
      </c>
      <c r="F130" s="24" t="s">
        <v>581</v>
      </c>
      <c r="G130" s="24">
        <v>0</v>
      </c>
      <c r="H130" s="24">
        <v>505703</v>
      </c>
      <c r="I130" s="24" t="s">
        <v>581</v>
      </c>
      <c r="J130" s="24" t="s">
        <v>581</v>
      </c>
      <c r="K130" s="24" t="s">
        <v>473</v>
      </c>
      <c r="M130" s="24">
        <v>0</v>
      </c>
      <c r="N130" s="24">
        <v>0</v>
      </c>
      <c r="P130" s="25">
        <v>16</v>
      </c>
      <c r="Q130" s="25">
        <v>4</v>
      </c>
      <c r="R130" s="24">
        <v>5702</v>
      </c>
      <c r="S130" s="25">
        <v>0</v>
      </c>
      <c r="T130" s="24"/>
      <c r="U130" s="24">
        <v>0</v>
      </c>
      <c r="V130" s="25">
        <v>0</v>
      </c>
      <c r="W130" s="24">
        <v>0</v>
      </c>
      <c r="X130" s="14">
        <v>0</v>
      </c>
      <c r="Y130" s="24">
        <v>0</v>
      </c>
      <c r="Z130" s="24">
        <v>0</v>
      </c>
      <c r="AB130" s="24">
        <v>10001</v>
      </c>
      <c r="AC130" s="24">
        <v>-1</v>
      </c>
      <c r="AD130" s="24">
        <v>-1</v>
      </c>
      <c r="AE130" s="24">
        <v>-1</v>
      </c>
      <c r="AG130" s="24">
        <v>1</v>
      </c>
      <c r="AH130" s="24">
        <v>0</v>
      </c>
      <c r="AI130" s="24">
        <v>0</v>
      </c>
      <c r="AJ130" s="24">
        <v>0</v>
      </c>
      <c r="AK130" s="24">
        <v>0</v>
      </c>
      <c r="AL130" s="24">
        <v>0</v>
      </c>
      <c r="AM130" s="24">
        <v>0</v>
      </c>
      <c r="AN130" s="24">
        <v>0</v>
      </c>
      <c r="AO130" s="24">
        <v>0</v>
      </c>
      <c r="AP130" s="24">
        <v>0</v>
      </c>
      <c r="AQ130" s="24">
        <v>0</v>
      </c>
      <c r="AR130" s="24">
        <v>0</v>
      </c>
      <c r="AS130" s="24">
        <v>0</v>
      </c>
      <c r="AT130" s="24">
        <v>0</v>
      </c>
      <c r="AU130" s="24">
        <v>0</v>
      </c>
      <c r="AV130" s="24">
        <v>0</v>
      </c>
      <c r="AW130" s="24">
        <v>0</v>
      </c>
      <c r="AX130" s="24">
        <v>0</v>
      </c>
      <c r="AY130" s="24">
        <v>0</v>
      </c>
      <c r="BA130" s="24">
        <v>0</v>
      </c>
      <c r="BB130" s="24">
        <v>0</v>
      </c>
      <c r="BC130" s="24">
        <v>0</v>
      </c>
      <c r="BD130" s="24">
        <v>0</v>
      </c>
      <c r="BE130" s="24">
        <v>2000</v>
      </c>
      <c r="BF130" s="24">
        <v>-1</v>
      </c>
      <c r="BG130" s="25">
        <v>2</v>
      </c>
      <c r="BH130" s="24">
        <v>2</v>
      </c>
      <c r="BI130" s="24">
        <v>0</v>
      </c>
      <c r="BJ130" s="24">
        <v>0</v>
      </c>
      <c r="BK130" s="24">
        <v>0</v>
      </c>
      <c r="BL130" s="25">
        <v>126</v>
      </c>
      <c r="BM130" s="24">
        <v>0</v>
      </c>
      <c r="BO130" s="25">
        <v>1</v>
      </c>
      <c r="BP130" s="14">
        <v>15</v>
      </c>
      <c r="BQ130" s="24">
        <v>0</v>
      </c>
      <c r="BR130" s="24">
        <v>2</v>
      </c>
      <c r="BS130" s="24">
        <v>150</v>
      </c>
      <c r="BT130" s="24">
        <v>0</v>
      </c>
      <c r="BU130" s="24">
        <v>0</v>
      </c>
      <c r="BV130" s="24">
        <v>5</v>
      </c>
      <c r="BW130" s="24">
        <v>0</v>
      </c>
      <c r="BX130" s="24">
        <v>4</v>
      </c>
      <c r="BZ130" s="24">
        <v>-1</v>
      </c>
      <c r="CA130" s="24">
        <v>0</v>
      </c>
      <c r="CB130" s="24">
        <v>0</v>
      </c>
      <c r="CC130" s="24">
        <v>0</v>
      </c>
      <c r="CD130" s="24">
        <v>0</v>
      </c>
      <c r="CE130" s="24">
        <v>0</v>
      </c>
      <c r="CG130" s="24">
        <v>-1</v>
      </c>
      <c r="CH130" s="24">
        <v>0</v>
      </c>
      <c r="CI130" s="24">
        <v>0</v>
      </c>
      <c r="CJ130" s="24">
        <v>0</v>
      </c>
      <c r="CK130" s="24">
        <v>0</v>
      </c>
      <c r="CL130" s="24">
        <v>0</v>
      </c>
      <c r="CM130" s="24">
        <v>0</v>
      </c>
      <c r="CN130" s="24">
        <v>0</v>
      </c>
      <c r="CO130" s="24">
        <v>0</v>
      </c>
      <c r="CQ130" s="24">
        <v>0</v>
      </c>
      <c r="CR130" s="24">
        <v>0</v>
      </c>
      <c r="CS130" s="24">
        <v>0</v>
      </c>
      <c r="CT130" s="24">
        <v>0</v>
      </c>
      <c r="CV130" s="24">
        <v>0</v>
      </c>
      <c r="CW130" s="24">
        <v>0</v>
      </c>
      <c r="CX130" s="24">
        <v>-1</v>
      </c>
      <c r="CY130" s="26">
        <v>0</v>
      </c>
      <c r="CZ130" s="24">
        <v>0</v>
      </c>
      <c r="DA130" s="24">
        <v>0</v>
      </c>
      <c r="DC130" s="24">
        <v>1</v>
      </c>
      <c r="DD130" s="24">
        <v>1</v>
      </c>
      <c r="DE130" s="24">
        <v>0</v>
      </c>
      <c r="DF130" s="24">
        <v>0</v>
      </c>
      <c r="DG130" s="24">
        <v>-1</v>
      </c>
      <c r="DI130" s="24">
        <v>0</v>
      </c>
      <c r="DJ130" s="24">
        <v>0</v>
      </c>
      <c r="DL130" s="24">
        <v>0</v>
      </c>
      <c r="DM130" s="24">
        <v>0</v>
      </c>
      <c r="DO130" s="24">
        <v>0</v>
      </c>
      <c r="DP130" s="24">
        <v>0</v>
      </c>
      <c r="DQ130" s="24">
        <v>0</v>
      </c>
      <c r="DR130" s="24">
        <v>0</v>
      </c>
      <c r="DS130" s="24">
        <v>0</v>
      </c>
      <c r="DT130" s="24">
        <v>0</v>
      </c>
      <c r="DV130" s="24">
        <v>0</v>
      </c>
      <c r="DW130" s="24">
        <v>0</v>
      </c>
      <c r="DX130" s="24">
        <v>0</v>
      </c>
      <c r="DY130" s="24">
        <v>0</v>
      </c>
      <c r="DZ130" s="24">
        <v>0</v>
      </c>
    </row>
    <row r="131" spans="1:130">
      <c r="A131" s="24" t="s">
        <v>142</v>
      </c>
      <c r="B131" s="24" t="s">
        <v>142</v>
      </c>
      <c r="C131" s="24" t="s">
        <v>142</v>
      </c>
      <c r="D131" s="24" t="s">
        <v>142</v>
      </c>
      <c r="E131" s="24">
        <v>5704</v>
      </c>
      <c r="F131" s="24" t="s">
        <v>582</v>
      </c>
      <c r="G131" s="24">
        <v>0</v>
      </c>
      <c r="H131" s="24">
        <v>505704</v>
      </c>
      <c r="I131" s="24" t="s">
        <v>582</v>
      </c>
      <c r="J131" s="24" t="s">
        <v>582</v>
      </c>
      <c r="K131" s="24" t="s">
        <v>807</v>
      </c>
      <c r="M131" s="24">
        <v>102</v>
      </c>
      <c r="N131" s="24">
        <v>0</v>
      </c>
      <c r="P131" s="25">
        <v>2</v>
      </c>
      <c r="Q131" s="25">
        <v>524288</v>
      </c>
      <c r="R131" s="24">
        <v>0</v>
      </c>
      <c r="S131" s="25">
        <v>0</v>
      </c>
      <c r="T131" s="24"/>
      <c r="U131" s="24">
        <v>0</v>
      </c>
      <c r="V131" s="25">
        <v>0</v>
      </c>
      <c r="W131" s="24">
        <v>0</v>
      </c>
      <c r="X131" s="24">
        <v>0</v>
      </c>
      <c r="Y131" s="24">
        <v>0</v>
      </c>
      <c r="Z131" s="24">
        <v>0</v>
      </c>
      <c r="AB131" s="24">
        <v>10001</v>
      </c>
      <c r="AC131" s="24">
        <v>-1</v>
      </c>
      <c r="AD131" s="24">
        <v>-1</v>
      </c>
      <c r="AE131" s="24">
        <v>-1</v>
      </c>
      <c r="AG131" s="24">
        <v>1</v>
      </c>
      <c r="AH131" s="24">
        <v>0</v>
      </c>
      <c r="AI131" s="24">
        <v>0</v>
      </c>
      <c r="AJ131" s="24">
        <v>0</v>
      </c>
      <c r="AK131" s="24">
        <v>0</v>
      </c>
      <c r="AL131" s="24">
        <v>0</v>
      </c>
      <c r="AM131" s="24">
        <v>0</v>
      </c>
      <c r="AN131" s="24">
        <v>0</v>
      </c>
      <c r="AO131" s="24">
        <v>0</v>
      </c>
      <c r="AP131" s="24">
        <v>0</v>
      </c>
      <c r="AQ131" s="24">
        <v>0</v>
      </c>
      <c r="AR131" s="24">
        <v>0</v>
      </c>
      <c r="AS131" s="24">
        <v>0</v>
      </c>
      <c r="AT131" s="24">
        <v>0</v>
      </c>
      <c r="AU131" s="24">
        <v>0</v>
      </c>
      <c r="AV131" s="24">
        <v>0</v>
      </c>
      <c r="AW131" s="24">
        <v>0</v>
      </c>
      <c r="AX131" s="24">
        <v>0</v>
      </c>
      <c r="AY131" s="24">
        <v>0</v>
      </c>
      <c r="BA131" s="24">
        <v>0</v>
      </c>
      <c r="BB131" s="24">
        <v>1300</v>
      </c>
      <c r="BC131" s="24">
        <v>1300</v>
      </c>
      <c r="BD131" s="24">
        <v>0</v>
      </c>
      <c r="BE131" s="24">
        <v>400</v>
      </c>
      <c r="BF131" s="24">
        <v>-1</v>
      </c>
      <c r="BG131" s="25">
        <v>262144</v>
      </c>
      <c r="BH131" s="24">
        <v>14</v>
      </c>
      <c r="BI131" s="24">
        <v>1</v>
      </c>
      <c r="BJ131" s="24">
        <v>1</v>
      </c>
      <c r="BK131" s="24">
        <v>1</v>
      </c>
      <c r="BL131" s="25">
        <v>126</v>
      </c>
      <c r="BM131" s="24">
        <v>0</v>
      </c>
      <c r="BO131" s="25">
        <v>2</v>
      </c>
      <c r="BP131" s="24">
        <v>15</v>
      </c>
      <c r="BQ131" s="24">
        <v>0</v>
      </c>
      <c r="BR131" s="24">
        <v>1</v>
      </c>
      <c r="BS131" s="24">
        <v>0</v>
      </c>
      <c r="BT131" s="24">
        <v>0</v>
      </c>
      <c r="BU131" s="24">
        <v>0</v>
      </c>
      <c r="BV131" s="24">
        <v>2</v>
      </c>
      <c r="BW131" s="24">
        <v>0</v>
      </c>
      <c r="BX131" s="24">
        <v>1</v>
      </c>
      <c r="BZ131" s="24">
        <v>5704</v>
      </c>
      <c r="CA131" s="24">
        <v>0</v>
      </c>
      <c r="CB131" s="24">
        <v>0</v>
      </c>
      <c r="CC131" s="24">
        <v>0</v>
      </c>
      <c r="CD131" s="24">
        <v>0</v>
      </c>
      <c r="CE131" s="24">
        <v>0</v>
      </c>
      <c r="CG131" s="24">
        <v>-1</v>
      </c>
      <c r="CH131" s="24">
        <v>0</v>
      </c>
      <c r="CI131" s="24">
        <v>0</v>
      </c>
      <c r="CJ131" s="24">
        <v>0</v>
      </c>
      <c r="CK131" s="24">
        <v>0</v>
      </c>
      <c r="CL131" s="24">
        <v>0</v>
      </c>
      <c r="CM131" s="24">
        <v>0</v>
      </c>
      <c r="CN131" s="24">
        <v>0</v>
      </c>
      <c r="CO131" s="24">
        <v>0</v>
      </c>
      <c r="CQ131" s="24">
        <v>0</v>
      </c>
      <c r="CR131" s="24">
        <v>0</v>
      </c>
      <c r="CS131" s="24">
        <v>0</v>
      </c>
      <c r="CT131" s="24">
        <v>0</v>
      </c>
      <c r="CV131" s="24">
        <v>100804</v>
      </c>
      <c r="CW131" s="24">
        <v>15</v>
      </c>
      <c r="CX131" s="24">
        <v>8002</v>
      </c>
      <c r="CY131" s="26">
        <v>0</v>
      </c>
      <c r="CZ131" s="24">
        <v>2</v>
      </c>
      <c r="DA131" s="24">
        <v>0</v>
      </c>
      <c r="DC131" s="24">
        <v>2</v>
      </c>
      <c r="DD131" s="24">
        <v>1</v>
      </c>
      <c r="DE131" s="24">
        <v>1</v>
      </c>
      <c r="DF131" s="24">
        <v>0</v>
      </c>
      <c r="DG131" s="24">
        <v>-1</v>
      </c>
      <c r="DI131" s="24">
        <v>0</v>
      </c>
      <c r="DJ131" s="24">
        <v>0</v>
      </c>
      <c r="DL131" s="24">
        <v>0</v>
      </c>
      <c r="DM131" s="24">
        <v>0</v>
      </c>
      <c r="DO131" s="24">
        <v>0</v>
      </c>
      <c r="DP131" s="24">
        <v>0</v>
      </c>
      <c r="DQ131" s="24">
        <v>0</v>
      </c>
      <c r="DR131" s="24">
        <v>0</v>
      </c>
      <c r="DS131" s="24">
        <v>0</v>
      </c>
      <c r="DT131" s="24">
        <v>0</v>
      </c>
      <c r="DV131" s="24">
        <v>0</v>
      </c>
      <c r="DW131" s="24">
        <v>0</v>
      </c>
      <c r="DX131" s="24">
        <v>0</v>
      </c>
      <c r="DY131" s="24">
        <v>0</v>
      </c>
      <c r="DZ131" s="24">
        <v>0</v>
      </c>
    </row>
    <row r="132" spans="1:130">
      <c r="A132" s="24" t="s">
        <v>142</v>
      </c>
      <c r="B132" s="24" t="s">
        <v>142</v>
      </c>
      <c r="C132" s="24" t="s">
        <v>142</v>
      </c>
      <c r="D132" s="24" t="s">
        <v>142</v>
      </c>
      <c r="E132" s="24">
        <v>5705</v>
      </c>
      <c r="F132" s="24" t="s">
        <v>583</v>
      </c>
      <c r="G132" s="24">
        <v>0</v>
      </c>
      <c r="H132" s="24">
        <v>505705</v>
      </c>
      <c r="I132" s="24" t="s">
        <v>583</v>
      </c>
      <c r="J132" s="24" t="s">
        <v>583</v>
      </c>
      <c r="K132" s="24" t="s">
        <v>808</v>
      </c>
      <c r="M132" s="24">
        <v>102</v>
      </c>
      <c r="N132" s="24">
        <v>0</v>
      </c>
      <c r="P132" s="25">
        <v>2</v>
      </c>
      <c r="Q132" s="25">
        <v>2097152</v>
      </c>
      <c r="R132" s="24">
        <v>0</v>
      </c>
      <c r="S132" s="25">
        <v>0</v>
      </c>
      <c r="T132" s="24"/>
      <c r="U132" s="24">
        <v>0</v>
      </c>
      <c r="V132" s="25">
        <v>0</v>
      </c>
      <c r="W132" s="24">
        <v>0</v>
      </c>
      <c r="X132" s="24">
        <v>0</v>
      </c>
      <c r="Y132" s="24">
        <v>0</v>
      </c>
      <c r="Z132" s="24">
        <v>0</v>
      </c>
      <c r="AB132" s="24">
        <v>10003</v>
      </c>
      <c r="AC132" s="24">
        <v>100204</v>
      </c>
      <c r="AD132" s="24">
        <v>-1</v>
      </c>
      <c r="AE132" s="24">
        <v>-1</v>
      </c>
      <c r="AG132" s="24">
        <v>1</v>
      </c>
      <c r="AH132" s="24">
        <v>0</v>
      </c>
      <c r="AI132" s="24">
        <v>0</v>
      </c>
      <c r="AJ132" s="24">
        <v>0</v>
      </c>
      <c r="AK132" s="24">
        <v>0</v>
      </c>
      <c r="AL132" s="24">
        <v>0</v>
      </c>
      <c r="AM132" s="24">
        <v>0</v>
      </c>
      <c r="AN132" s="24">
        <v>0</v>
      </c>
      <c r="AO132" s="24">
        <v>0</v>
      </c>
      <c r="AP132" s="24">
        <v>0</v>
      </c>
      <c r="AQ132" s="24">
        <v>0</v>
      </c>
      <c r="AR132" s="24">
        <v>0</v>
      </c>
      <c r="AS132" s="24">
        <v>0</v>
      </c>
      <c r="AT132" s="24">
        <v>0</v>
      </c>
      <c r="AU132" s="24">
        <v>0</v>
      </c>
      <c r="AV132" s="24">
        <v>0</v>
      </c>
      <c r="AW132" s="24">
        <v>0</v>
      </c>
      <c r="AX132" s="24">
        <v>0</v>
      </c>
      <c r="AY132" s="24">
        <v>0</v>
      </c>
      <c r="BA132" s="24">
        <v>0</v>
      </c>
      <c r="BB132" s="24">
        <v>9000</v>
      </c>
      <c r="BC132" s="24">
        <v>9000</v>
      </c>
      <c r="BD132" s="24">
        <v>0</v>
      </c>
      <c r="BE132" s="24">
        <v>1000</v>
      </c>
      <c r="BF132" s="24">
        <v>10</v>
      </c>
      <c r="BG132" s="25">
        <v>2</v>
      </c>
      <c r="BH132" s="24">
        <v>2</v>
      </c>
      <c r="BI132" s="24">
        <v>0</v>
      </c>
      <c r="BJ132" s="24">
        <v>0</v>
      </c>
      <c r="BK132" s="24">
        <v>0</v>
      </c>
      <c r="BL132" s="25">
        <v>126</v>
      </c>
      <c r="BM132" s="24">
        <v>0</v>
      </c>
      <c r="BO132" s="25">
        <v>1</v>
      </c>
      <c r="BP132" s="24">
        <v>15</v>
      </c>
      <c r="BQ132" s="24">
        <v>0</v>
      </c>
      <c r="BR132" s="24">
        <v>2</v>
      </c>
      <c r="BS132" s="24">
        <v>150</v>
      </c>
      <c r="BT132" s="24">
        <v>0</v>
      </c>
      <c r="BU132" s="24">
        <v>0</v>
      </c>
      <c r="BV132" s="24">
        <v>5</v>
      </c>
      <c r="BW132" s="24">
        <v>0</v>
      </c>
      <c r="BX132" s="24">
        <v>5</v>
      </c>
      <c r="BZ132" s="24">
        <v>5705</v>
      </c>
      <c r="CA132" s="24">
        <v>0</v>
      </c>
      <c r="CB132" s="24">
        <v>0</v>
      </c>
      <c r="CC132" s="24">
        <v>0</v>
      </c>
      <c r="CD132" s="24">
        <v>0</v>
      </c>
      <c r="CE132" s="24">
        <v>0</v>
      </c>
      <c r="CG132" s="24">
        <v>-1</v>
      </c>
      <c r="CH132" s="24">
        <v>0</v>
      </c>
      <c r="CI132" s="24">
        <v>0</v>
      </c>
      <c r="CJ132" s="24">
        <v>0</v>
      </c>
      <c r="CK132" s="24">
        <v>0</v>
      </c>
      <c r="CL132" s="24">
        <v>0</v>
      </c>
      <c r="CM132" s="24">
        <v>0</v>
      </c>
      <c r="CN132" s="24">
        <v>0</v>
      </c>
      <c r="CO132" s="24">
        <v>0</v>
      </c>
      <c r="CQ132" s="24">
        <v>0</v>
      </c>
      <c r="CR132" s="24">
        <v>0</v>
      </c>
      <c r="CS132" s="24">
        <v>0</v>
      </c>
      <c r="CT132" s="24">
        <v>0</v>
      </c>
      <c r="CV132" s="24">
        <v>100805</v>
      </c>
      <c r="CW132" s="24">
        <v>15</v>
      </c>
      <c r="CX132" s="24">
        <v>-1</v>
      </c>
      <c r="CY132" s="26">
        <v>0</v>
      </c>
      <c r="CZ132" s="24">
        <v>10</v>
      </c>
      <c r="DA132" s="24">
        <v>0</v>
      </c>
      <c r="DC132" s="24">
        <v>1</v>
      </c>
      <c r="DD132" s="24">
        <v>1</v>
      </c>
      <c r="DE132" s="24">
        <v>1</v>
      </c>
      <c r="DF132" s="24">
        <v>0</v>
      </c>
      <c r="DG132" s="24">
        <v>-1</v>
      </c>
      <c r="DI132" s="24">
        <v>0</v>
      </c>
      <c r="DJ132" s="24">
        <v>0</v>
      </c>
      <c r="DL132" s="24">
        <v>0</v>
      </c>
      <c r="DM132" s="24">
        <v>0</v>
      </c>
      <c r="DO132" s="24">
        <v>0</v>
      </c>
      <c r="DP132" s="24">
        <v>0</v>
      </c>
      <c r="DQ132" s="24">
        <v>0</v>
      </c>
      <c r="DR132" s="24">
        <v>0</v>
      </c>
      <c r="DS132" s="24">
        <v>0</v>
      </c>
      <c r="DT132" s="24">
        <v>0</v>
      </c>
      <c r="DV132" s="24">
        <v>0</v>
      </c>
      <c r="DW132" s="24">
        <v>0</v>
      </c>
      <c r="DX132" s="24">
        <v>0</v>
      </c>
      <c r="DY132" s="24">
        <v>0</v>
      </c>
      <c r="DZ132" s="24">
        <v>0</v>
      </c>
    </row>
    <row r="133" spans="1:130">
      <c r="A133" s="24" t="s">
        <v>142</v>
      </c>
      <c r="B133" s="24" t="s">
        <v>142</v>
      </c>
      <c r="C133" s="24" t="s">
        <v>142</v>
      </c>
      <c r="D133" s="24" t="s">
        <v>142</v>
      </c>
      <c r="E133" s="24">
        <v>5706</v>
      </c>
      <c r="F133" s="24" t="s">
        <v>584</v>
      </c>
      <c r="G133" s="24">
        <v>0</v>
      </c>
      <c r="H133" s="24">
        <v>505706</v>
      </c>
      <c r="I133" s="24" t="s">
        <v>584</v>
      </c>
      <c r="J133" s="24" t="s">
        <v>584</v>
      </c>
      <c r="K133" s="24" t="s">
        <v>473</v>
      </c>
      <c r="M133" s="24">
        <v>102</v>
      </c>
      <c r="N133" s="24">
        <v>0</v>
      </c>
      <c r="P133" s="25">
        <v>2</v>
      </c>
      <c r="Q133" s="25">
        <v>524288</v>
      </c>
      <c r="R133" s="24">
        <v>0</v>
      </c>
      <c r="S133" s="25">
        <v>0</v>
      </c>
      <c r="T133" s="24"/>
      <c r="U133" s="24">
        <v>0</v>
      </c>
      <c r="V133" s="25">
        <v>0</v>
      </c>
      <c r="W133" s="24">
        <v>0</v>
      </c>
      <c r="X133" s="24">
        <v>0</v>
      </c>
      <c r="Y133" s="24">
        <v>0</v>
      </c>
      <c r="Z133" s="24">
        <v>0</v>
      </c>
      <c r="AB133" s="24">
        <v>10001</v>
      </c>
      <c r="AC133" s="24">
        <v>-1</v>
      </c>
      <c r="AD133" s="24">
        <v>-1</v>
      </c>
      <c r="AE133" s="24">
        <v>-1</v>
      </c>
      <c r="AG133" s="24">
        <v>1</v>
      </c>
      <c r="AH133" s="24">
        <v>0</v>
      </c>
      <c r="AI133" s="24">
        <v>0</v>
      </c>
      <c r="AJ133" s="24">
        <v>0</v>
      </c>
      <c r="AK133" s="24">
        <v>0</v>
      </c>
      <c r="AL133" s="24">
        <v>0</v>
      </c>
      <c r="AM133" s="24">
        <v>0</v>
      </c>
      <c r="AN133" s="24">
        <v>0</v>
      </c>
      <c r="AO133" s="24">
        <v>0</v>
      </c>
      <c r="AP133" s="24">
        <v>0</v>
      </c>
      <c r="AQ133" s="24">
        <v>0</v>
      </c>
      <c r="AR133" s="24">
        <v>0</v>
      </c>
      <c r="AS133" s="24">
        <v>0</v>
      </c>
      <c r="AT133" s="24">
        <v>0</v>
      </c>
      <c r="AU133" s="24">
        <v>0</v>
      </c>
      <c r="AV133" s="24">
        <v>0</v>
      </c>
      <c r="AW133" s="24">
        <v>0</v>
      </c>
      <c r="AX133" s="24">
        <v>0</v>
      </c>
      <c r="AY133" s="24">
        <v>0</v>
      </c>
      <c r="BA133" s="24">
        <v>0</v>
      </c>
      <c r="BB133" s="24">
        <v>2000</v>
      </c>
      <c r="BC133" s="24">
        <v>2000</v>
      </c>
      <c r="BD133" s="24">
        <v>0</v>
      </c>
      <c r="BE133" s="24">
        <v>300</v>
      </c>
      <c r="BF133" s="24">
        <v>1</v>
      </c>
      <c r="BG133" s="25">
        <v>1</v>
      </c>
      <c r="BH133" s="24">
        <v>1</v>
      </c>
      <c r="BI133" s="24">
        <v>0</v>
      </c>
      <c r="BJ133" s="24">
        <v>0</v>
      </c>
      <c r="BK133" s="24">
        <v>0</v>
      </c>
      <c r="BL133" s="25">
        <v>126</v>
      </c>
      <c r="BM133" s="24">
        <v>0</v>
      </c>
      <c r="BO133" s="25">
        <v>1</v>
      </c>
      <c r="BP133" s="24">
        <v>10</v>
      </c>
      <c r="BQ133" s="24">
        <v>0</v>
      </c>
      <c r="BR133" s="24">
        <v>2</v>
      </c>
      <c r="BS133" s="24">
        <v>100</v>
      </c>
      <c r="BT133" s="24">
        <v>0</v>
      </c>
      <c r="BU133" s="24">
        <v>0</v>
      </c>
      <c r="BV133" s="24">
        <v>6</v>
      </c>
      <c r="BW133" s="24">
        <v>0</v>
      </c>
      <c r="BX133" s="24">
        <v>4</v>
      </c>
      <c r="BZ133" s="24">
        <v>-1</v>
      </c>
      <c r="CA133" s="24">
        <v>0</v>
      </c>
      <c r="CB133" s="24">
        <v>0</v>
      </c>
      <c r="CC133" s="24">
        <v>0</v>
      </c>
      <c r="CD133" s="24">
        <v>0</v>
      </c>
      <c r="CE133" s="24">
        <v>0</v>
      </c>
      <c r="CG133" s="24">
        <v>-1</v>
      </c>
      <c r="CH133" s="24">
        <v>0</v>
      </c>
      <c r="CI133" s="24">
        <v>0</v>
      </c>
      <c r="CJ133" s="24">
        <v>0</v>
      </c>
      <c r="CK133" s="24">
        <v>0</v>
      </c>
      <c r="CL133" s="24">
        <v>0</v>
      </c>
      <c r="CM133" s="24">
        <v>0</v>
      </c>
      <c r="CN133" s="24">
        <v>0</v>
      </c>
      <c r="CO133" s="24">
        <v>0</v>
      </c>
      <c r="CQ133" s="24">
        <v>0</v>
      </c>
      <c r="CR133" s="24">
        <v>0</v>
      </c>
      <c r="CS133" s="24">
        <v>0</v>
      </c>
      <c r="CT133" s="24">
        <v>0</v>
      </c>
      <c r="CV133" s="24">
        <v>100801</v>
      </c>
      <c r="CW133" s="24">
        <v>15</v>
      </c>
      <c r="CX133" s="24">
        <v>-1</v>
      </c>
      <c r="CY133" s="26">
        <v>0</v>
      </c>
      <c r="CZ133" s="24">
        <v>3</v>
      </c>
      <c r="DA133" s="24">
        <v>0</v>
      </c>
      <c r="DC133" s="24">
        <v>1</v>
      </c>
      <c r="DD133" s="24">
        <v>1</v>
      </c>
      <c r="DE133" s="24">
        <v>0</v>
      </c>
      <c r="DF133" s="24">
        <v>0</v>
      </c>
      <c r="DG133" s="24">
        <v>-1</v>
      </c>
      <c r="DI133" s="24">
        <v>0</v>
      </c>
      <c r="DJ133" s="24">
        <v>0</v>
      </c>
      <c r="DL133" s="24">
        <v>0</v>
      </c>
      <c r="DM133" s="24">
        <v>0</v>
      </c>
      <c r="DO133" s="24">
        <v>0</v>
      </c>
      <c r="DP133" s="24">
        <v>0</v>
      </c>
      <c r="DQ133" s="24">
        <v>0</v>
      </c>
      <c r="DR133" s="24">
        <v>0</v>
      </c>
      <c r="DS133" s="24">
        <v>0</v>
      </c>
      <c r="DT133" s="24">
        <v>0</v>
      </c>
      <c r="DV133" s="24">
        <v>0</v>
      </c>
      <c r="DW133" s="24">
        <v>0</v>
      </c>
      <c r="DX133" s="24">
        <v>0</v>
      </c>
      <c r="DY133" s="24">
        <v>0</v>
      </c>
      <c r="DZ133" s="24">
        <v>0</v>
      </c>
    </row>
    <row r="134" spans="1:130">
      <c r="A134" s="24" t="s">
        <v>142</v>
      </c>
      <c r="B134" s="24" t="s">
        <v>142</v>
      </c>
      <c r="C134" s="24" t="s">
        <v>142</v>
      </c>
      <c r="D134" s="24" t="s">
        <v>142</v>
      </c>
      <c r="E134" s="24">
        <v>5707</v>
      </c>
      <c r="F134" s="24" t="s">
        <v>585</v>
      </c>
      <c r="G134" s="24">
        <v>0</v>
      </c>
      <c r="H134" s="24">
        <v>505707</v>
      </c>
      <c r="I134" s="24" t="s">
        <v>585</v>
      </c>
      <c r="J134" s="24" t="s">
        <v>585</v>
      </c>
      <c r="K134" s="24" t="s">
        <v>809</v>
      </c>
      <c r="M134" s="24">
        <v>102</v>
      </c>
      <c r="N134" s="24">
        <v>0</v>
      </c>
      <c r="P134" s="25">
        <v>2</v>
      </c>
      <c r="Q134" s="25">
        <v>524289</v>
      </c>
      <c r="R134" s="24">
        <v>0</v>
      </c>
      <c r="S134" s="25">
        <v>0</v>
      </c>
      <c r="T134" s="24"/>
      <c r="U134" s="24">
        <v>0</v>
      </c>
      <c r="V134" s="25">
        <v>0</v>
      </c>
      <c r="W134" s="24">
        <v>0</v>
      </c>
      <c r="X134" s="24">
        <v>0</v>
      </c>
      <c r="Y134" s="24">
        <v>0</v>
      </c>
      <c r="Z134" s="24">
        <v>0</v>
      </c>
      <c r="AB134" s="24">
        <v>10001</v>
      </c>
      <c r="AC134" s="24">
        <v>-1</v>
      </c>
      <c r="AD134" s="24">
        <v>-1</v>
      </c>
      <c r="AE134" s="24">
        <v>-1</v>
      </c>
      <c r="AG134" s="24">
        <v>1</v>
      </c>
      <c r="AH134" s="24">
        <v>0</v>
      </c>
      <c r="AI134" s="24">
        <v>0</v>
      </c>
      <c r="AJ134" s="24">
        <v>0</v>
      </c>
      <c r="AK134" s="24">
        <v>0</v>
      </c>
      <c r="AL134" s="24">
        <v>0</v>
      </c>
      <c r="AM134" s="24">
        <v>0</v>
      </c>
      <c r="AN134" s="24">
        <v>0</v>
      </c>
      <c r="AO134" s="24">
        <v>0</v>
      </c>
      <c r="AP134" s="24">
        <v>0</v>
      </c>
      <c r="AQ134" s="24">
        <v>0</v>
      </c>
      <c r="AR134" s="24">
        <v>0</v>
      </c>
      <c r="AS134" s="24">
        <v>0</v>
      </c>
      <c r="AT134" s="24">
        <v>0</v>
      </c>
      <c r="AU134" s="24">
        <v>0</v>
      </c>
      <c r="AV134" s="24">
        <v>0</v>
      </c>
      <c r="AW134" s="24">
        <v>0</v>
      </c>
      <c r="AX134" s="24">
        <v>0</v>
      </c>
      <c r="AY134" s="24">
        <v>0</v>
      </c>
      <c r="BA134" s="24">
        <v>0</v>
      </c>
      <c r="BB134" s="24">
        <v>1667</v>
      </c>
      <c r="BC134" s="24">
        <v>1667</v>
      </c>
      <c r="BD134" s="24">
        <v>0</v>
      </c>
      <c r="BE134" s="24">
        <v>250</v>
      </c>
      <c r="BF134" s="24">
        <v>1</v>
      </c>
      <c r="BG134" s="25">
        <v>1</v>
      </c>
      <c r="BH134" s="24">
        <v>1</v>
      </c>
      <c r="BI134" s="24">
        <v>0</v>
      </c>
      <c r="BJ134" s="24">
        <v>0</v>
      </c>
      <c r="BK134" s="24">
        <v>0</v>
      </c>
      <c r="BL134" s="25">
        <v>126</v>
      </c>
      <c r="BM134" s="24">
        <v>0</v>
      </c>
      <c r="BO134" s="25">
        <v>4</v>
      </c>
      <c r="BP134" s="24">
        <v>10</v>
      </c>
      <c r="BQ134" s="24">
        <v>0</v>
      </c>
      <c r="BR134" s="24">
        <v>1</v>
      </c>
      <c r="BS134" s="24">
        <v>0</v>
      </c>
      <c r="BT134" s="24">
        <v>0</v>
      </c>
      <c r="BU134" s="24">
        <v>0</v>
      </c>
      <c r="BV134" s="24">
        <v>6</v>
      </c>
      <c r="BW134" s="24">
        <v>0</v>
      </c>
      <c r="BX134" s="24">
        <v>1</v>
      </c>
      <c r="BZ134" s="24">
        <v>-1</v>
      </c>
      <c r="CA134" s="24">
        <v>0</v>
      </c>
      <c r="CB134" s="24">
        <v>0</v>
      </c>
      <c r="CC134" s="24">
        <v>0</v>
      </c>
      <c r="CD134" s="24">
        <v>0</v>
      </c>
      <c r="CE134" s="24">
        <v>0</v>
      </c>
      <c r="CG134" s="24">
        <v>-1</v>
      </c>
      <c r="CH134" s="24">
        <v>0</v>
      </c>
      <c r="CI134" s="24">
        <v>0</v>
      </c>
      <c r="CJ134" s="24">
        <v>0</v>
      </c>
      <c r="CK134" s="24">
        <v>0</v>
      </c>
      <c r="CL134" s="24">
        <v>0</v>
      </c>
      <c r="CM134" s="24">
        <v>0</v>
      </c>
      <c r="CN134" s="24">
        <v>0</v>
      </c>
      <c r="CO134" s="24">
        <v>0</v>
      </c>
      <c r="CQ134" s="24">
        <v>0</v>
      </c>
      <c r="CR134" s="24">
        <v>0</v>
      </c>
      <c r="CS134" s="24">
        <v>0</v>
      </c>
      <c r="CT134" s="24">
        <v>0</v>
      </c>
      <c r="CV134" s="24">
        <v>100802</v>
      </c>
      <c r="CW134" s="24">
        <v>15</v>
      </c>
      <c r="CX134" s="24">
        <v>8001</v>
      </c>
      <c r="CY134" s="26">
        <v>2</v>
      </c>
      <c r="CZ134" s="24">
        <v>1</v>
      </c>
      <c r="DA134" s="24">
        <v>0</v>
      </c>
      <c r="DC134" s="24">
        <v>1</v>
      </c>
      <c r="DD134" s="24">
        <v>1</v>
      </c>
      <c r="DE134" s="24">
        <v>0</v>
      </c>
      <c r="DF134" s="24">
        <v>0</v>
      </c>
      <c r="DG134" s="24">
        <v>-1</v>
      </c>
      <c r="DI134" s="24">
        <v>0</v>
      </c>
      <c r="DJ134" s="24">
        <v>0</v>
      </c>
      <c r="DL134" s="24">
        <v>0</v>
      </c>
      <c r="DM134" s="24">
        <v>0</v>
      </c>
      <c r="DO134" s="24">
        <v>0</v>
      </c>
      <c r="DP134" s="24">
        <v>0</v>
      </c>
      <c r="DQ134" s="24">
        <v>0</v>
      </c>
      <c r="DR134" s="24">
        <v>0</v>
      </c>
      <c r="DS134" s="24">
        <v>0</v>
      </c>
      <c r="DT134" s="24">
        <v>0</v>
      </c>
      <c r="DV134" s="24">
        <v>0</v>
      </c>
      <c r="DW134" s="24">
        <v>0</v>
      </c>
      <c r="DX134" s="24">
        <v>0</v>
      </c>
      <c r="DY134" s="24">
        <v>0</v>
      </c>
      <c r="DZ134" s="24">
        <v>0</v>
      </c>
    </row>
    <row r="135" spans="1:130">
      <c r="G135" s="24" t="s">
        <v>639</v>
      </c>
      <c r="K135" s="24" t="s">
        <v>639</v>
      </c>
      <c r="S135" s="25"/>
      <c r="T135" s="24"/>
      <c r="BO135" s="25" t="s">
        <v>639</v>
      </c>
      <c r="CV135" s="24" t="s">
        <v>639</v>
      </c>
      <c r="DC135" s="24" t="s">
        <v>639</v>
      </c>
      <c r="DD135" s="24" t="s">
        <v>639</v>
      </c>
      <c r="DE135" s="24" t="s">
        <v>639</v>
      </c>
      <c r="DF135" s="24" t="s">
        <v>639</v>
      </c>
      <c r="DG135" s="24" t="s">
        <v>639</v>
      </c>
      <c r="DI135" s="24" t="s">
        <v>639</v>
      </c>
      <c r="DJ135" s="24" t="s">
        <v>639</v>
      </c>
      <c r="DL135" s="24" t="s">
        <v>639</v>
      </c>
      <c r="DM135" s="24" t="s">
        <v>639</v>
      </c>
      <c r="DO135" s="24" t="s">
        <v>639</v>
      </c>
      <c r="DP135" s="24" t="s">
        <v>639</v>
      </c>
      <c r="DQ135" s="24" t="s">
        <v>639</v>
      </c>
      <c r="DR135" s="24" t="s">
        <v>639</v>
      </c>
      <c r="DS135" s="24" t="s">
        <v>639</v>
      </c>
      <c r="DT135" s="24" t="s">
        <v>639</v>
      </c>
      <c r="DV135" s="24" t="s">
        <v>639</v>
      </c>
      <c r="DW135" s="24" t="s">
        <v>639</v>
      </c>
      <c r="DX135" s="24" t="s">
        <v>639</v>
      </c>
      <c r="DY135" s="24" t="s">
        <v>639</v>
      </c>
      <c r="DZ135" s="24" t="s">
        <v>639</v>
      </c>
    </row>
    <row r="136" spans="1:130">
      <c r="G136" s="24" t="s">
        <v>639</v>
      </c>
      <c r="K136" s="24" t="s">
        <v>639</v>
      </c>
      <c r="S136" s="25"/>
      <c r="T136" s="24"/>
      <c r="BO136" s="25" t="s">
        <v>639</v>
      </c>
      <c r="CV136" s="24" t="s">
        <v>639</v>
      </c>
      <c r="DC136" s="24" t="s">
        <v>639</v>
      </c>
      <c r="DD136" s="24" t="s">
        <v>639</v>
      </c>
      <c r="DE136" s="24" t="s">
        <v>639</v>
      </c>
      <c r="DF136" s="24" t="s">
        <v>639</v>
      </c>
      <c r="DG136" s="24" t="s">
        <v>639</v>
      </c>
      <c r="DI136" s="24" t="s">
        <v>639</v>
      </c>
      <c r="DJ136" s="24" t="s">
        <v>639</v>
      </c>
      <c r="DL136" s="24" t="s">
        <v>639</v>
      </c>
      <c r="DM136" s="24" t="s">
        <v>639</v>
      </c>
      <c r="DO136" s="24" t="s">
        <v>639</v>
      </c>
      <c r="DP136" s="24" t="s">
        <v>639</v>
      </c>
      <c r="DQ136" s="24" t="s">
        <v>639</v>
      </c>
      <c r="DR136" s="24" t="s">
        <v>639</v>
      </c>
      <c r="DS136" s="24" t="s">
        <v>639</v>
      </c>
      <c r="DT136" s="24" t="s">
        <v>639</v>
      </c>
      <c r="DV136" s="24" t="s">
        <v>639</v>
      </c>
      <c r="DW136" s="24" t="s">
        <v>639</v>
      </c>
      <c r="DX136" s="24" t="s">
        <v>639</v>
      </c>
      <c r="DY136" s="24" t="s">
        <v>639</v>
      </c>
      <c r="DZ136" s="24" t="s">
        <v>639</v>
      </c>
    </row>
    <row r="137" spans="1:130">
      <c r="G137" s="24" t="s">
        <v>639</v>
      </c>
      <c r="K137" s="24" t="s">
        <v>639</v>
      </c>
      <c r="S137" s="25"/>
      <c r="T137" s="24"/>
      <c r="BO137" s="25" t="s">
        <v>639</v>
      </c>
      <c r="CV137" s="24" t="s">
        <v>639</v>
      </c>
      <c r="DC137" s="24" t="s">
        <v>639</v>
      </c>
      <c r="DD137" s="24" t="s">
        <v>639</v>
      </c>
      <c r="DE137" s="24" t="s">
        <v>639</v>
      </c>
      <c r="DF137" s="24" t="s">
        <v>639</v>
      </c>
      <c r="DG137" s="24" t="s">
        <v>639</v>
      </c>
      <c r="DI137" s="24" t="s">
        <v>639</v>
      </c>
      <c r="DJ137" s="24" t="s">
        <v>639</v>
      </c>
      <c r="DL137" s="24" t="s">
        <v>639</v>
      </c>
      <c r="DM137" s="24" t="s">
        <v>639</v>
      </c>
      <c r="DO137" s="24" t="s">
        <v>639</v>
      </c>
      <c r="DP137" s="24" t="s">
        <v>639</v>
      </c>
      <c r="DQ137" s="24" t="s">
        <v>639</v>
      </c>
      <c r="DR137" s="24" t="s">
        <v>639</v>
      </c>
      <c r="DS137" s="24" t="s">
        <v>639</v>
      </c>
      <c r="DT137" s="24" t="s">
        <v>639</v>
      </c>
      <c r="DV137" s="24" t="s">
        <v>639</v>
      </c>
      <c r="DW137" s="24" t="s">
        <v>639</v>
      </c>
      <c r="DX137" s="24" t="s">
        <v>639</v>
      </c>
      <c r="DY137" s="24" t="s">
        <v>639</v>
      </c>
      <c r="DZ137" s="24" t="s">
        <v>639</v>
      </c>
    </row>
    <row r="138" spans="1:130">
      <c r="G138" s="24" t="s">
        <v>639</v>
      </c>
      <c r="K138" s="24" t="s">
        <v>639</v>
      </c>
      <c r="S138" s="25"/>
      <c r="T138" s="24"/>
      <c r="BO138" s="25" t="s">
        <v>639</v>
      </c>
      <c r="CV138" s="24" t="s">
        <v>639</v>
      </c>
      <c r="DC138" s="24" t="s">
        <v>639</v>
      </c>
      <c r="DD138" s="24" t="s">
        <v>639</v>
      </c>
      <c r="DE138" s="24" t="s">
        <v>639</v>
      </c>
      <c r="DF138" s="24" t="s">
        <v>639</v>
      </c>
      <c r="DG138" s="24" t="s">
        <v>639</v>
      </c>
      <c r="DI138" s="24" t="s">
        <v>639</v>
      </c>
      <c r="DJ138" s="24" t="s">
        <v>639</v>
      </c>
      <c r="DL138" s="24" t="s">
        <v>639</v>
      </c>
      <c r="DM138" s="24" t="s">
        <v>639</v>
      </c>
      <c r="DO138" s="24" t="s">
        <v>639</v>
      </c>
      <c r="DP138" s="24" t="s">
        <v>639</v>
      </c>
      <c r="DQ138" s="24" t="s">
        <v>639</v>
      </c>
      <c r="DR138" s="24" t="s">
        <v>639</v>
      </c>
      <c r="DS138" s="24" t="s">
        <v>639</v>
      </c>
      <c r="DT138" s="24" t="s">
        <v>639</v>
      </c>
      <c r="DV138" s="24" t="s">
        <v>639</v>
      </c>
      <c r="DW138" s="24" t="s">
        <v>639</v>
      </c>
      <c r="DX138" s="24" t="s">
        <v>639</v>
      </c>
      <c r="DY138" s="24" t="s">
        <v>639</v>
      </c>
      <c r="DZ138" s="24" t="s">
        <v>639</v>
      </c>
    </row>
    <row r="139" spans="1:130">
      <c r="G139" s="24" t="s">
        <v>639</v>
      </c>
      <c r="K139" s="24" t="s">
        <v>639</v>
      </c>
      <c r="S139" s="25"/>
      <c r="T139" s="24"/>
      <c r="BO139" s="25" t="s">
        <v>639</v>
      </c>
      <c r="CV139" s="24" t="s">
        <v>639</v>
      </c>
      <c r="DC139" s="24" t="s">
        <v>639</v>
      </c>
      <c r="DD139" s="24" t="s">
        <v>639</v>
      </c>
      <c r="DE139" s="24" t="s">
        <v>639</v>
      </c>
      <c r="DF139" s="24" t="s">
        <v>639</v>
      </c>
      <c r="DG139" s="24" t="s">
        <v>639</v>
      </c>
      <c r="DI139" s="24" t="s">
        <v>639</v>
      </c>
      <c r="DJ139" s="24" t="s">
        <v>639</v>
      </c>
      <c r="DL139" s="24" t="s">
        <v>639</v>
      </c>
      <c r="DM139" s="24" t="s">
        <v>639</v>
      </c>
      <c r="DO139" s="24" t="s">
        <v>639</v>
      </c>
      <c r="DP139" s="24" t="s">
        <v>639</v>
      </c>
      <c r="DQ139" s="24" t="s">
        <v>639</v>
      </c>
      <c r="DR139" s="24" t="s">
        <v>639</v>
      </c>
      <c r="DS139" s="24" t="s">
        <v>639</v>
      </c>
      <c r="DT139" s="24" t="s">
        <v>639</v>
      </c>
      <c r="DV139" s="24" t="s">
        <v>639</v>
      </c>
      <c r="DW139" s="24" t="s">
        <v>639</v>
      </c>
      <c r="DX139" s="24" t="s">
        <v>639</v>
      </c>
      <c r="DY139" s="24" t="s">
        <v>639</v>
      </c>
      <c r="DZ139" s="24" t="s">
        <v>639</v>
      </c>
    </row>
    <row r="140" spans="1:130">
      <c r="G140" s="24" t="s">
        <v>639</v>
      </c>
      <c r="K140" s="24" t="s">
        <v>639</v>
      </c>
      <c r="S140" s="25"/>
      <c r="T140" s="24"/>
      <c r="BO140" s="25" t="s">
        <v>639</v>
      </c>
      <c r="CV140" s="24" t="s">
        <v>639</v>
      </c>
      <c r="DC140" s="24" t="s">
        <v>639</v>
      </c>
      <c r="DD140" s="24" t="s">
        <v>639</v>
      </c>
      <c r="DE140" s="24" t="s">
        <v>639</v>
      </c>
      <c r="DF140" s="24" t="s">
        <v>639</v>
      </c>
      <c r="DG140" s="24" t="s">
        <v>639</v>
      </c>
      <c r="DI140" s="24" t="s">
        <v>639</v>
      </c>
      <c r="DJ140" s="24" t="s">
        <v>639</v>
      </c>
      <c r="DL140" s="24" t="s">
        <v>639</v>
      </c>
      <c r="DM140" s="24" t="s">
        <v>639</v>
      </c>
      <c r="DO140" s="24" t="s">
        <v>639</v>
      </c>
      <c r="DP140" s="24" t="s">
        <v>639</v>
      </c>
      <c r="DQ140" s="24" t="s">
        <v>639</v>
      </c>
      <c r="DR140" s="24" t="s">
        <v>639</v>
      </c>
      <c r="DS140" s="24" t="s">
        <v>639</v>
      </c>
      <c r="DT140" s="24" t="s">
        <v>639</v>
      </c>
      <c r="DV140" s="24" t="s">
        <v>639</v>
      </c>
      <c r="DW140" s="24" t="s">
        <v>639</v>
      </c>
      <c r="DX140" s="24" t="s">
        <v>639</v>
      </c>
      <c r="DY140" s="24" t="s">
        <v>639</v>
      </c>
      <c r="DZ140" s="24" t="s">
        <v>639</v>
      </c>
    </row>
    <row r="141" spans="1:130">
      <c r="G141" s="24" t="s">
        <v>639</v>
      </c>
      <c r="K141" s="24" t="s">
        <v>639</v>
      </c>
      <c r="S141" s="25"/>
      <c r="T141" s="24"/>
      <c r="BO141" s="25" t="s">
        <v>639</v>
      </c>
      <c r="CV141" s="24" t="s">
        <v>639</v>
      </c>
      <c r="DC141" s="24" t="s">
        <v>639</v>
      </c>
      <c r="DD141" s="24" t="s">
        <v>639</v>
      </c>
      <c r="DE141" s="24" t="s">
        <v>639</v>
      </c>
      <c r="DF141" s="24" t="s">
        <v>639</v>
      </c>
      <c r="DG141" s="24" t="s">
        <v>639</v>
      </c>
      <c r="DI141" s="24" t="s">
        <v>639</v>
      </c>
      <c r="DJ141" s="24" t="s">
        <v>639</v>
      </c>
      <c r="DL141" s="24" t="s">
        <v>639</v>
      </c>
      <c r="DM141" s="24" t="s">
        <v>639</v>
      </c>
      <c r="DO141" s="24" t="s">
        <v>639</v>
      </c>
      <c r="DP141" s="24" t="s">
        <v>639</v>
      </c>
      <c r="DQ141" s="24" t="s">
        <v>639</v>
      </c>
      <c r="DR141" s="24" t="s">
        <v>639</v>
      </c>
      <c r="DS141" s="24" t="s">
        <v>639</v>
      </c>
      <c r="DT141" s="24" t="s">
        <v>639</v>
      </c>
      <c r="DV141" s="24" t="s">
        <v>639</v>
      </c>
      <c r="DW141" s="24" t="s">
        <v>639</v>
      </c>
      <c r="DX141" s="24" t="s">
        <v>639</v>
      </c>
      <c r="DY141" s="24" t="s">
        <v>639</v>
      </c>
      <c r="DZ141" s="24" t="s">
        <v>639</v>
      </c>
    </row>
    <row r="142" spans="1:130">
      <c r="G142" s="24" t="s">
        <v>639</v>
      </c>
      <c r="K142" s="24" t="s">
        <v>639</v>
      </c>
      <c r="S142" s="25"/>
      <c r="T142" s="24"/>
      <c r="BO142" s="25" t="s">
        <v>639</v>
      </c>
      <c r="CV142" s="24" t="s">
        <v>639</v>
      </c>
      <c r="DC142" s="24" t="s">
        <v>639</v>
      </c>
      <c r="DD142" s="24" t="s">
        <v>639</v>
      </c>
      <c r="DE142" s="24" t="s">
        <v>639</v>
      </c>
      <c r="DF142" s="24" t="s">
        <v>639</v>
      </c>
      <c r="DG142" s="24" t="s">
        <v>639</v>
      </c>
      <c r="DI142" s="24" t="s">
        <v>639</v>
      </c>
      <c r="DJ142" s="24" t="s">
        <v>639</v>
      </c>
      <c r="DL142" s="24" t="s">
        <v>639</v>
      </c>
      <c r="DM142" s="24" t="s">
        <v>639</v>
      </c>
      <c r="DO142" s="24" t="s">
        <v>639</v>
      </c>
      <c r="DP142" s="24" t="s">
        <v>639</v>
      </c>
      <c r="DQ142" s="24" t="s">
        <v>639</v>
      </c>
      <c r="DR142" s="24" t="s">
        <v>639</v>
      </c>
      <c r="DS142" s="24" t="s">
        <v>639</v>
      </c>
      <c r="DT142" s="24" t="s">
        <v>639</v>
      </c>
      <c r="DV142" s="24" t="s">
        <v>639</v>
      </c>
      <c r="DW142" s="24" t="s">
        <v>639</v>
      </c>
      <c r="DX142" s="24" t="s">
        <v>639</v>
      </c>
      <c r="DY142" s="24" t="s">
        <v>639</v>
      </c>
      <c r="DZ142" s="24" t="s">
        <v>639</v>
      </c>
    </row>
    <row r="143" spans="1:130">
      <c r="G143" s="24" t="s">
        <v>639</v>
      </c>
      <c r="K143" s="24" t="s">
        <v>639</v>
      </c>
      <c r="S143" s="25"/>
      <c r="T143" s="24"/>
      <c r="BO143" s="25" t="s">
        <v>639</v>
      </c>
      <c r="CV143" s="24" t="s">
        <v>639</v>
      </c>
      <c r="DC143" s="24" t="s">
        <v>639</v>
      </c>
      <c r="DD143" s="24" t="s">
        <v>639</v>
      </c>
      <c r="DE143" s="24" t="s">
        <v>639</v>
      </c>
      <c r="DF143" s="24" t="s">
        <v>639</v>
      </c>
      <c r="DG143" s="24" t="s">
        <v>639</v>
      </c>
      <c r="DI143" s="24" t="s">
        <v>639</v>
      </c>
      <c r="DJ143" s="24" t="s">
        <v>639</v>
      </c>
      <c r="DL143" s="24" t="s">
        <v>639</v>
      </c>
      <c r="DM143" s="24" t="s">
        <v>639</v>
      </c>
      <c r="DO143" s="24" t="s">
        <v>639</v>
      </c>
      <c r="DP143" s="24" t="s">
        <v>639</v>
      </c>
      <c r="DQ143" s="24" t="s">
        <v>639</v>
      </c>
      <c r="DR143" s="24" t="s">
        <v>639</v>
      </c>
      <c r="DS143" s="24" t="s">
        <v>639</v>
      </c>
      <c r="DT143" s="24" t="s">
        <v>639</v>
      </c>
      <c r="DV143" s="24" t="s">
        <v>639</v>
      </c>
      <c r="DW143" s="24" t="s">
        <v>639</v>
      </c>
      <c r="DX143" s="24" t="s">
        <v>639</v>
      </c>
      <c r="DY143" s="24" t="s">
        <v>639</v>
      </c>
      <c r="DZ143" s="24" t="s">
        <v>639</v>
      </c>
    </row>
    <row r="144" spans="1:130">
      <c r="G144" s="24" t="s">
        <v>639</v>
      </c>
      <c r="K144" s="24" t="s">
        <v>639</v>
      </c>
      <c r="S144" s="25"/>
      <c r="T144" s="24"/>
      <c r="BO144" s="25" t="s">
        <v>639</v>
      </c>
      <c r="CV144" s="24" t="s">
        <v>639</v>
      </c>
      <c r="DC144" s="24" t="s">
        <v>639</v>
      </c>
      <c r="DD144" s="24" t="s">
        <v>639</v>
      </c>
      <c r="DE144" s="24" t="s">
        <v>639</v>
      </c>
      <c r="DF144" s="24" t="s">
        <v>639</v>
      </c>
      <c r="DG144" s="24" t="s">
        <v>639</v>
      </c>
      <c r="DI144" s="24" t="s">
        <v>639</v>
      </c>
      <c r="DJ144" s="24" t="s">
        <v>639</v>
      </c>
      <c r="DL144" s="24" t="s">
        <v>639</v>
      </c>
      <c r="DM144" s="24" t="s">
        <v>639</v>
      </c>
      <c r="DO144" s="24" t="s">
        <v>639</v>
      </c>
      <c r="DP144" s="24" t="s">
        <v>639</v>
      </c>
      <c r="DQ144" s="24" t="s">
        <v>639</v>
      </c>
      <c r="DR144" s="24" t="s">
        <v>639</v>
      </c>
      <c r="DS144" s="24" t="s">
        <v>639</v>
      </c>
      <c r="DT144" s="24" t="s">
        <v>639</v>
      </c>
      <c r="DV144" s="24" t="s">
        <v>639</v>
      </c>
      <c r="DW144" s="24" t="s">
        <v>639</v>
      </c>
      <c r="DX144" s="24" t="s">
        <v>639</v>
      </c>
      <c r="DY144" s="24" t="s">
        <v>639</v>
      </c>
      <c r="DZ144" s="24" t="s">
        <v>639</v>
      </c>
    </row>
    <row r="145" spans="1:130">
      <c r="A145" s="24" t="s">
        <v>142</v>
      </c>
      <c r="B145" s="24" t="s">
        <v>142</v>
      </c>
      <c r="C145" s="24" t="s">
        <v>142</v>
      </c>
      <c r="D145" s="24" t="s">
        <v>142</v>
      </c>
      <c r="E145" s="24">
        <v>15001</v>
      </c>
      <c r="F145" s="24" t="s">
        <v>545</v>
      </c>
      <c r="G145" s="24">
        <v>0</v>
      </c>
      <c r="H145" s="24">
        <v>515001</v>
      </c>
      <c r="I145" s="24" t="s">
        <v>545</v>
      </c>
      <c r="J145" s="24" t="s">
        <v>545</v>
      </c>
      <c r="K145" s="24" t="s">
        <v>473</v>
      </c>
      <c r="M145" s="24">
        <v>0</v>
      </c>
      <c r="N145" s="14">
        <v>0</v>
      </c>
      <c r="O145" s="14"/>
      <c r="P145" s="25">
        <v>12</v>
      </c>
      <c r="Q145" s="25">
        <v>0</v>
      </c>
      <c r="R145" s="24">
        <v>0</v>
      </c>
      <c r="S145" s="25">
        <v>0</v>
      </c>
      <c r="T145" s="24"/>
      <c r="U145" s="24">
        <v>3</v>
      </c>
      <c r="V145" s="25">
        <v>20</v>
      </c>
      <c r="W145" s="24">
        <v>0</v>
      </c>
      <c r="X145" s="14">
        <v>1</v>
      </c>
      <c r="Y145" s="24">
        <v>0</v>
      </c>
      <c r="Z145" s="24">
        <v>500</v>
      </c>
      <c r="AB145" s="24">
        <v>30001</v>
      </c>
      <c r="AC145" s="24">
        <v>-1</v>
      </c>
      <c r="AD145" s="24">
        <v>-1</v>
      </c>
      <c r="AE145" s="24">
        <v>-1</v>
      </c>
      <c r="AG145" s="24">
        <v>1</v>
      </c>
      <c r="AH145" s="24">
        <v>0</v>
      </c>
      <c r="AI145" s="24">
        <v>0</v>
      </c>
      <c r="AJ145" s="24">
        <v>0</v>
      </c>
      <c r="AK145" s="24">
        <v>0</v>
      </c>
      <c r="AL145" s="24">
        <v>0</v>
      </c>
      <c r="AM145" s="24">
        <v>0</v>
      </c>
      <c r="AN145" s="24">
        <v>0</v>
      </c>
      <c r="AO145" s="24">
        <v>0</v>
      </c>
      <c r="AP145" s="24">
        <v>0</v>
      </c>
      <c r="AQ145" s="24">
        <v>0</v>
      </c>
      <c r="AR145" s="24">
        <v>0</v>
      </c>
      <c r="AS145" s="24">
        <v>0</v>
      </c>
      <c r="AT145" s="24">
        <v>0</v>
      </c>
      <c r="AU145" s="24">
        <v>0</v>
      </c>
      <c r="AV145" s="24">
        <v>0</v>
      </c>
      <c r="AW145" s="24">
        <v>0</v>
      </c>
      <c r="AX145" s="24">
        <v>0</v>
      </c>
      <c r="AY145" s="24">
        <v>0</v>
      </c>
      <c r="BA145" s="24">
        <v>0</v>
      </c>
      <c r="BB145" s="24">
        <v>0</v>
      </c>
      <c r="BC145" s="24">
        <v>0</v>
      </c>
      <c r="BD145" s="24">
        <v>0</v>
      </c>
      <c r="BE145" s="24">
        <v>0</v>
      </c>
      <c r="BF145" s="24">
        <v>1</v>
      </c>
      <c r="BG145" s="25">
        <v>1024</v>
      </c>
      <c r="BH145" s="24">
        <v>4</v>
      </c>
      <c r="BI145" s="24">
        <v>15001</v>
      </c>
      <c r="BJ145" s="24">
        <v>1</v>
      </c>
      <c r="BK145" s="24">
        <v>1</v>
      </c>
      <c r="BL145" s="25">
        <v>126</v>
      </c>
      <c r="BM145" s="24">
        <v>0</v>
      </c>
      <c r="BO145" s="25">
        <v>4</v>
      </c>
      <c r="BP145" s="14">
        <v>20</v>
      </c>
      <c r="BQ145" s="24">
        <v>0</v>
      </c>
      <c r="BR145" s="24">
        <v>1</v>
      </c>
      <c r="BS145" s="24">
        <v>0</v>
      </c>
      <c r="BT145" s="24">
        <v>0</v>
      </c>
      <c r="BU145" s="24">
        <v>0</v>
      </c>
      <c r="BV145" s="24">
        <v>0</v>
      </c>
      <c r="BW145" s="24">
        <v>0</v>
      </c>
      <c r="BX145" s="24">
        <v>1</v>
      </c>
      <c r="BZ145" s="24">
        <v>-1</v>
      </c>
      <c r="CA145" s="24">
        <v>0</v>
      </c>
      <c r="CB145" s="24">
        <v>0</v>
      </c>
      <c r="CC145" s="24">
        <v>0</v>
      </c>
      <c r="CD145" s="24">
        <v>0</v>
      </c>
      <c r="CE145" s="24">
        <v>0</v>
      </c>
      <c r="CG145" s="14">
        <v>-1</v>
      </c>
      <c r="CH145" s="24">
        <v>0</v>
      </c>
      <c r="CI145" s="24">
        <v>0</v>
      </c>
      <c r="CJ145" s="24">
        <v>0</v>
      </c>
      <c r="CK145" s="24">
        <v>0</v>
      </c>
      <c r="CL145" s="24">
        <v>0</v>
      </c>
      <c r="CM145" s="24">
        <v>0</v>
      </c>
      <c r="CN145" s="24">
        <v>0</v>
      </c>
      <c r="CO145" s="24">
        <v>0</v>
      </c>
      <c r="CQ145" s="24">
        <v>0</v>
      </c>
      <c r="CR145" s="24">
        <v>0</v>
      </c>
      <c r="CS145" s="24">
        <v>0</v>
      </c>
      <c r="CT145" s="24">
        <v>0</v>
      </c>
      <c r="CV145" s="24">
        <v>0</v>
      </c>
      <c r="CW145" s="24">
        <v>0</v>
      </c>
      <c r="CX145" s="24">
        <v>-1</v>
      </c>
      <c r="CY145" s="26">
        <v>0</v>
      </c>
      <c r="CZ145" s="24">
        <v>0</v>
      </c>
      <c r="DA145" s="24">
        <v>0</v>
      </c>
      <c r="DC145" s="24">
        <v>1</v>
      </c>
      <c r="DD145" s="24">
        <v>1</v>
      </c>
      <c r="DE145" s="24">
        <v>0</v>
      </c>
      <c r="DF145" s="24">
        <v>0</v>
      </c>
      <c r="DG145" s="24">
        <v>-1</v>
      </c>
      <c r="DI145" s="24">
        <v>0</v>
      </c>
      <c r="DJ145" s="24">
        <v>0</v>
      </c>
      <c r="DL145" s="24">
        <v>0</v>
      </c>
      <c r="DM145" s="24">
        <v>0</v>
      </c>
      <c r="DO145" s="24">
        <v>0</v>
      </c>
      <c r="DP145" s="24">
        <v>0</v>
      </c>
      <c r="DQ145" s="24">
        <v>0</v>
      </c>
      <c r="DR145" s="24">
        <v>0</v>
      </c>
      <c r="DS145" s="24">
        <v>0</v>
      </c>
      <c r="DT145" s="24">
        <v>0</v>
      </c>
      <c r="DV145" s="24">
        <v>0</v>
      </c>
      <c r="DW145" s="24">
        <v>0</v>
      </c>
      <c r="DX145" s="24">
        <v>0</v>
      </c>
      <c r="DY145" s="24">
        <v>0</v>
      </c>
      <c r="DZ145" s="24">
        <v>0</v>
      </c>
    </row>
    <row r="146" spans="1:130">
      <c r="A146" s="24" t="s">
        <v>142</v>
      </c>
      <c r="B146" s="24" t="s">
        <v>142</v>
      </c>
      <c r="C146" s="24" t="s">
        <v>142</v>
      </c>
      <c r="D146" s="24" t="s">
        <v>142</v>
      </c>
      <c r="E146" s="24">
        <v>15002</v>
      </c>
      <c r="F146" s="24" t="s">
        <v>546</v>
      </c>
      <c r="G146" s="24">
        <v>0</v>
      </c>
      <c r="H146" s="24">
        <v>515002</v>
      </c>
      <c r="I146" s="24" t="s">
        <v>546</v>
      </c>
      <c r="J146" s="24" t="s">
        <v>546</v>
      </c>
      <c r="K146" s="24" t="s">
        <v>562</v>
      </c>
      <c r="M146" s="24">
        <v>102</v>
      </c>
      <c r="N146" s="24">
        <v>0</v>
      </c>
      <c r="P146" s="25">
        <v>2</v>
      </c>
      <c r="Q146" s="25">
        <v>524544</v>
      </c>
      <c r="R146" s="24">
        <v>0</v>
      </c>
      <c r="S146" s="25">
        <v>1</v>
      </c>
      <c r="T146" s="24"/>
      <c r="U146" s="24">
        <v>0</v>
      </c>
      <c r="V146" s="25">
        <v>0</v>
      </c>
      <c r="W146" s="24">
        <v>0</v>
      </c>
      <c r="X146" s="24">
        <v>0</v>
      </c>
      <c r="Y146" s="24">
        <v>0</v>
      </c>
      <c r="Z146" s="24">
        <v>0</v>
      </c>
      <c r="AB146" s="24">
        <v>10001</v>
      </c>
      <c r="AC146" s="24">
        <v>-1</v>
      </c>
      <c r="AD146" s="24">
        <v>-1</v>
      </c>
      <c r="AE146" s="24">
        <v>-1</v>
      </c>
      <c r="AG146" s="24">
        <v>1</v>
      </c>
      <c r="AH146" s="24">
        <v>0</v>
      </c>
      <c r="AI146" s="24">
        <v>0</v>
      </c>
      <c r="AJ146" s="24">
        <v>0</v>
      </c>
      <c r="AK146" s="24">
        <v>0</v>
      </c>
      <c r="AL146" s="24">
        <v>0</v>
      </c>
      <c r="AM146" s="24">
        <v>0</v>
      </c>
      <c r="AN146" s="24">
        <v>0</v>
      </c>
      <c r="AO146" s="24">
        <v>0</v>
      </c>
      <c r="AP146" s="24">
        <v>0</v>
      </c>
      <c r="AQ146" s="24">
        <v>0</v>
      </c>
      <c r="AR146" s="24">
        <v>0</v>
      </c>
      <c r="AS146" s="24">
        <v>0</v>
      </c>
      <c r="AT146" s="24">
        <v>0</v>
      </c>
      <c r="AU146" s="24">
        <v>0</v>
      </c>
      <c r="AV146" s="24">
        <v>0</v>
      </c>
      <c r="AW146" s="24">
        <v>0</v>
      </c>
      <c r="AX146" s="24">
        <v>0</v>
      </c>
      <c r="AY146" s="24">
        <v>0</v>
      </c>
      <c r="BA146" s="24">
        <v>0</v>
      </c>
      <c r="BB146" s="24">
        <v>300</v>
      </c>
      <c r="BC146" s="24">
        <v>600</v>
      </c>
      <c r="BD146" s="24">
        <v>0</v>
      </c>
      <c r="BE146" s="24">
        <v>200</v>
      </c>
      <c r="BF146" s="24">
        <v>1</v>
      </c>
      <c r="BG146" s="25">
        <v>17</v>
      </c>
      <c r="BH146" s="24">
        <v>1</v>
      </c>
      <c r="BI146" s="24">
        <v>0</v>
      </c>
      <c r="BJ146" s="24">
        <v>0</v>
      </c>
      <c r="BK146" s="24">
        <v>0</v>
      </c>
      <c r="BL146" s="25">
        <v>126</v>
      </c>
      <c r="BM146" s="24">
        <v>0</v>
      </c>
      <c r="BO146" s="25">
        <v>4</v>
      </c>
      <c r="BP146" s="24">
        <v>20</v>
      </c>
      <c r="BQ146" s="24">
        <v>0</v>
      </c>
      <c r="BR146" s="24">
        <v>1</v>
      </c>
      <c r="BS146" s="24">
        <v>0</v>
      </c>
      <c r="BT146" s="24">
        <v>0</v>
      </c>
      <c r="BU146" s="24">
        <v>0</v>
      </c>
      <c r="BV146" s="24">
        <v>6</v>
      </c>
      <c r="BW146" s="24">
        <v>0</v>
      </c>
      <c r="BX146" s="24">
        <v>1</v>
      </c>
      <c r="BZ146" s="24">
        <v>-1</v>
      </c>
      <c r="CA146" s="24">
        <v>0</v>
      </c>
      <c r="CB146" s="24">
        <v>0</v>
      </c>
      <c r="CC146" s="24">
        <v>0</v>
      </c>
      <c r="CD146" s="24">
        <v>0</v>
      </c>
      <c r="CE146" s="24">
        <v>0</v>
      </c>
      <c r="CG146" s="14">
        <v>-1</v>
      </c>
      <c r="CH146" s="24">
        <v>0</v>
      </c>
      <c r="CI146" s="24">
        <v>0</v>
      </c>
      <c r="CJ146" s="24">
        <v>0</v>
      </c>
      <c r="CK146" s="24">
        <v>0</v>
      </c>
      <c r="CL146" s="24">
        <v>0</v>
      </c>
      <c r="CM146" s="24">
        <v>0</v>
      </c>
      <c r="CN146" s="24">
        <v>0</v>
      </c>
      <c r="CO146" s="24">
        <v>0</v>
      </c>
      <c r="CQ146" s="24">
        <v>0.1</v>
      </c>
      <c r="CR146" s="24">
        <v>0</v>
      </c>
      <c r="CS146" s="24">
        <v>0</v>
      </c>
      <c r="CT146" s="24">
        <v>0</v>
      </c>
      <c r="CV146" s="24">
        <v>110101</v>
      </c>
      <c r="CW146" s="24">
        <v>7</v>
      </c>
      <c r="CX146" s="24">
        <v>101001</v>
      </c>
      <c r="CY146" s="26">
        <v>1</v>
      </c>
      <c r="CZ146" s="24">
        <v>1</v>
      </c>
      <c r="DA146" s="24">
        <v>0</v>
      </c>
      <c r="DC146" s="24">
        <v>1</v>
      </c>
      <c r="DD146" s="24">
        <v>1</v>
      </c>
      <c r="DE146" s="24">
        <v>0</v>
      </c>
      <c r="DF146" s="24">
        <v>0</v>
      </c>
      <c r="DG146" s="24">
        <v>-1</v>
      </c>
      <c r="DI146" s="24">
        <v>1</v>
      </c>
      <c r="DJ146" s="24">
        <v>30</v>
      </c>
      <c r="DL146" s="24">
        <v>0</v>
      </c>
      <c r="DM146" s="24">
        <v>0</v>
      </c>
      <c r="DO146" s="24">
        <v>0</v>
      </c>
      <c r="DP146" s="24">
        <v>0</v>
      </c>
      <c r="DQ146" s="24">
        <v>0</v>
      </c>
      <c r="DR146" s="24">
        <v>0</v>
      </c>
      <c r="DS146" s="24">
        <v>0</v>
      </c>
      <c r="DT146" s="24">
        <v>0</v>
      </c>
      <c r="DV146" s="24">
        <v>0</v>
      </c>
      <c r="DW146" s="24">
        <v>0</v>
      </c>
      <c r="DX146" s="24">
        <v>0</v>
      </c>
      <c r="DY146" s="24">
        <v>0</v>
      </c>
      <c r="DZ146" s="24">
        <v>0</v>
      </c>
    </row>
    <row r="147" spans="1:130">
      <c r="A147" s="24" t="s">
        <v>142</v>
      </c>
      <c r="B147" s="24" t="s">
        <v>142</v>
      </c>
      <c r="C147" s="24" t="s">
        <v>142</v>
      </c>
      <c r="D147" s="24" t="s">
        <v>142</v>
      </c>
      <c r="E147" s="24">
        <v>15003</v>
      </c>
      <c r="F147" s="24" t="s">
        <v>547</v>
      </c>
      <c r="G147" s="24">
        <v>0</v>
      </c>
      <c r="H147" s="24">
        <v>515003</v>
      </c>
      <c r="I147" s="24" t="s">
        <v>547</v>
      </c>
      <c r="J147" s="24" t="s">
        <v>547</v>
      </c>
      <c r="K147" s="24" t="s">
        <v>473</v>
      </c>
      <c r="M147" s="24">
        <v>102</v>
      </c>
      <c r="N147" s="24">
        <v>0</v>
      </c>
      <c r="P147" s="25">
        <v>2</v>
      </c>
      <c r="Q147" s="25">
        <v>524544</v>
      </c>
      <c r="R147" s="24">
        <v>15002</v>
      </c>
      <c r="S147" s="25">
        <v>1</v>
      </c>
      <c r="T147" s="24"/>
      <c r="U147" s="24">
        <v>0</v>
      </c>
      <c r="V147" s="25">
        <v>0</v>
      </c>
      <c r="W147" s="24">
        <v>0</v>
      </c>
      <c r="X147" s="24">
        <v>0</v>
      </c>
      <c r="Y147" s="24">
        <v>0</v>
      </c>
      <c r="Z147" s="24">
        <v>0</v>
      </c>
      <c r="AB147" s="24">
        <v>10001</v>
      </c>
      <c r="AC147" s="24">
        <v>-1</v>
      </c>
      <c r="AD147" s="24">
        <v>-1</v>
      </c>
      <c r="AE147" s="24">
        <v>-1</v>
      </c>
      <c r="AG147" s="24">
        <v>1</v>
      </c>
      <c r="AH147" s="24">
        <v>0</v>
      </c>
      <c r="AI147" s="24">
        <v>0</v>
      </c>
      <c r="AJ147" s="24">
        <v>0</v>
      </c>
      <c r="AK147" s="24">
        <v>0</v>
      </c>
      <c r="AL147" s="24">
        <v>0</v>
      </c>
      <c r="AM147" s="24">
        <v>0</v>
      </c>
      <c r="AN147" s="24">
        <v>0</v>
      </c>
      <c r="AO147" s="24">
        <v>0</v>
      </c>
      <c r="AP147" s="24">
        <v>0</v>
      </c>
      <c r="AQ147" s="24">
        <v>0</v>
      </c>
      <c r="AR147" s="24">
        <v>0</v>
      </c>
      <c r="AS147" s="24">
        <v>0</v>
      </c>
      <c r="AT147" s="24">
        <v>0</v>
      </c>
      <c r="AU147" s="24">
        <v>0</v>
      </c>
      <c r="AV147" s="24">
        <v>0</v>
      </c>
      <c r="AW147" s="24">
        <v>0</v>
      </c>
      <c r="AX147" s="24">
        <v>0</v>
      </c>
      <c r="AY147" s="24">
        <v>0</v>
      </c>
      <c r="BA147" s="24">
        <v>0</v>
      </c>
      <c r="BB147" s="24">
        <v>300</v>
      </c>
      <c r="BC147" s="24">
        <v>567</v>
      </c>
      <c r="BD147" s="24">
        <v>0</v>
      </c>
      <c r="BE147" s="24">
        <v>250</v>
      </c>
      <c r="BF147" s="24">
        <v>1</v>
      </c>
      <c r="BG147" s="25">
        <v>17</v>
      </c>
      <c r="BH147" s="24">
        <v>1</v>
      </c>
      <c r="BI147" s="24">
        <v>0</v>
      </c>
      <c r="BJ147" s="24">
        <v>0</v>
      </c>
      <c r="BK147" s="24">
        <v>0</v>
      </c>
      <c r="BL147" s="25">
        <v>126</v>
      </c>
      <c r="BM147" s="24">
        <v>0</v>
      </c>
      <c r="BO147" s="25">
        <v>4</v>
      </c>
      <c r="BP147" s="24">
        <v>20</v>
      </c>
      <c r="BQ147" s="24">
        <v>0</v>
      </c>
      <c r="BR147" s="24">
        <v>1</v>
      </c>
      <c r="BS147" s="24">
        <v>0</v>
      </c>
      <c r="BT147" s="24">
        <v>0</v>
      </c>
      <c r="BU147" s="24">
        <v>0</v>
      </c>
      <c r="BV147" s="24">
        <v>6</v>
      </c>
      <c r="BW147" s="24">
        <v>0</v>
      </c>
      <c r="BX147" s="24">
        <v>1</v>
      </c>
      <c r="BZ147" s="24">
        <v>-1</v>
      </c>
      <c r="CA147" s="24">
        <v>0</v>
      </c>
      <c r="CB147" s="24">
        <v>0</v>
      </c>
      <c r="CC147" s="24">
        <v>0</v>
      </c>
      <c r="CD147" s="24">
        <v>0</v>
      </c>
      <c r="CE147" s="24">
        <v>0</v>
      </c>
      <c r="CG147" s="14">
        <v>-1</v>
      </c>
      <c r="CH147" s="24">
        <v>0</v>
      </c>
      <c r="CI147" s="24">
        <v>0</v>
      </c>
      <c r="CJ147" s="24">
        <v>0</v>
      </c>
      <c r="CK147" s="24">
        <v>0</v>
      </c>
      <c r="CL147" s="24">
        <v>0</v>
      </c>
      <c r="CM147" s="24">
        <v>0</v>
      </c>
      <c r="CN147" s="24">
        <v>0</v>
      </c>
      <c r="CO147" s="24">
        <v>0</v>
      </c>
      <c r="CQ147" s="24">
        <v>0.1</v>
      </c>
      <c r="CR147" s="24">
        <v>0</v>
      </c>
      <c r="CS147" s="24">
        <v>0</v>
      </c>
      <c r="CT147" s="24">
        <v>0</v>
      </c>
      <c r="CV147" s="24">
        <v>110102</v>
      </c>
      <c r="CW147" s="24">
        <v>7</v>
      </c>
      <c r="CX147" s="24">
        <v>101002</v>
      </c>
      <c r="CY147" s="26">
        <v>1</v>
      </c>
      <c r="CZ147" s="24">
        <v>1</v>
      </c>
      <c r="DA147" s="24">
        <v>0</v>
      </c>
      <c r="DC147" s="24">
        <v>1</v>
      </c>
      <c r="DD147" s="24">
        <v>1</v>
      </c>
      <c r="DE147" s="24">
        <v>0</v>
      </c>
      <c r="DF147" s="24">
        <v>0</v>
      </c>
      <c r="DG147" s="24">
        <v>-1</v>
      </c>
      <c r="DI147" s="24">
        <v>1</v>
      </c>
      <c r="DJ147" s="24">
        <v>30</v>
      </c>
      <c r="DL147" s="24">
        <v>0</v>
      </c>
      <c r="DM147" s="24">
        <v>0</v>
      </c>
      <c r="DO147" s="24">
        <v>0</v>
      </c>
      <c r="DP147" s="24">
        <v>0</v>
      </c>
      <c r="DQ147" s="24">
        <v>0</v>
      </c>
      <c r="DR147" s="24">
        <v>0</v>
      </c>
      <c r="DS147" s="24">
        <v>0</v>
      </c>
      <c r="DT147" s="24">
        <v>0</v>
      </c>
      <c r="DV147" s="24">
        <v>0</v>
      </c>
      <c r="DW147" s="24">
        <v>0</v>
      </c>
      <c r="DX147" s="24">
        <v>0</v>
      </c>
      <c r="DY147" s="24">
        <v>0</v>
      </c>
      <c r="DZ147" s="24">
        <v>0</v>
      </c>
    </row>
    <row r="148" spans="1:130">
      <c r="A148" s="24" t="s">
        <v>142</v>
      </c>
      <c r="B148" s="24" t="s">
        <v>142</v>
      </c>
      <c r="C148" s="24" t="s">
        <v>142</v>
      </c>
      <c r="D148" s="24" t="s">
        <v>142</v>
      </c>
      <c r="E148" s="24">
        <v>15004</v>
      </c>
      <c r="F148" s="24" t="s">
        <v>548</v>
      </c>
      <c r="G148" s="24">
        <v>0</v>
      </c>
      <c r="H148" s="24">
        <v>515004</v>
      </c>
      <c r="I148" s="24" t="s">
        <v>548</v>
      </c>
      <c r="J148" s="24" t="s">
        <v>548</v>
      </c>
      <c r="K148" s="24" t="s">
        <v>473</v>
      </c>
      <c r="M148" s="24">
        <v>102</v>
      </c>
      <c r="N148" s="24">
        <v>0</v>
      </c>
      <c r="P148" s="25">
        <v>2</v>
      </c>
      <c r="Q148" s="25">
        <v>524544</v>
      </c>
      <c r="R148" s="24">
        <v>15002</v>
      </c>
      <c r="S148" s="25">
        <v>1</v>
      </c>
      <c r="T148" s="24"/>
      <c r="U148" s="24">
        <v>0</v>
      </c>
      <c r="V148" s="25">
        <v>0</v>
      </c>
      <c r="W148" s="24">
        <v>0</v>
      </c>
      <c r="X148" s="24">
        <v>0</v>
      </c>
      <c r="Y148" s="24">
        <v>0</v>
      </c>
      <c r="Z148" s="24">
        <v>0</v>
      </c>
      <c r="AB148" s="24">
        <v>10001</v>
      </c>
      <c r="AC148" s="24">
        <v>-1</v>
      </c>
      <c r="AD148" s="24">
        <v>-1</v>
      </c>
      <c r="AE148" s="24">
        <v>-1</v>
      </c>
      <c r="AG148" s="24">
        <v>1</v>
      </c>
      <c r="AH148" s="24">
        <v>0</v>
      </c>
      <c r="AI148" s="24">
        <v>0</v>
      </c>
      <c r="AJ148" s="24">
        <v>0</v>
      </c>
      <c r="AK148" s="24">
        <v>0</v>
      </c>
      <c r="AL148" s="24">
        <v>0</v>
      </c>
      <c r="AM148" s="24">
        <v>0</v>
      </c>
      <c r="AN148" s="24">
        <v>0</v>
      </c>
      <c r="AO148" s="24">
        <v>0</v>
      </c>
      <c r="AP148" s="24">
        <v>0</v>
      </c>
      <c r="AQ148" s="24">
        <v>0</v>
      </c>
      <c r="AR148" s="24">
        <v>0</v>
      </c>
      <c r="AS148" s="24">
        <v>0</v>
      </c>
      <c r="AT148" s="24">
        <v>0</v>
      </c>
      <c r="AU148" s="24">
        <v>0</v>
      </c>
      <c r="AV148" s="24">
        <v>0</v>
      </c>
      <c r="AW148" s="24">
        <v>0</v>
      </c>
      <c r="AX148" s="24">
        <v>0</v>
      </c>
      <c r="AY148" s="24">
        <v>0</v>
      </c>
      <c r="BA148" s="24">
        <v>0</v>
      </c>
      <c r="BB148" s="24">
        <v>750</v>
      </c>
      <c r="BC148" s="24">
        <v>1333</v>
      </c>
      <c r="BD148" s="24">
        <v>0</v>
      </c>
      <c r="BE148" s="24">
        <v>600</v>
      </c>
      <c r="BF148" s="24">
        <v>1</v>
      </c>
      <c r="BG148" s="25">
        <v>17</v>
      </c>
      <c r="BH148" s="24">
        <v>1</v>
      </c>
      <c r="BI148" s="24">
        <v>0</v>
      </c>
      <c r="BJ148" s="24">
        <v>0</v>
      </c>
      <c r="BK148" s="24">
        <v>0</v>
      </c>
      <c r="BL148" s="25">
        <v>126</v>
      </c>
      <c r="BM148" s="24">
        <v>0</v>
      </c>
      <c r="BO148" s="25">
        <v>4</v>
      </c>
      <c r="BP148" s="24">
        <v>20</v>
      </c>
      <c r="BQ148" s="24">
        <v>0</v>
      </c>
      <c r="BR148" s="24">
        <v>1</v>
      </c>
      <c r="BS148" s="24">
        <v>0</v>
      </c>
      <c r="BT148" s="24">
        <v>0</v>
      </c>
      <c r="BU148" s="24">
        <v>0</v>
      </c>
      <c r="BV148" s="24">
        <v>6</v>
      </c>
      <c r="BW148" s="24">
        <v>0</v>
      </c>
      <c r="BX148" s="24">
        <v>1</v>
      </c>
      <c r="BZ148" s="24">
        <v>-1</v>
      </c>
      <c r="CA148" s="24">
        <v>0</v>
      </c>
      <c r="CB148" s="24">
        <v>0</v>
      </c>
      <c r="CC148" s="24">
        <v>0</v>
      </c>
      <c r="CD148" s="24">
        <v>0</v>
      </c>
      <c r="CE148" s="24">
        <v>0</v>
      </c>
      <c r="CG148" s="14">
        <v>-1</v>
      </c>
      <c r="CH148" s="24">
        <v>0</v>
      </c>
      <c r="CI148" s="24">
        <v>0</v>
      </c>
      <c r="CJ148" s="24">
        <v>0</v>
      </c>
      <c r="CK148" s="24">
        <v>0</v>
      </c>
      <c r="CL148" s="24">
        <v>0</v>
      </c>
      <c r="CM148" s="24">
        <v>0</v>
      </c>
      <c r="CN148" s="24">
        <v>0</v>
      </c>
      <c r="CO148" s="24">
        <v>0</v>
      </c>
      <c r="CQ148" s="24">
        <v>0.3</v>
      </c>
      <c r="CR148" s="24">
        <v>1</v>
      </c>
      <c r="CS148" s="24">
        <v>0</v>
      </c>
      <c r="CT148" s="24">
        <v>0</v>
      </c>
      <c r="CV148" s="24">
        <v>110103</v>
      </c>
      <c r="CW148" s="24">
        <v>7</v>
      </c>
      <c r="CX148" s="24">
        <v>101003</v>
      </c>
      <c r="CY148" s="26">
        <v>2</v>
      </c>
      <c r="CZ148" s="24">
        <v>1</v>
      </c>
      <c r="DA148" s="24">
        <v>0</v>
      </c>
      <c r="DC148" s="24">
        <v>1</v>
      </c>
      <c r="DD148" s="24">
        <v>1</v>
      </c>
      <c r="DE148" s="24">
        <v>0</v>
      </c>
      <c r="DF148" s="24">
        <v>0</v>
      </c>
      <c r="DG148" s="24">
        <v>-1</v>
      </c>
      <c r="DI148" s="24">
        <v>1</v>
      </c>
      <c r="DJ148" s="24">
        <v>30</v>
      </c>
      <c r="DL148" s="24">
        <v>0</v>
      </c>
      <c r="DM148" s="24">
        <v>0</v>
      </c>
      <c r="DO148" s="24">
        <v>0</v>
      </c>
      <c r="DP148" s="24">
        <v>0</v>
      </c>
      <c r="DQ148" s="24">
        <v>0</v>
      </c>
      <c r="DR148" s="24">
        <v>0</v>
      </c>
      <c r="DS148" s="24">
        <v>0</v>
      </c>
      <c r="DT148" s="24">
        <v>0</v>
      </c>
      <c r="DV148" s="24">
        <v>0</v>
      </c>
      <c r="DW148" s="24">
        <v>0</v>
      </c>
      <c r="DX148" s="24">
        <v>0</v>
      </c>
      <c r="DY148" s="24">
        <v>0</v>
      </c>
      <c r="DZ148" s="24">
        <v>0</v>
      </c>
    </row>
    <row r="149" spans="1:130">
      <c r="A149" s="24" t="s">
        <v>142</v>
      </c>
      <c r="B149" s="24" t="s">
        <v>142</v>
      </c>
      <c r="C149" s="24" t="s">
        <v>142</v>
      </c>
      <c r="D149" s="24" t="s">
        <v>142</v>
      </c>
      <c r="E149" s="24">
        <v>15010</v>
      </c>
      <c r="F149" s="24" t="s">
        <v>549</v>
      </c>
      <c r="G149" s="24">
        <v>0</v>
      </c>
      <c r="H149" s="24">
        <v>515010</v>
      </c>
      <c r="I149" s="24" t="s">
        <v>549</v>
      </c>
      <c r="J149" s="24" t="s">
        <v>549</v>
      </c>
      <c r="K149" s="24" t="s">
        <v>647</v>
      </c>
      <c r="M149" s="24">
        <v>102</v>
      </c>
      <c r="N149" s="24">
        <v>0</v>
      </c>
      <c r="P149" s="25">
        <v>2</v>
      </c>
      <c r="Q149" s="25">
        <v>524544</v>
      </c>
      <c r="R149" s="24">
        <v>0</v>
      </c>
      <c r="S149" s="25">
        <v>0</v>
      </c>
      <c r="T149" s="24"/>
      <c r="U149" s="24">
        <v>9</v>
      </c>
      <c r="V149" s="25">
        <v>0</v>
      </c>
      <c r="W149" s="24">
        <v>0</v>
      </c>
      <c r="X149" s="24">
        <v>0</v>
      </c>
      <c r="Y149" s="24">
        <v>0</v>
      </c>
      <c r="Z149" s="24">
        <v>0</v>
      </c>
      <c r="AB149" s="24">
        <v>10001</v>
      </c>
      <c r="AC149" s="24">
        <v>-1</v>
      </c>
      <c r="AD149" s="24">
        <v>-1</v>
      </c>
      <c r="AE149" s="24">
        <v>-1</v>
      </c>
      <c r="AG149" s="24">
        <v>1</v>
      </c>
      <c r="AH149" s="24">
        <v>0</v>
      </c>
      <c r="AI149" s="24">
        <v>0</v>
      </c>
      <c r="AJ149" s="24">
        <v>0</v>
      </c>
      <c r="AK149" s="24">
        <v>0</v>
      </c>
      <c r="AL149" s="24">
        <v>0</v>
      </c>
      <c r="AM149" s="24">
        <v>0</v>
      </c>
      <c r="AN149" s="24">
        <v>0</v>
      </c>
      <c r="AO149" s="24">
        <v>0</v>
      </c>
      <c r="AP149" s="24">
        <v>0</v>
      </c>
      <c r="AQ149" s="24">
        <v>0</v>
      </c>
      <c r="AR149" s="24">
        <v>0</v>
      </c>
      <c r="AS149" s="24">
        <v>0</v>
      </c>
      <c r="AT149" s="24">
        <v>0</v>
      </c>
      <c r="AU149" s="24">
        <v>0</v>
      </c>
      <c r="AV149" s="24">
        <v>0</v>
      </c>
      <c r="AW149" s="24">
        <v>0</v>
      </c>
      <c r="AX149" s="24">
        <v>0</v>
      </c>
      <c r="AY149" s="24">
        <v>0</v>
      </c>
      <c r="BA149" s="24">
        <v>0</v>
      </c>
      <c r="BB149" s="24">
        <v>300</v>
      </c>
      <c r="BC149" s="24">
        <v>800</v>
      </c>
      <c r="BD149" s="24">
        <v>0</v>
      </c>
      <c r="BE149" s="24">
        <v>100</v>
      </c>
      <c r="BF149" s="24">
        <v>1</v>
      </c>
      <c r="BG149" s="25">
        <v>0</v>
      </c>
      <c r="BH149" s="24">
        <v>0</v>
      </c>
      <c r="BI149" s="24">
        <v>0</v>
      </c>
      <c r="BJ149" s="24">
        <v>0</v>
      </c>
      <c r="BK149" s="24">
        <v>0</v>
      </c>
      <c r="BL149" s="25">
        <v>126</v>
      </c>
      <c r="BM149" s="24">
        <v>0</v>
      </c>
      <c r="BO149" s="25">
        <v>16</v>
      </c>
      <c r="BP149" s="24">
        <v>0</v>
      </c>
      <c r="BQ149" s="24">
        <v>0</v>
      </c>
      <c r="BR149" s="24">
        <v>0</v>
      </c>
      <c r="BS149" s="24">
        <v>0</v>
      </c>
      <c r="BT149" s="24">
        <v>0</v>
      </c>
      <c r="BU149" s="24">
        <v>0</v>
      </c>
      <c r="BV149" s="24">
        <v>0</v>
      </c>
      <c r="BW149" s="24">
        <v>0</v>
      </c>
      <c r="BX149" s="24">
        <v>0</v>
      </c>
      <c r="BZ149" s="24">
        <v>15010</v>
      </c>
      <c r="CA149" s="24">
        <v>0</v>
      </c>
      <c r="CB149" s="24">
        <v>0</v>
      </c>
      <c r="CC149" s="24">
        <v>0</v>
      </c>
      <c r="CD149" s="24">
        <v>0</v>
      </c>
      <c r="CE149" s="24">
        <v>0</v>
      </c>
      <c r="CG149" s="14">
        <v>-1</v>
      </c>
      <c r="CH149" s="24">
        <v>0</v>
      </c>
      <c r="CI149" s="24">
        <v>0</v>
      </c>
      <c r="CJ149" s="24">
        <v>0</v>
      </c>
      <c r="CK149" s="24">
        <v>0</v>
      </c>
      <c r="CL149" s="24">
        <v>0</v>
      </c>
      <c r="CM149" s="24">
        <v>0</v>
      </c>
      <c r="CN149" s="24">
        <v>0</v>
      </c>
      <c r="CO149" s="24">
        <v>0</v>
      </c>
      <c r="CQ149" s="24">
        <v>5</v>
      </c>
      <c r="CR149" s="24">
        <v>0</v>
      </c>
      <c r="CS149" s="24">
        <v>0</v>
      </c>
      <c r="CT149" s="24">
        <v>0</v>
      </c>
      <c r="CV149" s="24">
        <v>110104</v>
      </c>
      <c r="CW149" s="24">
        <v>10</v>
      </c>
      <c r="CX149" s="24">
        <v>-1</v>
      </c>
      <c r="CY149" s="26">
        <v>0</v>
      </c>
      <c r="CZ149" s="24">
        <v>2</v>
      </c>
      <c r="DA149" s="24">
        <v>0</v>
      </c>
      <c r="DC149" s="24">
        <v>3</v>
      </c>
      <c r="DD149" s="24">
        <v>1</v>
      </c>
      <c r="DE149" s="24">
        <v>0</v>
      </c>
      <c r="DF149" s="24">
        <v>0</v>
      </c>
      <c r="DG149" s="24">
        <v>-1</v>
      </c>
      <c r="DI149" s="24">
        <v>0</v>
      </c>
      <c r="DJ149" s="24">
        <v>0</v>
      </c>
      <c r="DL149" s="24">
        <v>0</v>
      </c>
      <c r="DM149" s="24">
        <v>0</v>
      </c>
      <c r="DO149" s="24">
        <v>0</v>
      </c>
      <c r="DP149" s="24">
        <v>0</v>
      </c>
      <c r="DQ149" s="24">
        <v>0</v>
      </c>
      <c r="DR149" s="24">
        <v>0</v>
      </c>
      <c r="DS149" s="24">
        <v>0</v>
      </c>
      <c r="DT149" s="24">
        <v>0</v>
      </c>
      <c r="DV149" s="24">
        <v>0</v>
      </c>
      <c r="DW149" s="24">
        <v>0</v>
      </c>
      <c r="DX149" s="24">
        <v>0</v>
      </c>
      <c r="DY149" s="24">
        <v>0</v>
      </c>
      <c r="DZ149" s="24">
        <v>0</v>
      </c>
    </row>
    <row r="150" spans="1:130">
      <c r="A150" s="24" t="s">
        <v>142</v>
      </c>
      <c r="B150" s="24" t="s">
        <v>142</v>
      </c>
      <c r="C150" s="24" t="s">
        <v>142</v>
      </c>
      <c r="D150" s="24" t="s">
        <v>142</v>
      </c>
      <c r="E150" s="24">
        <v>15011</v>
      </c>
      <c r="F150" s="24" t="s">
        <v>550</v>
      </c>
      <c r="G150" s="24">
        <v>0</v>
      </c>
      <c r="H150" s="24">
        <v>515011</v>
      </c>
      <c r="I150" s="24" t="s">
        <v>550</v>
      </c>
      <c r="J150" s="24" t="s">
        <v>550</v>
      </c>
      <c r="K150" s="24" t="s">
        <v>473</v>
      </c>
      <c r="M150" s="24">
        <v>0</v>
      </c>
      <c r="N150" s="24">
        <v>0</v>
      </c>
      <c r="P150" s="25">
        <v>8</v>
      </c>
      <c r="Q150" s="25">
        <v>0</v>
      </c>
      <c r="R150" s="24">
        <v>0</v>
      </c>
      <c r="S150" s="25">
        <v>0</v>
      </c>
      <c r="T150" s="24"/>
      <c r="U150" s="24">
        <v>1</v>
      </c>
      <c r="V150" s="25">
        <v>2050</v>
      </c>
      <c r="W150" s="24">
        <v>1</v>
      </c>
      <c r="X150" s="24">
        <v>15010</v>
      </c>
      <c r="Y150" s="24">
        <v>0</v>
      </c>
      <c r="Z150" s="24">
        <v>1000</v>
      </c>
      <c r="AB150" s="24">
        <v>30001</v>
      </c>
      <c r="AC150" s="24">
        <v>-1</v>
      </c>
      <c r="AD150" s="24">
        <v>-1</v>
      </c>
      <c r="AE150" s="24">
        <v>-1</v>
      </c>
      <c r="AG150" s="24">
        <v>1</v>
      </c>
      <c r="AH150" s="24">
        <v>0</v>
      </c>
      <c r="AI150" s="24">
        <v>0</v>
      </c>
      <c r="AJ150" s="24">
        <v>0</v>
      </c>
      <c r="AK150" s="24">
        <v>0</v>
      </c>
      <c r="AL150" s="24">
        <v>0</v>
      </c>
      <c r="AM150" s="24">
        <v>0</v>
      </c>
      <c r="AN150" s="24">
        <v>0</v>
      </c>
      <c r="AO150" s="24">
        <v>0</v>
      </c>
      <c r="AP150" s="24">
        <v>0</v>
      </c>
      <c r="AQ150" s="24">
        <v>0</v>
      </c>
      <c r="AR150" s="24">
        <v>0</v>
      </c>
      <c r="AS150" s="24">
        <v>0</v>
      </c>
      <c r="AT150" s="24">
        <v>0</v>
      </c>
      <c r="AU150" s="24">
        <v>0</v>
      </c>
      <c r="AV150" s="24">
        <v>0</v>
      </c>
      <c r="AW150" s="24">
        <v>0</v>
      </c>
      <c r="AX150" s="24">
        <v>0</v>
      </c>
      <c r="AY150" s="24">
        <v>0</v>
      </c>
      <c r="BA150" s="24">
        <v>0</v>
      </c>
      <c r="BB150" s="24">
        <v>0</v>
      </c>
      <c r="BC150" s="24">
        <v>0</v>
      </c>
      <c r="BD150" s="24">
        <v>0</v>
      </c>
      <c r="BE150" s="24">
        <v>0</v>
      </c>
      <c r="BF150" s="24">
        <v>1</v>
      </c>
      <c r="BG150" s="25">
        <v>528</v>
      </c>
      <c r="BH150" s="24">
        <v>4</v>
      </c>
      <c r="BI150" s="24">
        <v>15011</v>
      </c>
      <c r="BJ150" s="24">
        <v>1</v>
      </c>
      <c r="BK150" s="24">
        <v>1</v>
      </c>
      <c r="BL150" s="25">
        <v>126</v>
      </c>
      <c r="BM150" s="24">
        <v>0</v>
      </c>
      <c r="BO150" s="25">
        <v>1</v>
      </c>
      <c r="BP150" s="24">
        <v>0</v>
      </c>
      <c r="BQ150" s="24">
        <v>0</v>
      </c>
      <c r="BR150" s="24">
        <v>1</v>
      </c>
      <c r="BS150" s="24">
        <v>0</v>
      </c>
      <c r="BT150" s="24">
        <v>0</v>
      </c>
      <c r="BU150" s="24">
        <v>0</v>
      </c>
      <c r="BV150" s="24">
        <v>0</v>
      </c>
      <c r="BW150" s="24">
        <v>0</v>
      </c>
      <c r="BX150" s="24">
        <v>1</v>
      </c>
      <c r="BZ150" s="24">
        <v>-1</v>
      </c>
      <c r="CA150" s="24">
        <v>0</v>
      </c>
      <c r="CB150" s="24">
        <v>0</v>
      </c>
      <c r="CC150" s="24">
        <v>0</v>
      </c>
      <c r="CD150" s="24">
        <v>0</v>
      </c>
      <c r="CE150" s="24">
        <v>0</v>
      </c>
      <c r="CG150" s="14">
        <v>-1</v>
      </c>
      <c r="CH150" s="24">
        <v>0</v>
      </c>
      <c r="CI150" s="24">
        <v>0</v>
      </c>
      <c r="CJ150" s="24">
        <v>0</v>
      </c>
      <c r="CK150" s="24">
        <v>0</v>
      </c>
      <c r="CL150" s="24">
        <v>0</v>
      </c>
      <c r="CM150" s="24">
        <v>0</v>
      </c>
      <c r="CN150" s="24">
        <v>0</v>
      </c>
      <c r="CO150" s="24">
        <v>0</v>
      </c>
      <c r="CQ150" s="24">
        <v>0</v>
      </c>
      <c r="CR150" s="24">
        <v>0</v>
      </c>
      <c r="CS150" s="24">
        <v>0</v>
      </c>
      <c r="CT150" s="24">
        <v>0</v>
      </c>
      <c r="CV150" s="24">
        <v>0</v>
      </c>
      <c r="CW150" s="24">
        <v>0</v>
      </c>
      <c r="CX150" s="24">
        <v>-1</v>
      </c>
      <c r="CY150" s="26">
        <v>0</v>
      </c>
      <c r="CZ150" s="24">
        <v>0</v>
      </c>
      <c r="DA150" s="24">
        <v>0</v>
      </c>
      <c r="DC150" s="24">
        <v>1</v>
      </c>
      <c r="DD150" s="24">
        <v>1</v>
      </c>
      <c r="DE150" s="24">
        <v>0</v>
      </c>
      <c r="DF150" s="24">
        <v>0</v>
      </c>
      <c r="DG150" s="24">
        <v>-1</v>
      </c>
      <c r="DI150" s="24">
        <v>0</v>
      </c>
      <c r="DJ150" s="24">
        <v>0</v>
      </c>
      <c r="DL150" s="24">
        <v>0</v>
      </c>
      <c r="DM150" s="24">
        <v>0</v>
      </c>
      <c r="DO150" s="24">
        <v>0</v>
      </c>
      <c r="DP150" s="24">
        <v>0</v>
      </c>
      <c r="DQ150" s="24">
        <v>0</v>
      </c>
      <c r="DR150" s="24">
        <v>0</v>
      </c>
      <c r="DS150" s="24">
        <v>0</v>
      </c>
      <c r="DT150" s="24">
        <v>0</v>
      </c>
      <c r="DV150" s="24">
        <v>0</v>
      </c>
      <c r="DW150" s="24">
        <v>0</v>
      </c>
      <c r="DX150" s="24">
        <v>0</v>
      </c>
      <c r="DY150" s="24">
        <v>0</v>
      </c>
      <c r="DZ150" s="24">
        <v>0</v>
      </c>
    </row>
    <row r="151" spans="1:130">
      <c r="E151" s="24">
        <v>15012</v>
      </c>
      <c r="F151" s="24" t="s">
        <v>551</v>
      </c>
      <c r="G151" s="24">
        <v>0</v>
      </c>
      <c r="H151" s="24">
        <v>515011</v>
      </c>
      <c r="I151" s="24" t="s">
        <v>551</v>
      </c>
      <c r="J151" s="24" t="s">
        <v>551</v>
      </c>
      <c r="K151" s="24" t="s">
        <v>473</v>
      </c>
      <c r="M151" s="24">
        <v>0</v>
      </c>
      <c r="N151" s="24">
        <v>0</v>
      </c>
      <c r="P151" s="25">
        <v>8</v>
      </c>
      <c r="Q151" s="25">
        <v>0</v>
      </c>
      <c r="R151" s="24">
        <v>0</v>
      </c>
      <c r="S151" s="25">
        <v>0</v>
      </c>
      <c r="T151" s="24"/>
      <c r="U151" s="24">
        <v>1</v>
      </c>
      <c r="V151" s="25">
        <v>2050</v>
      </c>
      <c r="W151" s="24">
        <v>1</v>
      </c>
      <c r="X151" s="24">
        <v>15010</v>
      </c>
      <c r="Y151" s="24">
        <v>0</v>
      </c>
      <c r="Z151" s="24">
        <v>1000</v>
      </c>
      <c r="AB151" s="24">
        <v>30001</v>
      </c>
      <c r="AC151" s="24">
        <v>-1</v>
      </c>
      <c r="AD151" s="24">
        <v>-1</v>
      </c>
      <c r="AE151" s="24">
        <v>-1</v>
      </c>
      <c r="AG151" s="24">
        <v>1</v>
      </c>
      <c r="AH151" s="24">
        <v>0</v>
      </c>
      <c r="AI151" s="24">
        <v>0</v>
      </c>
      <c r="AJ151" s="24">
        <v>0</v>
      </c>
      <c r="AK151" s="24">
        <v>0</v>
      </c>
      <c r="AL151" s="24">
        <v>0</v>
      </c>
      <c r="AM151" s="24">
        <v>0</v>
      </c>
      <c r="AN151" s="24">
        <v>0</v>
      </c>
      <c r="AO151" s="24">
        <v>0</v>
      </c>
      <c r="AP151" s="24">
        <v>0</v>
      </c>
      <c r="AQ151" s="24">
        <v>0</v>
      </c>
      <c r="AR151" s="24">
        <v>0</v>
      </c>
      <c r="AS151" s="24">
        <v>0</v>
      </c>
      <c r="AT151" s="24">
        <v>0</v>
      </c>
      <c r="AU151" s="24">
        <v>0</v>
      </c>
      <c r="AV151" s="24">
        <v>0</v>
      </c>
      <c r="AW151" s="24">
        <v>0</v>
      </c>
      <c r="AX151" s="24">
        <v>0</v>
      </c>
      <c r="AY151" s="24">
        <v>0</v>
      </c>
      <c r="BA151" s="24">
        <v>0</v>
      </c>
      <c r="BB151" s="24">
        <v>0</v>
      </c>
      <c r="BC151" s="24">
        <v>0</v>
      </c>
      <c r="BD151" s="24">
        <v>0</v>
      </c>
      <c r="BE151" s="24">
        <v>0</v>
      </c>
      <c r="BF151" s="24">
        <v>1</v>
      </c>
      <c r="BG151" s="25">
        <v>528</v>
      </c>
      <c r="BH151" s="24">
        <v>4</v>
      </c>
      <c r="BI151" s="24">
        <v>15012</v>
      </c>
      <c r="BJ151" s="24">
        <v>1</v>
      </c>
      <c r="BK151" s="24">
        <v>1</v>
      </c>
      <c r="BL151" s="25">
        <v>126</v>
      </c>
      <c r="BM151" s="24">
        <v>0</v>
      </c>
      <c r="BO151" s="25">
        <v>1</v>
      </c>
      <c r="BP151" s="24">
        <v>0</v>
      </c>
      <c r="BQ151" s="24">
        <v>0</v>
      </c>
      <c r="BR151" s="24">
        <v>1</v>
      </c>
      <c r="BS151" s="24">
        <v>0</v>
      </c>
      <c r="BT151" s="24">
        <v>0</v>
      </c>
      <c r="BU151" s="24">
        <v>0</v>
      </c>
      <c r="BV151" s="24">
        <v>0</v>
      </c>
      <c r="BW151" s="24">
        <v>0</v>
      </c>
      <c r="BX151" s="24">
        <v>1</v>
      </c>
      <c r="BZ151" s="24">
        <v>-1</v>
      </c>
      <c r="CA151" s="24">
        <v>0</v>
      </c>
      <c r="CB151" s="24">
        <v>0</v>
      </c>
      <c r="CC151" s="24">
        <v>0</v>
      </c>
      <c r="CD151" s="24">
        <v>0</v>
      </c>
      <c r="CE151" s="24">
        <v>0</v>
      </c>
      <c r="CG151" s="14">
        <v>-1</v>
      </c>
      <c r="CH151" s="24">
        <v>0</v>
      </c>
      <c r="CI151" s="24">
        <v>0</v>
      </c>
      <c r="CJ151" s="24">
        <v>0</v>
      </c>
      <c r="CK151" s="24">
        <v>0</v>
      </c>
      <c r="CL151" s="24">
        <v>0</v>
      </c>
      <c r="CM151" s="24">
        <v>0</v>
      </c>
      <c r="CN151" s="24">
        <v>0</v>
      </c>
      <c r="CO151" s="24">
        <v>0</v>
      </c>
      <c r="CQ151" s="24">
        <v>0</v>
      </c>
      <c r="CR151" s="24">
        <v>0</v>
      </c>
      <c r="CS151" s="24">
        <v>0</v>
      </c>
      <c r="CT151" s="24">
        <v>0</v>
      </c>
      <c r="CV151" s="24">
        <v>0</v>
      </c>
      <c r="CW151" s="24">
        <v>0</v>
      </c>
      <c r="CX151" s="24">
        <v>-1</v>
      </c>
      <c r="CY151" s="26">
        <v>0</v>
      </c>
      <c r="CZ151" s="24">
        <v>0</v>
      </c>
      <c r="DA151" s="24">
        <v>0</v>
      </c>
      <c r="DC151" s="24">
        <v>1</v>
      </c>
      <c r="DD151" s="24">
        <v>1</v>
      </c>
      <c r="DE151" s="24">
        <v>0</v>
      </c>
      <c r="DF151" s="24">
        <v>0</v>
      </c>
      <c r="DG151" s="24">
        <v>-1</v>
      </c>
      <c r="DI151" s="24">
        <v>0</v>
      </c>
      <c r="DJ151" s="24">
        <v>0</v>
      </c>
      <c r="DL151" s="24">
        <v>0</v>
      </c>
      <c r="DM151" s="24">
        <v>0</v>
      </c>
      <c r="DO151" s="24">
        <v>0</v>
      </c>
      <c r="DP151" s="24">
        <v>0</v>
      </c>
      <c r="DQ151" s="24">
        <v>0</v>
      </c>
      <c r="DR151" s="24">
        <v>0</v>
      </c>
      <c r="DS151" s="24">
        <v>0</v>
      </c>
      <c r="DT151" s="24">
        <v>0</v>
      </c>
      <c r="DV151" s="24">
        <v>0</v>
      </c>
      <c r="DW151" s="24">
        <v>0</v>
      </c>
      <c r="DX151" s="24">
        <v>0</v>
      </c>
      <c r="DY151" s="24">
        <v>0</v>
      </c>
      <c r="DZ151" s="24">
        <v>0</v>
      </c>
    </row>
    <row r="152" spans="1:130">
      <c r="E152" s="24">
        <v>15014</v>
      </c>
      <c r="F152" s="24" t="s">
        <v>552</v>
      </c>
      <c r="G152" s="24">
        <v>0</v>
      </c>
      <c r="H152" s="24">
        <v>515013</v>
      </c>
      <c r="I152" s="24" t="s">
        <v>552</v>
      </c>
      <c r="J152" s="24" t="s">
        <v>552</v>
      </c>
      <c r="K152" s="24" t="s">
        <v>473</v>
      </c>
      <c r="M152" s="24">
        <v>0</v>
      </c>
      <c r="N152" s="14">
        <v>0</v>
      </c>
      <c r="O152" s="14"/>
      <c r="P152" s="25">
        <v>24</v>
      </c>
      <c r="Q152" s="25">
        <v>32</v>
      </c>
      <c r="R152" s="24">
        <v>0</v>
      </c>
      <c r="S152" s="25">
        <v>0</v>
      </c>
      <c r="T152" s="24"/>
      <c r="U152" s="24">
        <v>3</v>
      </c>
      <c r="V152" s="25">
        <v>20</v>
      </c>
      <c r="W152" s="24">
        <v>0</v>
      </c>
      <c r="X152" s="14">
        <v>1</v>
      </c>
      <c r="Y152" s="24">
        <v>0</v>
      </c>
      <c r="Z152" s="24">
        <v>1000</v>
      </c>
      <c r="AB152" s="24">
        <v>30001</v>
      </c>
      <c r="AC152" s="24">
        <v>-1</v>
      </c>
      <c r="AD152" s="24">
        <v>-1</v>
      </c>
      <c r="AE152" s="24">
        <v>-1</v>
      </c>
      <c r="AG152" s="24">
        <v>1</v>
      </c>
      <c r="AH152" s="24">
        <v>0</v>
      </c>
      <c r="AI152" s="24">
        <v>0</v>
      </c>
      <c r="AJ152" s="24">
        <v>0</v>
      </c>
      <c r="AK152" s="24">
        <v>0</v>
      </c>
      <c r="AL152" s="24">
        <v>0</v>
      </c>
      <c r="AM152" s="24">
        <v>0</v>
      </c>
      <c r="AN152" s="24">
        <v>0</v>
      </c>
      <c r="AO152" s="24">
        <v>0</v>
      </c>
      <c r="AP152" s="24">
        <v>0</v>
      </c>
      <c r="AQ152" s="24">
        <v>0</v>
      </c>
      <c r="AR152" s="24">
        <v>0</v>
      </c>
      <c r="AS152" s="24">
        <v>0</v>
      </c>
      <c r="AT152" s="24">
        <v>0</v>
      </c>
      <c r="AU152" s="24">
        <v>0</v>
      </c>
      <c r="AV152" s="24">
        <v>0</v>
      </c>
      <c r="AW152" s="24">
        <v>0</v>
      </c>
      <c r="AX152" s="24">
        <v>0</v>
      </c>
      <c r="AY152" s="24">
        <v>0</v>
      </c>
      <c r="BA152" s="24">
        <v>0</v>
      </c>
      <c r="BB152" s="24">
        <v>0</v>
      </c>
      <c r="BC152" s="24">
        <v>0</v>
      </c>
      <c r="BD152" s="24">
        <v>0</v>
      </c>
      <c r="BE152" s="24">
        <v>0</v>
      </c>
      <c r="BF152" s="24">
        <v>1</v>
      </c>
      <c r="BG152" s="25">
        <v>528</v>
      </c>
      <c r="BH152" s="24">
        <v>1</v>
      </c>
      <c r="BI152" s="24">
        <v>0</v>
      </c>
      <c r="BJ152" s="24">
        <v>0</v>
      </c>
      <c r="BK152" s="24">
        <v>0</v>
      </c>
      <c r="BL152" s="25">
        <v>126</v>
      </c>
      <c r="BM152" s="24">
        <v>0</v>
      </c>
      <c r="BO152" s="25">
        <v>1</v>
      </c>
      <c r="BP152" s="14">
        <v>0</v>
      </c>
      <c r="BQ152" s="14">
        <v>0</v>
      </c>
      <c r="BR152" s="24">
        <v>1</v>
      </c>
      <c r="BS152" s="24">
        <v>0</v>
      </c>
      <c r="BT152" s="24">
        <v>0</v>
      </c>
      <c r="BU152" s="24">
        <v>0</v>
      </c>
      <c r="BV152" s="24">
        <v>0</v>
      </c>
      <c r="BW152" s="24">
        <v>0</v>
      </c>
      <c r="BX152" s="24">
        <v>1</v>
      </c>
      <c r="BZ152" s="24">
        <v>-1</v>
      </c>
      <c r="CA152" s="24">
        <v>0</v>
      </c>
      <c r="CB152" s="24">
        <v>0</v>
      </c>
      <c r="CC152" s="24">
        <v>0</v>
      </c>
      <c r="CD152" s="24">
        <v>0</v>
      </c>
      <c r="CE152" s="24">
        <v>0</v>
      </c>
      <c r="CG152" s="14">
        <v>-1</v>
      </c>
      <c r="CH152" s="24">
        <v>0</v>
      </c>
      <c r="CI152" s="24">
        <v>0</v>
      </c>
      <c r="CJ152" s="24">
        <v>0</v>
      </c>
      <c r="CK152" s="24">
        <v>0</v>
      </c>
      <c r="CL152" s="24">
        <v>0</v>
      </c>
      <c r="CM152" s="24">
        <v>0</v>
      </c>
      <c r="CN152" s="24">
        <v>0</v>
      </c>
      <c r="CO152" s="24">
        <v>0</v>
      </c>
      <c r="CQ152" s="24">
        <v>0</v>
      </c>
      <c r="CR152" s="24">
        <v>0</v>
      </c>
      <c r="CS152" s="24">
        <v>0</v>
      </c>
      <c r="CT152" s="24">
        <v>0</v>
      </c>
      <c r="CV152" s="24">
        <v>0</v>
      </c>
      <c r="CW152" s="24">
        <v>0</v>
      </c>
      <c r="CX152" s="24">
        <v>-1</v>
      </c>
      <c r="CY152" s="26">
        <v>0</v>
      </c>
      <c r="CZ152" s="24">
        <v>0</v>
      </c>
      <c r="DA152" s="24">
        <v>0</v>
      </c>
      <c r="DC152" s="24">
        <v>1</v>
      </c>
      <c r="DD152" s="24">
        <v>1</v>
      </c>
      <c r="DE152" s="24">
        <v>0</v>
      </c>
      <c r="DF152" s="24">
        <v>0</v>
      </c>
      <c r="DG152" s="24">
        <v>-1</v>
      </c>
      <c r="DI152" s="24">
        <v>0</v>
      </c>
      <c r="DJ152" s="24">
        <v>0</v>
      </c>
      <c r="DL152" s="24">
        <v>0</v>
      </c>
      <c r="DM152" s="24">
        <v>0</v>
      </c>
      <c r="DO152" s="24">
        <v>0</v>
      </c>
      <c r="DP152" s="24">
        <v>0</v>
      </c>
      <c r="DQ152" s="24">
        <v>0</v>
      </c>
      <c r="DR152" s="24">
        <v>0</v>
      </c>
      <c r="DS152" s="24">
        <v>0</v>
      </c>
      <c r="DT152" s="24">
        <v>0</v>
      </c>
      <c r="DV152" s="24">
        <v>0</v>
      </c>
      <c r="DW152" s="24">
        <v>0</v>
      </c>
      <c r="DX152" s="24">
        <v>0</v>
      </c>
      <c r="DY152" s="24">
        <v>0</v>
      </c>
      <c r="DZ152" s="24">
        <v>0</v>
      </c>
    </row>
    <row r="153" spans="1:130">
      <c r="A153" s="24" t="s">
        <v>142</v>
      </c>
      <c r="B153" s="24" t="s">
        <v>142</v>
      </c>
      <c r="C153" s="24" t="s">
        <v>142</v>
      </c>
      <c r="D153" s="24" t="s">
        <v>142</v>
      </c>
      <c r="E153" s="24">
        <v>15013</v>
      </c>
      <c r="F153" s="24" t="s">
        <v>553</v>
      </c>
      <c r="G153" s="24">
        <v>0</v>
      </c>
      <c r="H153" s="24">
        <v>515013</v>
      </c>
      <c r="I153" s="24" t="s">
        <v>553</v>
      </c>
      <c r="J153" s="24" t="s">
        <v>553</v>
      </c>
      <c r="K153" s="24" t="s">
        <v>473</v>
      </c>
      <c r="M153" s="24">
        <v>0</v>
      </c>
      <c r="N153" s="14">
        <v>0</v>
      </c>
      <c r="O153" s="14"/>
      <c r="P153" s="25">
        <v>24</v>
      </c>
      <c r="Q153" s="25">
        <v>32</v>
      </c>
      <c r="R153" s="24">
        <v>0</v>
      </c>
      <c r="S153" s="25">
        <v>0</v>
      </c>
      <c r="T153" s="24"/>
      <c r="U153" s="24">
        <v>3</v>
      </c>
      <c r="V153" s="25">
        <v>20</v>
      </c>
      <c r="W153" s="24">
        <v>0</v>
      </c>
      <c r="X153" s="14">
        <v>1</v>
      </c>
      <c r="Y153" s="24">
        <v>0</v>
      </c>
      <c r="Z153" s="24">
        <v>1000</v>
      </c>
      <c r="AB153" s="24">
        <v>30001</v>
      </c>
      <c r="AC153" s="24">
        <v>-1</v>
      </c>
      <c r="AD153" s="24">
        <v>-1</v>
      </c>
      <c r="AE153" s="24">
        <v>-1</v>
      </c>
      <c r="AG153" s="24">
        <v>1</v>
      </c>
      <c r="AH153" s="24">
        <v>0</v>
      </c>
      <c r="AI153" s="24">
        <v>0</v>
      </c>
      <c r="AJ153" s="24">
        <v>0</v>
      </c>
      <c r="AK153" s="24">
        <v>0</v>
      </c>
      <c r="AL153" s="24">
        <v>0</v>
      </c>
      <c r="AM153" s="24">
        <v>0</v>
      </c>
      <c r="AN153" s="24">
        <v>0</v>
      </c>
      <c r="AO153" s="24">
        <v>0</v>
      </c>
      <c r="AP153" s="24">
        <v>0</v>
      </c>
      <c r="AQ153" s="24">
        <v>0</v>
      </c>
      <c r="AR153" s="24">
        <v>0</v>
      </c>
      <c r="AS153" s="24">
        <v>0</v>
      </c>
      <c r="AT153" s="24">
        <v>0</v>
      </c>
      <c r="AU153" s="24">
        <v>0</v>
      </c>
      <c r="AV153" s="24">
        <v>0</v>
      </c>
      <c r="AW153" s="24">
        <v>0</v>
      </c>
      <c r="AX153" s="24">
        <v>0</v>
      </c>
      <c r="AY153" s="24">
        <v>0</v>
      </c>
      <c r="BA153" s="24">
        <v>0</v>
      </c>
      <c r="BB153" s="24">
        <v>0</v>
      </c>
      <c r="BC153" s="24">
        <v>0</v>
      </c>
      <c r="BD153" s="24">
        <v>0</v>
      </c>
      <c r="BE153" s="24">
        <v>0</v>
      </c>
      <c r="BF153" s="24">
        <v>1</v>
      </c>
      <c r="BG153" s="25">
        <v>528</v>
      </c>
      <c r="BH153" s="24">
        <v>11</v>
      </c>
      <c r="BI153" s="24">
        <v>15010</v>
      </c>
      <c r="BJ153" s="24">
        <v>15013</v>
      </c>
      <c r="BK153" s="24">
        <v>0</v>
      </c>
      <c r="BL153" s="25">
        <v>126</v>
      </c>
      <c r="BM153" s="24">
        <v>0</v>
      </c>
      <c r="BO153" s="25">
        <v>1</v>
      </c>
      <c r="BP153" s="14">
        <v>0</v>
      </c>
      <c r="BQ153" s="14">
        <v>0</v>
      </c>
      <c r="BR153" s="24">
        <v>1</v>
      </c>
      <c r="BS153" s="24">
        <v>0</v>
      </c>
      <c r="BT153" s="24">
        <v>0</v>
      </c>
      <c r="BU153" s="24">
        <v>0</v>
      </c>
      <c r="BV153" s="24">
        <v>0</v>
      </c>
      <c r="BW153" s="24">
        <v>0</v>
      </c>
      <c r="BX153" s="24">
        <v>1</v>
      </c>
      <c r="BZ153" s="24">
        <v>-1</v>
      </c>
      <c r="CA153" s="24">
        <v>0</v>
      </c>
      <c r="CB153" s="24">
        <v>0</v>
      </c>
      <c r="CC153" s="24">
        <v>0</v>
      </c>
      <c r="CD153" s="24">
        <v>0</v>
      </c>
      <c r="CE153" s="24">
        <v>0</v>
      </c>
      <c r="CG153" s="14">
        <v>-1</v>
      </c>
      <c r="CH153" s="24">
        <v>0</v>
      </c>
      <c r="CI153" s="24">
        <v>0</v>
      </c>
      <c r="CJ153" s="24">
        <v>0</v>
      </c>
      <c r="CK153" s="24">
        <v>0</v>
      </c>
      <c r="CL153" s="24">
        <v>0</v>
      </c>
      <c r="CM153" s="24">
        <v>0</v>
      </c>
      <c r="CN153" s="24">
        <v>0</v>
      </c>
      <c r="CO153" s="24">
        <v>0</v>
      </c>
      <c r="CQ153" s="24">
        <v>0</v>
      </c>
      <c r="CR153" s="24">
        <v>0</v>
      </c>
      <c r="CS153" s="24">
        <v>0</v>
      </c>
      <c r="CT153" s="24">
        <v>0</v>
      </c>
      <c r="CV153" s="24">
        <v>0</v>
      </c>
      <c r="CW153" s="24">
        <v>0</v>
      </c>
      <c r="CX153" s="24">
        <v>-1</v>
      </c>
      <c r="CY153" s="26">
        <v>0</v>
      </c>
      <c r="CZ153" s="24">
        <v>0</v>
      </c>
      <c r="DA153" s="24">
        <v>0</v>
      </c>
      <c r="DC153" s="24">
        <v>1</v>
      </c>
      <c r="DD153" s="24">
        <v>1</v>
      </c>
      <c r="DE153" s="24">
        <v>0</v>
      </c>
      <c r="DF153" s="24">
        <v>0</v>
      </c>
      <c r="DG153" s="24">
        <v>-1</v>
      </c>
      <c r="DI153" s="24">
        <v>0</v>
      </c>
      <c r="DJ153" s="24">
        <v>0</v>
      </c>
      <c r="DL153" s="24">
        <v>0</v>
      </c>
      <c r="DM153" s="24">
        <v>0</v>
      </c>
      <c r="DO153" s="24">
        <v>0</v>
      </c>
      <c r="DP153" s="24">
        <v>0</v>
      </c>
      <c r="DQ153" s="24">
        <v>0</v>
      </c>
      <c r="DR153" s="24">
        <v>0</v>
      </c>
      <c r="DS153" s="24">
        <v>0</v>
      </c>
      <c r="DT153" s="24">
        <v>0</v>
      </c>
      <c r="DV153" s="24">
        <v>0</v>
      </c>
      <c r="DW153" s="24">
        <v>0</v>
      </c>
      <c r="DX153" s="24">
        <v>0</v>
      </c>
      <c r="DY153" s="24">
        <v>0</v>
      </c>
      <c r="DZ153" s="24">
        <v>0</v>
      </c>
    </row>
    <row r="154" spans="1:130">
      <c r="A154" s="24" t="s">
        <v>142</v>
      </c>
      <c r="B154" s="24" t="s">
        <v>142</v>
      </c>
      <c r="C154" s="24" t="s">
        <v>142</v>
      </c>
      <c r="D154" s="24" t="s">
        <v>142</v>
      </c>
      <c r="E154" s="24">
        <v>15020</v>
      </c>
      <c r="F154" s="24" t="s">
        <v>554</v>
      </c>
      <c r="G154" s="24">
        <v>0</v>
      </c>
      <c r="H154" s="24">
        <v>515020</v>
      </c>
      <c r="I154" s="24" t="s">
        <v>554</v>
      </c>
      <c r="J154" s="24" t="s">
        <v>554</v>
      </c>
      <c r="K154" s="24" t="s">
        <v>608</v>
      </c>
      <c r="M154" s="24">
        <v>102</v>
      </c>
      <c r="N154" s="24">
        <v>0</v>
      </c>
      <c r="P154" s="25">
        <v>2</v>
      </c>
      <c r="Q154" s="25">
        <v>524288</v>
      </c>
      <c r="R154" s="24">
        <v>0</v>
      </c>
      <c r="S154" s="25">
        <v>0</v>
      </c>
      <c r="T154" s="24"/>
      <c r="U154" s="24">
        <v>0</v>
      </c>
      <c r="V154" s="25">
        <v>0</v>
      </c>
      <c r="W154" s="24">
        <v>0</v>
      </c>
      <c r="X154" s="24">
        <v>0</v>
      </c>
      <c r="Y154" s="24">
        <v>0</v>
      </c>
      <c r="Z154" s="24">
        <v>0</v>
      </c>
      <c r="AB154" s="24">
        <v>10001</v>
      </c>
      <c r="AC154" s="24">
        <v>-1</v>
      </c>
      <c r="AD154" s="24">
        <v>-1</v>
      </c>
      <c r="AE154" s="24">
        <v>-1</v>
      </c>
      <c r="AG154" s="24">
        <v>1</v>
      </c>
      <c r="AH154" s="24">
        <v>0</v>
      </c>
      <c r="AI154" s="24">
        <v>0</v>
      </c>
      <c r="AJ154" s="24">
        <v>0</v>
      </c>
      <c r="AK154" s="24">
        <v>0</v>
      </c>
      <c r="AL154" s="24">
        <v>0</v>
      </c>
      <c r="AM154" s="24">
        <v>0</v>
      </c>
      <c r="AN154" s="24">
        <v>0</v>
      </c>
      <c r="AO154" s="24">
        <v>0</v>
      </c>
      <c r="AP154" s="24">
        <v>0</v>
      </c>
      <c r="AQ154" s="24">
        <v>0</v>
      </c>
      <c r="AR154" s="24">
        <v>0</v>
      </c>
      <c r="AS154" s="24">
        <v>0</v>
      </c>
      <c r="AT154" s="24">
        <v>0</v>
      </c>
      <c r="AU154" s="24">
        <v>0</v>
      </c>
      <c r="AV154" s="24">
        <v>0</v>
      </c>
      <c r="AW154" s="24">
        <v>0</v>
      </c>
      <c r="AX154" s="24">
        <v>0</v>
      </c>
      <c r="AY154" s="24">
        <v>0</v>
      </c>
      <c r="BA154" s="24">
        <v>0</v>
      </c>
      <c r="BB154" s="24">
        <v>300</v>
      </c>
      <c r="BC154" s="24">
        <v>667</v>
      </c>
      <c r="BD154" s="24">
        <v>0</v>
      </c>
      <c r="BE154" s="24">
        <v>200</v>
      </c>
      <c r="BF154" s="24">
        <v>1</v>
      </c>
      <c r="BG154" s="25">
        <v>1</v>
      </c>
      <c r="BH154" s="24">
        <v>1</v>
      </c>
      <c r="BI154" s="24">
        <v>0</v>
      </c>
      <c r="BJ154" s="24">
        <v>0</v>
      </c>
      <c r="BK154" s="24">
        <v>0</v>
      </c>
      <c r="BL154" s="25">
        <v>126</v>
      </c>
      <c r="BM154" s="24">
        <v>0</v>
      </c>
      <c r="BO154" s="25">
        <v>16</v>
      </c>
      <c r="BP154" s="24">
        <v>0</v>
      </c>
      <c r="BQ154" s="24">
        <v>0</v>
      </c>
      <c r="BR154" s="24">
        <v>5</v>
      </c>
      <c r="BS154" s="24">
        <v>1</v>
      </c>
      <c r="BT154" s="24">
        <v>150</v>
      </c>
      <c r="BU154" s="24">
        <v>50</v>
      </c>
      <c r="BV154" s="24">
        <v>6</v>
      </c>
      <c r="BW154" s="24">
        <v>0</v>
      </c>
      <c r="BX154" s="24">
        <v>4</v>
      </c>
      <c r="BZ154" s="24">
        <v>15020</v>
      </c>
      <c r="CA154" s="24">
        <v>0</v>
      </c>
      <c r="CB154" s="24">
        <v>-1</v>
      </c>
      <c r="CC154" s="24">
        <v>-1</v>
      </c>
      <c r="CD154" s="24">
        <v>-1</v>
      </c>
      <c r="CE154" s="24">
        <v>-1</v>
      </c>
      <c r="CG154" s="14">
        <v>-1</v>
      </c>
      <c r="CH154" s="24">
        <v>0</v>
      </c>
      <c r="CI154" s="24">
        <v>0</v>
      </c>
      <c r="CJ154" s="24">
        <v>0</v>
      </c>
      <c r="CK154" s="24">
        <v>0</v>
      </c>
      <c r="CL154" s="24">
        <v>0</v>
      </c>
      <c r="CM154" s="24">
        <v>0</v>
      </c>
      <c r="CN154" s="24">
        <v>0</v>
      </c>
      <c r="CO154" s="24">
        <v>0</v>
      </c>
      <c r="CQ154" s="24">
        <v>0</v>
      </c>
      <c r="CR154" s="24">
        <v>0</v>
      </c>
      <c r="CS154" s="24">
        <v>0</v>
      </c>
      <c r="CT154" s="24">
        <v>0</v>
      </c>
      <c r="CV154" s="24">
        <v>110107</v>
      </c>
      <c r="CW154" s="24">
        <v>7</v>
      </c>
      <c r="CX154" s="24">
        <v>101004</v>
      </c>
      <c r="CY154" s="26">
        <v>1</v>
      </c>
      <c r="CZ154" s="24">
        <v>2</v>
      </c>
      <c r="DA154" s="24">
        <v>0</v>
      </c>
      <c r="DC154" s="24">
        <v>1</v>
      </c>
      <c r="DD154" s="24">
        <v>1</v>
      </c>
      <c r="DE154" s="24">
        <v>0</v>
      </c>
      <c r="DF154" s="24">
        <v>0</v>
      </c>
      <c r="DG154" s="24">
        <v>-1</v>
      </c>
      <c r="DI154" s="24">
        <v>0</v>
      </c>
      <c r="DJ154" s="24">
        <v>0</v>
      </c>
      <c r="DL154" s="24">
        <v>0</v>
      </c>
      <c r="DM154" s="24">
        <v>0</v>
      </c>
      <c r="DO154" s="24">
        <v>0</v>
      </c>
      <c r="DP154" s="24">
        <v>0</v>
      </c>
      <c r="DQ154" s="24">
        <v>0</v>
      </c>
      <c r="DR154" s="24">
        <v>0</v>
      </c>
      <c r="DS154" s="24">
        <v>0</v>
      </c>
      <c r="DT154" s="24">
        <v>0</v>
      </c>
      <c r="DV154" s="24">
        <v>0</v>
      </c>
      <c r="DW154" s="24">
        <v>0</v>
      </c>
      <c r="DX154" s="24">
        <v>0</v>
      </c>
      <c r="DY154" s="24">
        <v>0</v>
      </c>
      <c r="DZ154" s="24">
        <v>0</v>
      </c>
    </row>
    <row r="155" spans="1:130">
      <c r="A155" s="24" t="s">
        <v>142</v>
      </c>
      <c r="B155" s="24" t="s">
        <v>142</v>
      </c>
      <c r="C155" s="24" t="s">
        <v>142</v>
      </c>
      <c r="D155" s="24" t="s">
        <v>142</v>
      </c>
      <c r="E155" s="24">
        <v>15021</v>
      </c>
      <c r="F155" s="24" t="s">
        <v>555</v>
      </c>
      <c r="G155" s="24">
        <v>0</v>
      </c>
      <c r="H155" s="24">
        <v>515021</v>
      </c>
      <c r="I155" s="24" t="s">
        <v>555</v>
      </c>
      <c r="J155" s="24" t="s">
        <v>555</v>
      </c>
      <c r="K155" s="24" t="s">
        <v>473</v>
      </c>
      <c r="M155" s="24">
        <v>102</v>
      </c>
      <c r="N155" s="24">
        <v>0</v>
      </c>
      <c r="P155" s="25">
        <v>2</v>
      </c>
      <c r="Q155" s="25">
        <v>524289</v>
      </c>
      <c r="R155" s="24">
        <v>15020</v>
      </c>
      <c r="S155" s="25">
        <v>0</v>
      </c>
      <c r="T155" s="24"/>
      <c r="U155" s="24">
        <v>0</v>
      </c>
      <c r="V155" s="25">
        <v>0</v>
      </c>
      <c r="W155" s="24">
        <v>0</v>
      </c>
      <c r="X155" s="24">
        <v>0</v>
      </c>
      <c r="Y155" s="24">
        <v>0</v>
      </c>
      <c r="Z155" s="24">
        <v>0</v>
      </c>
      <c r="AB155" s="24">
        <v>10005</v>
      </c>
      <c r="AC155" s="24">
        <v>500</v>
      </c>
      <c r="AD155" s="24">
        <v>4</v>
      </c>
      <c r="AE155" s="24">
        <v>110105</v>
      </c>
      <c r="AG155" s="24">
        <v>1</v>
      </c>
      <c r="AH155" s="24">
        <v>0</v>
      </c>
      <c r="AI155" s="24">
        <v>0</v>
      </c>
      <c r="AJ155" s="24">
        <v>0</v>
      </c>
      <c r="AK155" s="24">
        <v>0</v>
      </c>
      <c r="AL155" s="24">
        <v>0</v>
      </c>
      <c r="AM155" s="24">
        <v>0</v>
      </c>
      <c r="AN155" s="24">
        <v>0</v>
      </c>
      <c r="AO155" s="24">
        <v>0</v>
      </c>
      <c r="AP155" s="24">
        <v>0</v>
      </c>
      <c r="AQ155" s="24">
        <v>0</v>
      </c>
      <c r="AR155" s="24">
        <v>0</v>
      </c>
      <c r="AS155" s="24">
        <v>0</v>
      </c>
      <c r="AT155" s="24">
        <v>0</v>
      </c>
      <c r="AU155" s="24">
        <v>0</v>
      </c>
      <c r="AV155" s="24">
        <v>0</v>
      </c>
      <c r="AW155" s="24">
        <v>0</v>
      </c>
      <c r="AX155" s="24">
        <v>0</v>
      </c>
      <c r="AY155" s="24">
        <v>0</v>
      </c>
      <c r="BA155" s="24">
        <v>0</v>
      </c>
      <c r="BB155" s="24">
        <v>300</v>
      </c>
      <c r="BC155" s="24">
        <v>667</v>
      </c>
      <c r="BD155" s="24">
        <v>0</v>
      </c>
      <c r="BE155" s="24">
        <v>200</v>
      </c>
      <c r="BF155" s="24">
        <v>1</v>
      </c>
      <c r="BG155" s="25">
        <v>1</v>
      </c>
      <c r="BH155" s="24">
        <v>1</v>
      </c>
      <c r="BI155" s="24">
        <v>0</v>
      </c>
      <c r="BJ155" s="24">
        <v>0</v>
      </c>
      <c r="BK155" s="24">
        <v>0</v>
      </c>
      <c r="BL155" s="25">
        <v>126</v>
      </c>
      <c r="BM155" s="24">
        <v>0</v>
      </c>
      <c r="BO155" s="25">
        <v>16</v>
      </c>
      <c r="BP155" s="24">
        <v>0</v>
      </c>
      <c r="BQ155" s="24">
        <v>0</v>
      </c>
      <c r="BR155" s="24">
        <v>5</v>
      </c>
      <c r="BS155" s="24">
        <v>1</v>
      </c>
      <c r="BT155" s="24">
        <v>150</v>
      </c>
      <c r="BU155" s="24">
        <v>80</v>
      </c>
      <c r="BV155" s="24">
        <v>6</v>
      </c>
      <c r="BW155" s="24">
        <v>0</v>
      </c>
      <c r="BX155" s="24">
        <v>4</v>
      </c>
      <c r="BZ155" s="24">
        <v>15021</v>
      </c>
      <c r="CA155" s="24">
        <v>0</v>
      </c>
      <c r="CB155" s="24">
        <v>-1</v>
      </c>
      <c r="CC155" s="24">
        <v>-1</v>
      </c>
      <c r="CD155" s="24">
        <v>-1</v>
      </c>
      <c r="CE155" s="24">
        <v>-1</v>
      </c>
      <c r="CG155" s="14">
        <v>-1</v>
      </c>
      <c r="CH155" s="24">
        <v>0</v>
      </c>
      <c r="CI155" s="24">
        <v>0</v>
      </c>
      <c r="CJ155" s="24">
        <v>0</v>
      </c>
      <c r="CK155" s="24">
        <v>0</v>
      </c>
      <c r="CL155" s="24">
        <v>0</v>
      </c>
      <c r="CM155" s="24">
        <v>0</v>
      </c>
      <c r="CN155" s="24">
        <v>0</v>
      </c>
      <c r="CO155" s="24">
        <v>0</v>
      </c>
      <c r="CQ155" s="24">
        <v>0</v>
      </c>
      <c r="CR155" s="24">
        <v>0</v>
      </c>
      <c r="CS155" s="24">
        <v>0</v>
      </c>
      <c r="CT155" s="24">
        <v>0</v>
      </c>
      <c r="CV155" s="24">
        <v>110106</v>
      </c>
      <c r="CW155" s="24">
        <v>7</v>
      </c>
      <c r="CX155" s="24">
        <v>101004</v>
      </c>
      <c r="CY155" s="26">
        <v>1</v>
      </c>
      <c r="CZ155" s="24">
        <v>2</v>
      </c>
      <c r="DA155" s="24">
        <v>0</v>
      </c>
      <c r="DC155" s="24">
        <v>1</v>
      </c>
      <c r="DD155" s="24">
        <v>1</v>
      </c>
      <c r="DE155" s="24">
        <v>0</v>
      </c>
      <c r="DF155" s="24">
        <v>0</v>
      </c>
      <c r="DG155" s="24">
        <v>-1</v>
      </c>
      <c r="DI155" s="24">
        <v>0</v>
      </c>
      <c r="DJ155" s="24">
        <v>0</v>
      </c>
      <c r="DL155" s="24">
        <v>0</v>
      </c>
      <c r="DM155" s="24">
        <v>0</v>
      </c>
      <c r="DO155" s="24">
        <v>0</v>
      </c>
      <c r="DP155" s="24">
        <v>0</v>
      </c>
      <c r="DQ155" s="24">
        <v>0</v>
      </c>
      <c r="DR155" s="24">
        <v>0</v>
      </c>
      <c r="DS155" s="24">
        <v>0</v>
      </c>
      <c r="DT155" s="24">
        <v>0</v>
      </c>
      <c r="DV155" s="24">
        <v>0</v>
      </c>
      <c r="DW155" s="24">
        <v>0</v>
      </c>
      <c r="DX155" s="24">
        <v>0</v>
      </c>
      <c r="DY155" s="24">
        <v>0</v>
      </c>
      <c r="DZ155" s="24">
        <v>0</v>
      </c>
    </row>
    <row r="156" spans="1:130">
      <c r="A156" s="24" t="s">
        <v>142</v>
      </c>
      <c r="B156" s="24" t="s">
        <v>142</v>
      </c>
      <c r="C156" s="24" t="s">
        <v>142</v>
      </c>
      <c r="D156" s="24" t="s">
        <v>142</v>
      </c>
      <c r="E156" s="24">
        <v>15030</v>
      </c>
      <c r="F156" s="24" t="s">
        <v>556</v>
      </c>
      <c r="G156" s="24">
        <v>0</v>
      </c>
      <c r="H156" s="24">
        <v>515030</v>
      </c>
      <c r="I156" s="24" t="s">
        <v>556</v>
      </c>
      <c r="J156" s="24" t="s">
        <v>556</v>
      </c>
      <c r="K156" s="24" t="s">
        <v>609</v>
      </c>
      <c r="M156" s="24">
        <v>102</v>
      </c>
      <c r="N156" s="24">
        <v>0</v>
      </c>
      <c r="P156" s="25">
        <v>2</v>
      </c>
      <c r="Q156" s="25">
        <v>2097408</v>
      </c>
      <c r="R156" s="24">
        <v>0</v>
      </c>
      <c r="S156" s="25">
        <v>0</v>
      </c>
      <c r="T156" s="24"/>
      <c r="U156" s="24">
        <v>0</v>
      </c>
      <c r="V156" s="25">
        <v>0</v>
      </c>
      <c r="W156" s="24">
        <v>0</v>
      </c>
      <c r="X156" s="24">
        <v>0</v>
      </c>
      <c r="Y156" s="24">
        <v>0</v>
      </c>
      <c r="Z156" s="24">
        <v>0</v>
      </c>
      <c r="AB156" s="24">
        <v>10001</v>
      </c>
      <c r="AC156" s="24">
        <v>-1</v>
      </c>
      <c r="AD156" s="24">
        <v>-1</v>
      </c>
      <c r="AE156" s="24">
        <v>-1</v>
      </c>
      <c r="AG156" s="24">
        <v>1</v>
      </c>
      <c r="AH156" s="24">
        <v>0</v>
      </c>
      <c r="AI156" s="24">
        <v>0</v>
      </c>
      <c r="AJ156" s="24">
        <v>0</v>
      </c>
      <c r="AK156" s="24">
        <v>0</v>
      </c>
      <c r="AL156" s="24">
        <v>0</v>
      </c>
      <c r="AM156" s="24">
        <v>0</v>
      </c>
      <c r="AN156" s="24">
        <v>0</v>
      </c>
      <c r="AO156" s="24">
        <v>0</v>
      </c>
      <c r="AP156" s="24">
        <v>0</v>
      </c>
      <c r="AQ156" s="24">
        <v>0</v>
      </c>
      <c r="AR156" s="24">
        <v>0</v>
      </c>
      <c r="AS156" s="24">
        <v>0</v>
      </c>
      <c r="AT156" s="24">
        <v>0</v>
      </c>
      <c r="AU156" s="24">
        <v>0</v>
      </c>
      <c r="AV156" s="24">
        <v>0</v>
      </c>
      <c r="AW156" s="24">
        <v>0</v>
      </c>
      <c r="AX156" s="24">
        <v>0</v>
      </c>
      <c r="AY156" s="24">
        <v>0</v>
      </c>
      <c r="BA156" s="24">
        <v>0</v>
      </c>
      <c r="BB156" s="24">
        <v>1000</v>
      </c>
      <c r="BC156" s="24">
        <v>1833</v>
      </c>
      <c r="BD156" s="24">
        <v>0</v>
      </c>
      <c r="BE156" s="24">
        <v>200</v>
      </c>
      <c r="BF156" s="24">
        <v>1</v>
      </c>
      <c r="BG156" s="25">
        <v>17</v>
      </c>
      <c r="BH156" s="24">
        <v>1</v>
      </c>
      <c r="BI156" s="24">
        <v>0</v>
      </c>
      <c r="BJ156" s="24">
        <v>0</v>
      </c>
      <c r="BK156" s="24">
        <v>0</v>
      </c>
      <c r="BL156" s="25">
        <v>126</v>
      </c>
      <c r="BM156" s="24">
        <v>0</v>
      </c>
      <c r="BO156" s="25">
        <v>16</v>
      </c>
      <c r="BP156" s="24">
        <v>0</v>
      </c>
      <c r="BQ156" s="24">
        <v>0</v>
      </c>
      <c r="BR156" s="24">
        <v>2</v>
      </c>
      <c r="BS156" s="24">
        <v>50</v>
      </c>
      <c r="BT156" s="24">
        <v>0</v>
      </c>
      <c r="BU156" s="24">
        <v>0</v>
      </c>
      <c r="BV156" s="24">
        <v>6</v>
      </c>
      <c r="BW156" s="24">
        <v>0</v>
      </c>
      <c r="BX156" s="24">
        <v>4</v>
      </c>
      <c r="BZ156" s="24">
        <v>15030</v>
      </c>
      <c r="CA156" s="24">
        <v>0</v>
      </c>
      <c r="CB156" s="24">
        <v>-1</v>
      </c>
      <c r="CC156" s="24">
        <v>-1</v>
      </c>
      <c r="CD156" s="24">
        <v>-1</v>
      </c>
      <c r="CE156" s="24">
        <v>-1</v>
      </c>
      <c r="CG156" s="24">
        <v>0</v>
      </c>
      <c r="CH156" s="24">
        <v>0</v>
      </c>
      <c r="CI156" s="24">
        <v>0</v>
      </c>
      <c r="CJ156" s="24">
        <v>0</v>
      </c>
      <c r="CK156" s="24">
        <v>1</v>
      </c>
      <c r="CL156" s="24">
        <v>-1</v>
      </c>
      <c r="CM156" s="24">
        <v>7</v>
      </c>
      <c r="CN156" s="24">
        <v>1000</v>
      </c>
      <c r="CO156" s="24">
        <v>2000</v>
      </c>
      <c r="CQ156" s="24">
        <v>0</v>
      </c>
      <c r="CR156" s="24">
        <v>0</v>
      </c>
      <c r="CS156" s="24">
        <v>0</v>
      </c>
      <c r="CT156" s="24">
        <v>0</v>
      </c>
      <c r="CV156" s="24">
        <v>110108</v>
      </c>
      <c r="CW156" s="24">
        <v>10</v>
      </c>
      <c r="CX156" s="24">
        <v>101005</v>
      </c>
      <c r="CY156" s="26">
        <v>3</v>
      </c>
      <c r="CZ156" s="24">
        <v>10</v>
      </c>
      <c r="DA156" s="24">
        <v>0</v>
      </c>
      <c r="DC156" s="24">
        <v>1</v>
      </c>
      <c r="DD156" s="24">
        <v>1</v>
      </c>
      <c r="DE156" s="24">
        <v>0</v>
      </c>
      <c r="DF156" s="24">
        <v>0</v>
      </c>
      <c r="DG156" s="24">
        <v>-1</v>
      </c>
      <c r="DI156" s="24">
        <v>0</v>
      </c>
      <c r="DJ156" s="24">
        <v>0</v>
      </c>
      <c r="DL156" s="24">
        <v>0</v>
      </c>
      <c r="DM156" s="24">
        <v>0</v>
      </c>
      <c r="DO156" s="24">
        <v>0</v>
      </c>
      <c r="DP156" s="24">
        <v>0</v>
      </c>
      <c r="DQ156" s="24">
        <v>0</v>
      </c>
      <c r="DR156" s="24">
        <v>0</v>
      </c>
      <c r="DS156" s="24">
        <v>0</v>
      </c>
      <c r="DT156" s="24">
        <v>0</v>
      </c>
      <c r="DV156" s="24">
        <v>0</v>
      </c>
      <c r="DW156" s="24">
        <v>0</v>
      </c>
      <c r="DX156" s="24">
        <v>0</v>
      </c>
      <c r="DY156" s="24">
        <v>0</v>
      </c>
      <c r="DZ156" s="24">
        <v>0</v>
      </c>
    </row>
    <row r="157" spans="1:130">
      <c r="A157" s="24" t="s">
        <v>142</v>
      </c>
      <c r="B157" s="24" t="s">
        <v>142</v>
      </c>
      <c r="C157" s="24" t="s">
        <v>142</v>
      </c>
      <c r="D157" s="24" t="s">
        <v>142</v>
      </c>
      <c r="E157" s="24">
        <v>15031</v>
      </c>
      <c r="F157" s="24" t="s">
        <v>557</v>
      </c>
      <c r="G157" s="24">
        <v>0</v>
      </c>
      <c r="H157" s="24">
        <v>515031</v>
      </c>
      <c r="I157" s="24" t="s">
        <v>557</v>
      </c>
      <c r="J157" s="24" t="s">
        <v>557</v>
      </c>
      <c r="K157" s="24" t="s">
        <v>473</v>
      </c>
      <c r="M157" s="24">
        <v>0</v>
      </c>
      <c r="N157" s="24">
        <v>0</v>
      </c>
      <c r="P157" s="25">
        <v>8</v>
      </c>
      <c r="Q157" s="25">
        <v>0</v>
      </c>
      <c r="R157" s="24">
        <v>0</v>
      </c>
      <c r="S157" s="25">
        <v>0</v>
      </c>
      <c r="T157" s="24"/>
      <c r="U157" s="24">
        <v>1</v>
      </c>
      <c r="V157" s="25">
        <v>2050</v>
      </c>
      <c r="W157" s="24">
        <v>1</v>
      </c>
      <c r="X157" s="24">
        <v>15030</v>
      </c>
      <c r="Y157" s="24">
        <v>0</v>
      </c>
      <c r="Z157" s="24">
        <v>1000</v>
      </c>
      <c r="AB157" s="24">
        <v>30001</v>
      </c>
      <c r="AC157" s="24">
        <v>-1</v>
      </c>
      <c r="AD157" s="24">
        <v>-1</v>
      </c>
      <c r="AE157" s="24">
        <v>-1</v>
      </c>
      <c r="AG157" s="24">
        <v>1</v>
      </c>
      <c r="AH157" s="24">
        <v>0</v>
      </c>
      <c r="AI157" s="24">
        <v>0</v>
      </c>
      <c r="AJ157" s="24">
        <v>0</v>
      </c>
      <c r="AK157" s="24">
        <v>0</v>
      </c>
      <c r="AL157" s="24">
        <v>0</v>
      </c>
      <c r="AM157" s="24">
        <v>0</v>
      </c>
      <c r="AN157" s="24">
        <v>0</v>
      </c>
      <c r="AO157" s="24">
        <v>0</v>
      </c>
      <c r="AP157" s="24">
        <v>0</v>
      </c>
      <c r="AQ157" s="24">
        <v>0</v>
      </c>
      <c r="AR157" s="24">
        <v>0</v>
      </c>
      <c r="AS157" s="24">
        <v>0</v>
      </c>
      <c r="AT157" s="24">
        <v>0</v>
      </c>
      <c r="AU157" s="24">
        <v>0</v>
      </c>
      <c r="AV157" s="24">
        <v>0</v>
      </c>
      <c r="AW157" s="24">
        <v>0</v>
      </c>
      <c r="AX157" s="24">
        <v>0</v>
      </c>
      <c r="AY157" s="24">
        <v>0</v>
      </c>
      <c r="BA157" s="24">
        <v>0</v>
      </c>
      <c r="BB157" s="24">
        <v>1000</v>
      </c>
      <c r="BC157" s="24">
        <v>1833</v>
      </c>
      <c r="BD157" s="24">
        <v>0</v>
      </c>
      <c r="BE157" s="24">
        <v>200</v>
      </c>
      <c r="BF157" s="24">
        <v>1</v>
      </c>
      <c r="BG157" s="25">
        <v>528</v>
      </c>
      <c r="BH157" s="24">
        <v>4</v>
      </c>
      <c r="BI157" s="24">
        <v>15031</v>
      </c>
      <c r="BJ157" s="24">
        <v>1</v>
      </c>
      <c r="BK157" s="24">
        <v>1</v>
      </c>
      <c r="BL157" s="25">
        <v>126</v>
      </c>
      <c r="BM157" s="24">
        <v>0</v>
      </c>
      <c r="BO157" s="25">
        <v>1</v>
      </c>
      <c r="BP157" s="24">
        <v>0</v>
      </c>
      <c r="BQ157" s="24">
        <v>0</v>
      </c>
      <c r="BR157" s="24">
        <v>1</v>
      </c>
      <c r="BS157" s="24">
        <v>0</v>
      </c>
      <c r="BT157" s="24">
        <v>0</v>
      </c>
      <c r="BU157" s="24">
        <v>0</v>
      </c>
      <c r="BV157" s="24">
        <v>0</v>
      </c>
      <c r="BW157" s="24">
        <v>0</v>
      </c>
      <c r="BX157" s="24">
        <v>1</v>
      </c>
      <c r="BZ157" s="24">
        <v>-1</v>
      </c>
      <c r="CA157" s="24">
        <v>0</v>
      </c>
      <c r="CB157" s="24">
        <v>-1</v>
      </c>
      <c r="CC157" s="24">
        <v>-1</v>
      </c>
      <c r="CD157" s="24">
        <v>-1</v>
      </c>
      <c r="CE157" s="24">
        <v>-1</v>
      </c>
      <c r="CG157" s="14">
        <v>-1</v>
      </c>
      <c r="CH157" s="24">
        <v>0</v>
      </c>
      <c r="CI157" s="24">
        <v>0</v>
      </c>
      <c r="CJ157" s="24">
        <v>0</v>
      </c>
      <c r="CK157" s="24">
        <v>0</v>
      </c>
      <c r="CL157" s="24">
        <v>0</v>
      </c>
      <c r="CM157" s="24">
        <v>0</v>
      </c>
      <c r="CN157" s="24">
        <v>0</v>
      </c>
      <c r="CO157" s="24">
        <v>0</v>
      </c>
      <c r="CQ157" s="24">
        <v>0</v>
      </c>
      <c r="CR157" s="24">
        <v>0</v>
      </c>
      <c r="CS157" s="24">
        <v>0</v>
      </c>
      <c r="CT157" s="24">
        <v>0</v>
      </c>
      <c r="CV157" s="24">
        <v>0</v>
      </c>
      <c r="CW157" s="24">
        <v>10</v>
      </c>
      <c r="CX157" s="24">
        <v>101005</v>
      </c>
      <c r="CY157" s="26">
        <v>3</v>
      </c>
      <c r="CZ157" s="24">
        <v>0</v>
      </c>
      <c r="DA157" s="24">
        <v>0</v>
      </c>
      <c r="DC157" s="24">
        <v>1</v>
      </c>
      <c r="DD157" s="24">
        <v>1</v>
      </c>
      <c r="DE157" s="24">
        <v>0</v>
      </c>
      <c r="DF157" s="24">
        <v>0</v>
      </c>
      <c r="DG157" s="24">
        <v>-1</v>
      </c>
      <c r="DI157" s="24">
        <v>0</v>
      </c>
      <c r="DJ157" s="24">
        <v>0</v>
      </c>
      <c r="DL157" s="24">
        <v>0</v>
      </c>
      <c r="DM157" s="24">
        <v>0</v>
      </c>
      <c r="DO157" s="24">
        <v>0</v>
      </c>
      <c r="DP157" s="24">
        <v>0</v>
      </c>
      <c r="DQ157" s="24">
        <v>0</v>
      </c>
      <c r="DR157" s="24">
        <v>0</v>
      </c>
      <c r="DS157" s="24">
        <v>0</v>
      </c>
      <c r="DT157" s="24">
        <v>0</v>
      </c>
      <c r="DV157" s="24">
        <v>0</v>
      </c>
      <c r="DW157" s="24">
        <v>0</v>
      </c>
      <c r="DX157" s="24">
        <v>0</v>
      </c>
      <c r="DY157" s="24">
        <v>0</v>
      </c>
      <c r="DZ157" s="24">
        <v>0</v>
      </c>
    </row>
    <row r="158" spans="1:130">
      <c r="A158" s="24" t="s">
        <v>142</v>
      </c>
      <c r="B158" s="24" t="s">
        <v>142</v>
      </c>
      <c r="C158" s="24" t="s">
        <v>142</v>
      </c>
      <c r="D158" s="24" t="s">
        <v>142</v>
      </c>
      <c r="E158" s="24">
        <v>15032</v>
      </c>
      <c r="F158" s="24" t="s">
        <v>558</v>
      </c>
      <c r="G158" s="24">
        <v>0</v>
      </c>
      <c r="H158" s="24">
        <v>515032</v>
      </c>
      <c r="I158" s="24" t="s">
        <v>558</v>
      </c>
      <c r="J158" s="24" t="s">
        <v>558</v>
      </c>
      <c r="K158" s="24" t="s">
        <v>473</v>
      </c>
      <c r="M158" s="24">
        <v>102</v>
      </c>
      <c r="N158" s="24">
        <v>0</v>
      </c>
      <c r="P158" s="25">
        <v>2</v>
      </c>
      <c r="Q158" s="25">
        <v>524288</v>
      </c>
      <c r="R158" s="24">
        <v>0</v>
      </c>
      <c r="S158" s="25">
        <v>0</v>
      </c>
      <c r="T158" s="24"/>
      <c r="U158" s="24">
        <v>0</v>
      </c>
      <c r="V158" s="25">
        <v>0</v>
      </c>
      <c r="W158" s="24">
        <v>0</v>
      </c>
      <c r="X158" s="24">
        <v>0</v>
      </c>
      <c r="Y158" s="24">
        <v>0</v>
      </c>
      <c r="Z158" s="24">
        <v>0</v>
      </c>
      <c r="AB158" s="24">
        <v>10001</v>
      </c>
      <c r="AC158" s="24">
        <v>-1</v>
      </c>
      <c r="AD158" s="24">
        <v>-1</v>
      </c>
      <c r="AE158" s="24">
        <v>-1</v>
      </c>
      <c r="AG158" s="24">
        <v>1</v>
      </c>
      <c r="AH158" s="24">
        <v>0</v>
      </c>
      <c r="AI158" s="24">
        <v>0</v>
      </c>
      <c r="AJ158" s="24">
        <v>0</v>
      </c>
      <c r="AK158" s="24">
        <v>0</v>
      </c>
      <c r="AL158" s="24">
        <v>0</v>
      </c>
      <c r="AM158" s="24">
        <v>0</v>
      </c>
      <c r="AN158" s="24">
        <v>0</v>
      </c>
      <c r="AO158" s="24">
        <v>0</v>
      </c>
      <c r="AP158" s="24">
        <v>0</v>
      </c>
      <c r="AQ158" s="24">
        <v>0</v>
      </c>
      <c r="AR158" s="24">
        <v>0</v>
      </c>
      <c r="AS158" s="24">
        <v>0</v>
      </c>
      <c r="AT158" s="24">
        <v>0</v>
      </c>
      <c r="AU158" s="24">
        <v>0</v>
      </c>
      <c r="AV158" s="24">
        <v>0</v>
      </c>
      <c r="AW158" s="24">
        <v>0</v>
      </c>
      <c r="AX158" s="24">
        <v>0</v>
      </c>
      <c r="AY158" s="24">
        <v>0</v>
      </c>
      <c r="BA158" s="24">
        <v>0</v>
      </c>
      <c r="BB158" s="24">
        <v>833</v>
      </c>
      <c r="BC158" s="24">
        <v>1133</v>
      </c>
      <c r="BD158" s="24">
        <v>0</v>
      </c>
      <c r="BE158" s="24">
        <v>300</v>
      </c>
      <c r="BF158" s="24">
        <v>1</v>
      </c>
      <c r="BG158" s="25">
        <v>1024</v>
      </c>
      <c r="BH158" s="24">
        <v>4</v>
      </c>
      <c r="BI158" s="24">
        <v>15032</v>
      </c>
      <c r="BJ158" s="24">
        <v>1</v>
      </c>
      <c r="BK158" s="24">
        <v>1</v>
      </c>
      <c r="BL158" s="25">
        <v>126</v>
      </c>
      <c r="BM158" s="24">
        <v>0</v>
      </c>
      <c r="BO158" s="25">
        <v>1</v>
      </c>
      <c r="BP158" s="24">
        <v>10</v>
      </c>
      <c r="BQ158" s="24">
        <v>0</v>
      </c>
      <c r="BR158" s="24">
        <v>2</v>
      </c>
      <c r="BS158" s="24">
        <v>100</v>
      </c>
      <c r="BT158" s="24">
        <v>0</v>
      </c>
      <c r="BU158" s="24">
        <v>0</v>
      </c>
      <c r="BV158" s="24">
        <v>6</v>
      </c>
      <c r="BW158" s="24">
        <v>0</v>
      </c>
      <c r="BX158" s="24">
        <v>4</v>
      </c>
      <c r="BZ158" s="24">
        <v>-1</v>
      </c>
      <c r="CA158" s="24">
        <v>0</v>
      </c>
      <c r="CB158" s="24">
        <v>0</v>
      </c>
      <c r="CC158" s="24">
        <v>0</v>
      </c>
      <c r="CD158" s="24">
        <v>0</v>
      </c>
      <c r="CE158" s="24">
        <v>0</v>
      </c>
      <c r="CG158" s="24">
        <v>-1</v>
      </c>
      <c r="CH158" s="24">
        <v>0</v>
      </c>
      <c r="CI158" s="24">
        <v>0</v>
      </c>
      <c r="CJ158" s="24">
        <v>0</v>
      </c>
      <c r="CK158" s="24">
        <v>0</v>
      </c>
      <c r="CL158" s="24">
        <v>0</v>
      </c>
      <c r="CM158" s="24">
        <v>0</v>
      </c>
      <c r="CN158" s="24">
        <v>0</v>
      </c>
      <c r="CO158" s="24">
        <v>0</v>
      </c>
      <c r="CQ158" s="24">
        <v>0</v>
      </c>
      <c r="CR158" s="24">
        <v>0</v>
      </c>
      <c r="CS158" s="24">
        <v>0</v>
      </c>
      <c r="CT158" s="24">
        <v>0</v>
      </c>
      <c r="CV158" s="24">
        <v>110109</v>
      </c>
      <c r="CW158" s="24">
        <v>10</v>
      </c>
      <c r="CX158" s="24">
        <v>101001</v>
      </c>
      <c r="CY158" s="26">
        <v>1</v>
      </c>
      <c r="CZ158" s="24">
        <v>3</v>
      </c>
      <c r="DA158" s="24">
        <v>0</v>
      </c>
      <c r="DC158" s="24">
        <v>1</v>
      </c>
      <c r="DD158" s="24">
        <v>1</v>
      </c>
      <c r="DE158" s="24">
        <v>0</v>
      </c>
      <c r="DF158" s="24">
        <v>0</v>
      </c>
      <c r="DG158" s="24">
        <v>-1</v>
      </c>
      <c r="DI158" s="24">
        <v>0</v>
      </c>
      <c r="DJ158" s="24">
        <v>0</v>
      </c>
      <c r="DL158" s="24">
        <v>0</v>
      </c>
      <c r="DM158" s="24">
        <v>0</v>
      </c>
      <c r="DO158" s="24">
        <v>0</v>
      </c>
      <c r="DP158" s="24">
        <v>0</v>
      </c>
      <c r="DQ158" s="24">
        <v>0</v>
      </c>
      <c r="DR158" s="24">
        <v>0</v>
      </c>
      <c r="DS158" s="24">
        <v>0</v>
      </c>
      <c r="DT158" s="24">
        <v>0</v>
      </c>
      <c r="DV158" s="24">
        <v>0</v>
      </c>
      <c r="DW158" s="24">
        <v>0</v>
      </c>
      <c r="DX158" s="24">
        <v>0</v>
      </c>
      <c r="DY158" s="24">
        <v>0</v>
      </c>
      <c r="DZ158" s="24">
        <v>0</v>
      </c>
    </row>
    <row r="159" spans="1:130">
      <c r="G159" s="24" t="s">
        <v>639</v>
      </c>
      <c r="K159" s="24" t="s">
        <v>639</v>
      </c>
      <c r="S159" s="25"/>
      <c r="T159" s="24"/>
      <c r="BO159" s="25" t="s">
        <v>639</v>
      </c>
      <c r="CV159" s="24" t="s">
        <v>639</v>
      </c>
      <c r="DC159" s="24" t="s">
        <v>639</v>
      </c>
      <c r="DD159" s="24" t="s">
        <v>639</v>
      </c>
      <c r="DE159" s="24" t="s">
        <v>639</v>
      </c>
      <c r="DF159" s="24" t="s">
        <v>639</v>
      </c>
      <c r="DG159" s="24" t="s">
        <v>639</v>
      </c>
      <c r="DI159" s="24" t="s">
        <v>639</v>
      </c>
      <c r="DJ159" s="24" t="s">
        <v>639</v>
      </c>
      <c r="DL159" s="24" t="s">
        <v>639</v>
      </c>
      <c r="DM159" s="24" t="s">
        <v>639</v>
      </c>
      <c r="DO159" s="24" t="s">
        <v>639</v>
      </c>
      <c r="DP159" s="24" t="s">
        <v>639</v>
      </c>
      <c r="DQ159" s="24" t="s">
        <v>639</v>
      </c>
      <c r="DR159" s="24" t="s">
        <v>639</v>
      </c>
      <c r="DS159" s="24" t="s">
        <v>639</v>
      </c>
      <c r="DT159" s="24" t="s">
        <v>639</v>
      </c>
      <c r="DV159" s="24" t="s">
        <v>639</v>
      </c>
      <c r="DW159" s="24" t="s">
        <v>639</v>
      </c>
      <c r="DX159" s="24" t="s">
        <v>639</v>
      </c>
      <c r="DY159" s="24" t="s">
        <v>639</v>
      </c>
      <c r="DZ159" s="24" t="s">
        <v>639</v>
      </c>
    </row>
    <row r="160" spans="1:130">
      <c r="G160" s="24" t="s">
        <v>639</v>
      </c>
      <c r="K160" s="24" t="s">
        <v>639</v>
      </c>
      <c r="S160" s="25"/>
      <c r="T160" s="24"/>
      <c r="BO160" s="25" t="s">
        <v>639</v>
      </c>
      <c r="CV160" s="24" t="s">
        <v>639</v>
      </c>
      <c r="DC160" s="24" t="s">
        <v>639</v>
      </c>
      <c r="DD160" s="24" t="s">
        <v>639</v>
      </c>
      <c r="DE160" s="24" t="s">
        <v>639</v>
      </c>
      <c r="DF160" s="24" t="s">
        <v>639</v>
      </c>
      <c r="DG160" s="24" t="s">
        <v>639</v>
      </c>
      <c r="DI160" s="24" t="s">
        <v>639</v>
      </c>
      <c r="DJ160" s="24" t="s">
        <v>639</v>
      </c>
      <c r="DL160" s="24" t="s">
        <v>639</v>
      </c>
      <c r="DM160" s="24" t="s">
        <v>639</v>
      </c>
      <c r="DO160" s="24" t="s">
        <v>639</v>
      </c>
      <c r="DP160" s="24" t="s">
        <v>639</v>
      </c>
      <c r="DQ160" s="24" t="s">
        <v>639</v>
      </c>
      <c r="DR160" s="24" t="s">
        <v>639</v>
      </c>
      <c r="DS160" s="24" t="s">
        <v>639</v>
      </c>
      <c r="DT160" s="24" t="s">
        <v>639</v>
      </c>
      <c r="DV160" s="24" t="s">
        <v>639</v>
      </c>
      <c r="DW160" s="24" t="s">
        <v>639</v>
      </c>
      <c r="DX160" s="24" t="s">
        <v>639</v>
      </c>
      <c r="DY160" s="24" t="s">
        <v>639</v>
      </c>
      <c r="DZ160" s="24" t="s">
        <v>639</v>
      </c>
    </row>
    <row r="161" spans="1:130">
      <c r="G161" s="24" t="s">
        <v>639</v>
      </c>
      <c r="K161" s="24" t="s">
        <v>639</v>
      </c>
      <c r="S161" s="25"/>
      <c r="T161" s="24"/>
      <c r="BO161" s="25" t="s">
        <v>639</v>
      </c>
      <c r="CV161" s="24" t="s">
        <v>639</v>
      </c>
      <c r="DC161" s="24" t="s">
        <v>639</v>
      </c>
      <c r="DD161" s="24" t="s">
        <v>639</v>
      </c>
      <c r="DE161" s="24" t="s">
        <v>639</v>
      </c>
      <c r="DF161" s="24" t="s">
        <v>639</v>
      </c>
      <c r="DG161" s="24" t="s">
        <v>639</v>
      </c>
      <c r="DI161" s="24" t="s">
        <v>639</v>
      </c>
      <c r="DJ161" s="24" t="s">
        <v>639</v>
      </c>
      <c r="DL161" s="24" t="s">
        <v>639</v>
      </c>
      <c r="DM161" s="24" t="s">
        <v>639</v>
      </c>
      <c r="DO161" s="24" t="s">
        <v>639</v>
      </c>
      <c r="DP161" s="24" t="s">
        <v>639</v>
      </c>
      <c r="DQ161" s="24" t="s">
        <v>639</v>
      </c>
      <c r="DR161" s="24" t="s">
        <v>639</v>
      </c>
      <c r="DS161" s="24" t="s">
        <v>639</v>
      </c>
      <c r="DT161" s="24" t="s">
        <v>639</v>
      </c>
      <c r="DV161" s="24" t="s">
        <v>639</v>
      </c>
      <c r="DW161" s="24" t="s">
        <v>639</v>
      </c>
      <c r="DX161" s="24" t="s">
        <v>639</v>
      </c>
      <c r="DY161" s="24" t="s">
        <v>639</v>
      </c>
      <c r="DZ161" s="24" t="s">
        <v>639</v>
      </c>
    </row>
    <row r="162" spans="1:130">
      <c r="G162" s="24" t="s">
        <v>639</v>
      </c>
      <c r="K162" s="24" t="s">
        <v>639</v>
      </c>
      <c r="S162" s="25"/>
      <c r="T162" s="24"/>
      <c r="BO162" s="25" t="s">
        <v>639</v>
      </c>
      <c r="CV162" s="24" t="s">
        <v>639</v>
      </c>
      <c r="DC162" s="24" t="s">
        <v>639</v>
      </c>
      <c r="DD162" s="24" t="s">
        <v>639</v>
      </c>
      <c r="DE162" s="24" t="s">
        <v>639</v>
      </c>
      <c r="DF162" s="24" t="s">
        <v>639</v>
      </c>
      <c r="DG162" s="24" t="s">
        <v>639</v>
      </c>
      <c r="DI162" s="24" t="s">
        <v>639</v>
      </c>
      <c r="DJ162" s="24" t="s">
        <v>639</v>
      </c>
      <c r="DL162" s="24" t="s">
        <v>639</v>
      </c>
      <c r="DM162" s="24" t="s">
        <v>639</v>
      </c>
      <c r="DO162" s="24" t="s">
        <v>639</v>
      </c>
      <c r="DP162" s="24" t="s">
        <v>639</v>
      </c>
      <c r="DQ162" s="24" t="s">
        <v>639</v>
      </c>
      <c r="DR162" s="24" t="s">
        <v>639</v>
      </c>
      <c r="DS162" s="24" t="s">
        <v>639</v>
      </c>
      <c r="DT162" s="24" t="s">
        <v>639</v>
      </c>
      <c r="DV162" s="24" t="s">
        <v>639</v>
      </c>
      <c r="DW162" s="24" t="s">
        <v>639</v>
      </c>
      <c r="DX162" s="24" t="s">
        <v>639</v>
      </c>
      <c r="DY162" s="24" t="s">
        <v>639</v>
      </c>
      <c r="DZ162" s="24" t="s">
        <v>639</v>
      </c>
    </row>
    <row r="163" spans="1:130">
      <c r="G163" s="24" t="s">
        <v>639</v>
      </c>
      <c r="K163" s="24" t="s">
        <v>639</v>
      </c>
      <c r="S163" s="25"/>
      <c r="T163" s="24"/>
      <c r="BO163" s="25" t="s">
        <v>639</v>
      </c>
      <c r="CV163" s="24" t="s">
        <v>639</v>
      </c>
      <c r="DC163" s="24" t="s">
        <v>639</v>
      </c>
      <c r="DD163" s="24" t="s">
        <v>639</v>
      </c>
      <c r="DE163" s="24" t="s">
        <v>639</v>
      </c>
      <c r="DF163" s="24" t="s">
        <v>639</v>
      </c>
      <c r="DG163" s="24" t="s">
        <v>639</v>
      </c>
      <c r="DI163" s="24" t="s">
        <v>639</v>
      </c>
      <c r="DJ163" s="24" t="s">
        <v>639</v>
      </c>
      <c r="DL163" s="24" t="s">
        <v>639</v>
      </c>
      <c r="DM163" s="24" t="s">
        <v>639</v>
      </c>
      <c r="DO163" s="24" t="s">
        <v>639</v>
      </c>
      <c r="DP163" s="24" t="s">
        <v>639</v>
      </c>
      <c r="DQ163" s="24" t="s">
        <v>639</v>
      </c>
      <c r="DR163" s="24" t="s">
        <v>639</v>
      </c>
      <c r="DS163" s="24" t="s">
        <v>639</v>
      </c>
      <c r="DT163" s="24" t="s">
        <v>639</v>
      </c>
      <c r="DV163" s="24" t="s">
        <v>639</v>
      </c>
      <c r="DW163" s="24" t="s">
        <v>639</v>
      </c>
      <c r="DX163" s="24" t="s">
        <v>639</v>
      </c>
      <c r="DY163" s="24" t="s">
        <v>639</v>
      </c>
      <c r="DZ163" s="24" t="s">
        <v>639</v>
      </c>
    </row>
    <row r="164" spans="1:130">
      <c r="G164" s="24" t="s">
        <v>639</v>
      </c>
      <c r="K164" s="24" t="s">
        <v>639</v>
      </c>
      <c r="S164" s="25"/>
      <c r="T164" s="24"/>
      <c r="BO164" s="25" t="s">
        <v>639</v>
      </c>
      <c r="CV164" s="24" t="s">
        <v>639</v>
      </c>
      <c r="DC164" s="24" t="s">
        <v>639</v>
      </c>
      <c r="DD164" s="24" t="s">
        <v>639</v>
      </c>
      <c r="DE164" s="24" t="s">
        <v>639</v>
      </c>
      <c r="DF164" s="24" t="s">
        <v>639</v>
      </c>
      <c r="DG164" s="24" t="s">
        <v>639</v>
      </c>
      <c r="DI164" s="24" t="s">
        <v>639</v>
      </c>
      <c r="DJ164" s="24" t="s">
        <v>639</v>
      </c>
      <c r="DL164" s="24" t="s">
        <v>639</v>
      </c>
      <c r="DM164" s="24" t="s">
        <v>639</v>
      </c>
      <c r="DO164" s="24" t="s">
        <v>639</v>
      </c>
      <c r="DP164" s="24" t="s">
        <v>639</v>
      </c>
      <c r="DQ164" s="24" t="s">
        <v>639</v>
      </c>
      <c r="DR164" s="24" t="s">
        <v>639</v>
      </c>
      <c r="DS164" s="24" t="s">
        <v>639</v>
      </c>
      <c r="DT164" s="24" t="s">
        <v>639</v>
      </c>
      <c r="DV164" s="24" t="s">
        <v>639</v>
      </c>
      <c r="DW164" s="24" t="s">
        <v>639</v>
      </c>
      <c r="DX164" s="24" t="s">
        <v>639</v>
      </c>
      <c r="DY164" s="24" t="s">
        <v>639</v>
      </c>
      <c r="DZ164" s="24" t="s">
        <v>639</v>
      </c>
    </row>
    <row r="165" spans="1:130">
      <c r="G165" s="24" t="s">
        <v>639</v>
      </c>
      <c r="K165" s="24" t="s">
        <v>639</v>
      </c>
      <c r="S165" s="25"/>
      <c r="T165" s="24"/>
      <c r="BO165" s="25" t="s">
        <v>639</v>
      </c>
      <c r="CV165" s="24" t="s">
        <v>639</v>
      </c>
      <c r="DC165" s="24" t="s">
        <v>639</v>
      </c>
      <c r="DD165" s="24" t="s">
        <v>639</v>
      </c>
      <c r="DE165" s="24" t="s">
        <v>639</v>
      </c>
      <c r="DF165" s="24" t="s">
        <v>639</v>
      </c>
      <c r="DG165" s="24" t="s">
        <v>639</v>
      </c>
      <c r="DI165" s="24" t="s">
        <v>639</v>
      </c>
      <c r="DJ165" s="24" t="s">
        <v>639</v>
      </c>
      <c r="DL165" s="24" t="s">
        <v>639</v>
      </c>
      <c r="DM165" s="24" t="s">
        <v>639</v>
      </c>
      <c r="DO165" s="24" t="s">
        <v>639</v>
      </c>
      <c r="DP165" s="24" t="s">
        <v>639</v>
      </c>
      <c r="DQ165" s="24" t="s">
        <v>639</v>
      </c>
      <c r="DR165" s="24" t="s">
        <v>639</v>
      </c>
      <c r="DS165" s="24" t="s">
        <v>639</v>
      </c>
      <c r="DT165" s="24" t="s">
        <v>639</v>
      </c>
      <c r="DV165" s="24" t="s">
        <v>639</v>
      </c>
      <c r="DW165" s="24" t="s">
        <v>639</v>
      </c>
      <c r="DX165" s="24" t="s">
        <v>639</v>
      </c>
      <c r="DY165" s="24" t="s">
        <v>639</v>
      </c>
      <c r="DZ165" s="24" t="s">
        <v>639</v>
      </c>
    </row>
    <row r="166" spans="1:130">
      <c r="G166" s="24" t="s">
        <v>639</v>
      </c>
      <c r="K166" s="24" t="s">
        <v>639</v>
      </c>
      <c r="S166" s="25"/>
      <c r="T166" s="24"/>
      <c r="BO166" s="25" t="s">
        <v>639</v>
      </c>
      <c r="CV166" s="24" t="s">
        <v>639</v>
      </c>
      <c r="DC166" s="24" t="s">
        <v>639</v>
      </c>
      <c r="DD166" s="24" t="s">
        <v>639</v>
      </c>
      <c r="DE166" s="24" t="s">
        <v>639</v>
      </c>
      <c r="DF166" s="24" t="s">
        <v>639</v>
      </c>
      <c r="DG166" s="24" t="s">
        <v>639</v>
      </c>
      <c r="DI166" s="24" t="s">
        <v>639</v>
      </c>
      <c r="DJ166" s="24" t="s">
        <v>639</v>
      </c>
      <c r="DL166" s="24" t="s">
        <v>639</v>
      </c>
      <c r="DM166" s="24" t="s">
        <v>639</v>
      </c>
      <c r="DO166" s="24" t="s">
        <v>639</v>
      </c>
      <c r="DP166" s="24" t="s">
        <v>639</v>
      </c>
      <c r="DQ166" s="24" t="s">
        <v>639</v>
      </c>
      <c r="DR166" s="24" t="s">
        <v>639</v>
      </c>
      <c r="DS166" s="24" t="s">
        <v>639</v>
      </c>
      <c r="DT166" s="24" t="s">
        <v>639</v>
      </c>
      <c r="DV166" s="24" t="s">
        <v>639</v>
      </c>
      <c r="DW166" s="24" t="s">
        <v>639</v>
      </c>
      <c r="DX166" s="24" t="s">
        <v>639</v>
      </c>
      <c r="DY166" s="24" t="s">
        <v>639</v>
      </c>
      <c r="DZ166" s="24" t="s">
        <v>639</v>
      </c>
    </row>
    <row r="167" spans="1:130">
      <c r="G167" s="24" t="s">
        <v>639</v>
      </c>
      <c r="K167" s="24" t="s">
        <v>639</v>
      </c>
      <c r="S167" s="25"/>
      <c r="T167" s="24"/>
      <c r="BO167" s="25" t="s">
        <v>639</v>
      </c>
      <c r="CV167" s="24" t="s">
        <v>639</v>
      </c>
      <c r="DC167" s="24" t="s">
        <v>639</v>
      </c>
      <c r="DD167" s="24" t="s">
        <v>639</v>
      </c>
      <c r="DE167" s="24" t="s">
        <v>639</v>
      </c>
      <c r="DF167" s="24" t="s">
        <v>639</v>
      </c>
      <c r="DG167" s="24" t="s">
        <v>639</v>
      </c>
      <c r="DI167" s="24" t="s">
        <v>639</v>
      </c>
      <c r="DJ167" s="24" t="s">
        <v>639</v>
      </c>
      <c r="DL167" s="24" t="s">
        <v>639</v>
      </c>
      <c r="DM167" s="24" t="s">
        <v>639</v>
      </c>
      <c r="DO167" s="24" t="s">
        <v>639</v>
      </c>
      <c r="DP167" s="24" t="s">
        <v>639</v>
      </c>
      <c r="DQ167" s="24" t="s">
        <v>639</v>
      </c>
      <c r="DR167" s="24" t="s">
        <v>639</v>
      </c>
      <c r="DS167" s="24" t="s">
        <v>639</v>
      </c>
      <c r="DT167" s="24" t="s">
        <v>639</v>
      </c>
      <c r="DV167" s="24" t="s">
        <v>639</v>
      </c>
      <c r="DW167" s="24" t="s">
        <v>639</v>
      </c>
      <c r="DX167" s="24" t="s">
        <v>639</v>
      </c>
      <c r="DY167" s="24" t="s">
        <v>639</v>
      </c>
      <c r="DZ167" s="24" t="s">
        <v>639</v>
      </c>
    </row>
    <row r="168" spans="1:130">
      <c r="G168" s="24" t="s">
        <v>639</v>
      </c>
      <c r="K168" s="24" t="s">
        <v>639</v>
      </c>
      <c r="S168" s="25"/>
      <c r="T168" s="24"/>
      <c r="BO168" s="25" t="s">
        <v>639</v>
      </c>
      <c r="CV168" s="24" t="s">
        <v>639</v>
      </c>
      <c r="DC168" s="24" t="s">
        <v>639</v>
      </c>
      <c r="DD168" s="24" t="s">
        <v>639</v>
      </c>
      <c r="DE168" s="24" t="s">
        <v>639</v>
      </c>
      <c r="DF168" s="24" t="s">
        <v>639</v>
      </c>
      <c r="DG168" s="24" t="s">
        <v>639</v>
      </c>
      <c r="DI168" s="24" t="s">
        <v>639</v>
      </c>
      <c r="DJ168" s="24" t="s">
        <v>639</v>
      </c>
      <c r="DL168" s="24" t="s">
        <v>639</v>
      </c>
      <c r="DM168" s="24" t="s">
        <v>639</v>
      </c>
      <c r="DO168" s="24" t="s">
        <v>639</v>
      </c>
      <c r="DP168" s="24" t="s">
        <v>639</v>
      </c>
      <c r="DQ168" s="24" t="s">
        <v>639</v>
      </c>
      <c r="DR168" s="24" t="s">
        <v>639</v>
      </c>
      <c r="DS168" s="24" t="s">
        <v>639</v>
      </c>
      <c r="DT168" s="24" t="s">
        <v>639</v>
      </c>
      <c r="DV168" s="24" t="s">
        <v>639</v>
      </c>
      <c r="DW168" s="24" t="s">
        <v>639</v>
      </c>
      <c r="DX168" s="24" t="s">
        <v>639</v>
      </c>
      <c r="DY168" s="24" t="s">
        <v>639</v>
      </c>
      <c r="DZ168" s="24" t="s">
        <v>639</v>
      </c>
    </row>
    <row r="169" spans="1:130">
      <c r="G169" s="24" t="s">
        <v>639</v>
      </c>
      <c r="K169" s="24" t="s">
        <v>639</v>
      </c>
      <c r="S169" s="25"/>
      <c r="T169" s="24"/>
      <c r="BO169" s="25" t="s">
        <v>639</v>
      </c>
      <c r="CV169" s="24" t="s">
        <v>639</v>
      </c>
      <c r="DC169" s="24" t="s">
        <v>639</v>
      </c>
      <c r="DD169" s="24" t="s">
        <v>639</v>
      </c>
      <c r="DE169" s="24" t="s">
        <v>639</v>
      </c>
      <c r="DF169" s="24" t="s">
        <v>639</v>
      </c>
      <c r="DG169" s="24" t="s">
        <v>639</v>
      </c>
      <c r="DI169" s="24" t="s">
        <v>639</v>
      </c>
      <c r="DJ169" s="24" t="s">
        <v>639</v>
      </c>
      <c r="DL169" s="24" t="s">
        <v>639</v>
      </c>
      <c r="DM169" s="24" t="s">
        <v>639</v>
      </c>
      <c r="DO169" s="24" t="s">
        <v>639</v>
      </c>
      <c r="DP169" s="24" t="s">
        <v>639</v>
      </c>
      <c r="DQ169" s="24" t="s">
        <v>639</v>
      </c>
      <c r="DR169" s="24" t="s">
        <v>639</v>
      </c>
      <c r="DS169" s="24" t="s">
        <v>639</v>
      </c>
      <c r="DT169" s="24" t="s">
        <v>639</v>
      </c>
      <c r="DV169" s="24" t="s">
        <v>639</v>
      </c>
      <c r="DW169" s="24" t="s">
        <v>639</v>
      </c>
      <c r="DX169" s="24" t="s">
        <v>639</v>
      </c>
      <c r="DY169" s="24" t="s">
        <v>639</v>
      </c>
      <c r="DZ169" s="24" t="s">
        <v>639</v>
      </c>
    </row>
    <row r="170" spans="1:130">
      <c r="A170" s="24" t="s">
        <v>142</v>
      </c>
      <c r="B170" s="24" t="s">
        <v>142</v>
      </c>
      <c r="C170" s="24" t="s">
        <v>142</v>
      </c>
      <c r="D170" s="24" t="s">
        <v>142</v>
      </c>
      <c r="E170" s="24">
        <v>15101</v>
      </c>
      <c r="F170" s="24" t="s">
        <v>426</v>
      </c>
      <c r="G170" s="24">
        <v>0</v>
      </c>
      <c r="H170" s="24">
        <v>515101</v>
      </c>
      <c r="I170" s="24" t="s">
        <v>426</v>
      </c>
      <c r="J170" s="24" t="s">
        <v>426</v>
      </c>
      <c r="K170" s="24" t="s">
        <v>473</v>
      </c>
      <c r="M170" s="24">
        <v>4</v>
      </c>
      <c r="N170" s="24">
        <v>0</v>
      </c>
      <c r="P170" s="25">
        <v>4</v>
      </c>
      <c r="Q170" s="25">
        <v>0</v>
      </c>
      <c r="R170" s="24">
        <v>0</v>
      </c>
      <c r="S170" s="25">
        <v>0</v>
      </c>
      <c r="T170" s="24"/>
      <c r="U170" s="24">
        <v>0</v>
      </c>
      <c r="V170" s="25">
        <v>0</v>
      </c>
      <c r="W170" s="24">
        <v>0</v>
      </c>
      <c r="X170" s="24">
        <v>0</v>
      </c>
      <c r="Y170" s="24">
        <v>0</v>
      </c>
      <c r="Z170" s="24">
        <v>0</v>
      </c>
      <c r="AB170" s="24">
        <v>30004</v>
      </c>
      <c r="AC170" s="24">
        <v>0</v>
      </c>
      <c r="AD170" s="24">
        <v>0</v>
      </c>
      <c r="AE170" s="24">
        <v>0</v>
      </c>
      <c r="AG170" s="24">
        <v>1</v>
      </c>
      <c r="AH170" s="24">
        <v>0</v>
      </c>
      <c r="AI170" s="24">
        <v>0</v>
      </c>
      <c r="AJ170" s="24">
        <v>0</v>
      </c>
      <c r="AK170" s="24">
        <v>0</v>
      </c>
      <c r="AL170" s="24">
        <v>0</v>
      </c>
      <c r="AM170" s="24">
        <v>0</v>
      </c>
      <c r="AN170" s="24">
        <v>0</v>
      </c>
      <c r="AO170" s="24">
        <v>0</v>
      </c>
      <c r="AP170" s="24">
        <v>0</v>
      </c>
      <c r="AQ170" s="24">
        <v>0</v>
      </c>
      <c r="AR170" s="24">
        <v>0</v>
      </c>
      <c r="AS170" s="24">
        <v>0</v>
      </c>
      <c r="AT170" s="24">
        <v>0</v>
      </c>
      <c r="AU170" s="24">
        <v>0</v>
      </c>
      <c r="AV170" s="24">
        <v>0</v>
      </c>
      <c r="AW170" s="24">
        <v>0</v>
      </c>
      <c r="AX170" s="24">
        <v>0</v>
      </c>
      <c r="AY170" s="24">
        <v>0</v>
      </c>
      <c r="BA170" s="24">
        <v>0</v>
      </c>
      <c r="BB170" s="24">
        <v>0</v>
      </c>
      <c r="BC170" s="24">
        <v>0</v>
      </c>
      <c r="BD170" s="24">
        <v>0</v>
      </c>
      <c r="BE170" s="24">
        <v>0</v>
      </c>
      <c r="BF170" s="24">
        <v>0</v>
      </c>
      <c r="BG170" s="25">
        <v>512</v>
      </c>
      <c r="BH170" s="24">
        <v>4</v>
      </c>
      <c r="BI170" s="24">
        <v>15101</v>
      </c>
      <c r="BJ170" s="24">
        <v>1</v>
      </c>
      <c r="BK170" s="24">
        <v>1</v>
      </c>
      <c r="BL170" s="25">
        <v>126</v>
      </c>
      <c r="BM170" s="24">
        <v>0</v>
      </c>
      <c r="BO170" s="25">
        <v>1</v>
      </c>
      <c r="BP170" s="24">
        <v>0</v>
      </c>
      <c r="BQ170" s="24">
        <v>0</v>
      </c>
      <c r="BR170" s="24">
        <v>1</v>
      </c>
      <c r="BS170" s="24">
        <v>0</v>
      </c>
      <c r="BT170" s="24">
        <v>0</v>
      </c>
      <c r="BU170" s="24">
        <v>0</v>
      </c>
      <c r="BV170" s="24">
        <v>0</v>
      </c>
      <c r="BW170" s="24">
        <v>0</v>
      </c>
      <c r="BX170" s="24">
        <v>1</v>
      </c>
      <c r="BZ170" s="24">
        <v>-1</v>
      </c>
      <c r="CA170" s="24">
        <v>0</v>
      </c>
      <c r="CB170" s="24">
        <v>0</v>
      </c>
      <c r="CC170" s="24">
        <v>0</v>
      </c>
      <c r="CD170" s="24">
        <v>0</v>
      </c>
      <c r="CE170" s="24">
        <v>0</v>
      </c>
      <c r="CG170" s="24">
        <v>-1</v>
      </c>
      <c r="CH170" s="24">
        <v>0</v>
      </c>
      <c r="CI170" s="24">
        <v>0</v>
      </c>
      <c r="CJ170" s="24">
        <v>0</v>
      </c>
      <c r="CK170" s="24">
        <v>0</v>
      </c>
      <c r="CL170" s="24">
        <v>0</v>
      </c>
      <c r="CM170" s="24">
        <v>0</v>
      </c>
      <c r="CN170" s="24">
        <v>0</v>
      </c>
      <c r="CO170" s="24">
        <v>0</v>
      </c>
      <c r="CQ170" s="24">
        <v>0</v>
      </c>
      <c r="CR170" s="24">
        <v>0</v>
      </c>
      <c r="CS170" s="24">
        <v>0</v>
      </c>
      <c r="CT170" s="24">
        <v>0</v>
      </c>
      <c r="CV170" s="24">
        <v>0</v>
      </c>
      <c r="CW170" s="24">
        <v>0</v>
      </c>
      <c r="CX170" s="24">
        <v>-1</v>
      </c>
      <c r="CY170" s="26">
        <v>0</v>
      </c>
      <c r="CZ170" s="24">
        <v>0</v>
      </c>
      <c r="DA170" s="24">
        <v>0</v>
      </c>
      <c r="DC170" s="24">
        <v>1</v>
      </c>
      <c r="DD170" s="24">
        <v>1</v>
      </c>
      <c r="DE170" s="24">
        <v>0</v>
      </c>
      <c r="DF170" s="24">
        <v>0</v>
      </c>
      <c r="DG170" s="24">
        <v>-1</v>
      </c>
      <c r="DI170" s="24">
        <v>0</v>
      </c>
      <c r="DJ170" s="24">
        <v>0</v>
      </c>
      <c r="DL170" s="24">
        <v>0</v>
      </c>
      <c r="DM170" s="24">
        <v>0</v>
      </c>
      <c r="DO170" s="24">
        <v>0</v>
      </c>
      <c r="DP170" s="24">
        <v>0</v>
      </c>
      <c r="DQ170" s="24">
        <v>0</v>
      </c>
      <c r="DR170" s="24">
        <v>0</v>
      </c>
      <c r="DS170" s="24">
        <v>0</v>
      </c>
      <c r="DT170" s="24">
        <v>0</v>
      </c>
      <c r="DV170" s="24">
        <v>0</v>
      </c>
      <c r="DW170" s="24">
        <v>0</v>
      </c>
      <c r="DX170" s="24">
        <v>0</v>
      </c>
      <c r="DY170" s="24">
        <v>0</v>
      </c>
      <c r="DZ170" s="24">
        <v>0</v>
      </c>
    </row>
    <row r="171" spans="1:130">
      <c r="A171" s="24" t="s">
        <v>142</v>
      </c>
      <c r="B171" s="24" t="s">
        <v>142</v>
      </c>
      <c r="C171" s="24" t="s">
        <v>142</v>
      </c>
      <c r="D171" s="24" t="s">
        <v>142</v>
      </c>
      <c r="E171" s="24">
        <v>15102</v>
      </c>
      <c r="F171" s="24" t="s">
        <v>427</v>
      </c>
      <c r="G171" s="24">
        <v>0</v>
      </c>
      <c r="H171" s="24">
        <v>515102</v>
      </c>
      <c r="I171" s="24" t="s">
        <v>427</v>
      </c>
      <c r="J171" s="24" t="s">
        <v>427</v>
      </c>
      <c r="K171" s="24" t="s">
        <v>563</v>
      </c>
      <c r="M171" s="24">
        <v>102</v>
      </c>
      <c r="N171" s="24">
        <v>0</v>
      </c>
      <c r="P171" s="25">
        <v>2</v>
      </c>
      <c r="Q171" s="25">
        <v>655360</v>
      </c>
      <c r="R171" s="24">
        <v>0</v>
      </c>
      <c r="S171" s="25">
        <v>0</v>
      </c>
      <c r="T171" s="24"/>
      <c r="U171" s="24">
        <v>0</v>
      </c>
      <c r="V171" s="25">
        <v>0</v>
      </c>
      <c r="W171" s="24">
        <v>0</v>
      </c>
      <c r="X171" s="24">
        <v>0</v>
      </c>
      <c r="Y171" s="24">
        <v>0</v>
      </c>
      <c r="Z171" s="24">
        <v>0</v>
      </c>
      <c r="AB171" s="24">
        <v>10001</v>
      </c>
      <c r="AC171" s="24">
        <v>-1</v>
      </c>
      <c r="AD171" s="24">
        <v>-1</v>
      </c>
      <c r="AE171" s="24">
        <v>-1</v>
      </c>
      <c r="AG171" s="24">
        <v>1</v>
      </c>
      <c r="AH171" s="24">
        <v>0</v>
      </c>
      <c r="AI171" s="24">
        <v>0</v>
      </c>
      <c r="AJ171" s="24">
        <v>0</v>
      </c>
      <c r="AK171" s="24">
        <v>0</v>
      </c>
      <c r="AL171" s="24">
        <v>0</v>
      </c>
      <c r="AM171" s="24">
        <v>0</v>
      </c>
      <c r="AN171" s="24">
        <v>0</v>
      </c>
      <c r="AO171" s="24">
        <v>0</v>
      </c>
      <c r="AP171" s="24">
        <v>0</v>
      </c>
      <c r="AQ171" s="24">
        <v>0</v>
      </c>
      <c r="AR171" s="24">
        <v>0</v>
      </c>
      <c r="AS171" s="24">
        <v>0</v>
      </c>
      <c r="AT171" s="24">
        <v>0</v>
      </c>
      <c r="AU171" s="24">
        <v>0</v>
      </c>
      <c r="AV171" s="24">
        <v>0</v>
      </c>
      <c r="AW171" s="24">
        <v>0</v>
      </c>
      <c r="AX171" s="24">
        <v>0</v>
      </c>
      <c r="AY171" s="24">
        <v>0</v>
      </c>
      <c r="BA171" s="24">
        <v>0</v>
      </c>
      <c r="BB171" s="24">
        <v>500</v>
      </c>
      <c r="BC171" s="24">
        <v>800</v>
      </c>
      <c r="BD171" s="24">
        <v>0</v>
      </c>
      <c r="BE171" s="24">
        <v>500</v>
      </c>
      <c r="BF171" s="24">
        <v>1</v>
      </c>
      <c r="BG171" s="25">
        <v>17</v>
      </c>
      <c r="BH171" s="24">
        <v>1</v>
      </c>
      <c r="BI171" s="24">
        <v>0</v>
      </c>
      <c r="BJ171" s="24">
        <v>0</v>
      </c>
      <c r="BK171" s="24">
        <v>0</v>
      </c>
      <c r="BL171" s="25">
        <v>126</v>
      </c>
      <c r="BM171" s="24">
        <v>0</v>
      </c>
      <c r="BO171" s="25">
        <v>16</v>
      </c>
      <c r="BP171" s="24">
        <v>3</v>
      </c>
      <c r="BQ171" s="24">
        <v>0</v>
      </c>
      <c r="BR171" s="24">
        <v>5</v>
      </c>
      <c r="BS171" s="24">
        <v>1</v>
      </c>
      <c r="BT171" s="24">
        <v>30</v>
      </c>
      <c r="BU171" s="24">
        <v>10</v>
      </c>
      <c r="BV171" s="24">
        <v>6</v>
      </c>
      <c r="BW171" s="24">
        <v>0</v>
      </c>
      <c r="BX171" s="24">
        <v>4</v>
      </c>
      <c r="BZ171" s="24">
        <v>-1</v>
      </c>
      <c r="CA171" s="24">
        <v>0</v>
      </c>
      <c r="CB171" s="24">
        <v>0</v>
      </c>
      <c r="CC171" s="24">
        <v>0</v>
      </c>
      <c r="CD171" s="24">
        <v>0</v>
      </c>
      <c r="CE171" s="24">
        <v>0</v>
      </c>
      <c r="CG171" s="24">
        <v>0</v>
      </c>
      <c r="CH171" s="24">
        <v>0</v>
      </c>
      <c r="CI171" s="24">
        <v>0</v>
      </c>
      <c r="CJ171" s="24">
        <v>0</v>
      </c>
      <c r="CK171" s="24">
        <v>1</v>
      </c>
      <c r="CL171" s="24">
        <v>0.5</v>
      </c>
      <c r="CM171" s="24">
        <v>0</v>
      </c>
      <c r="CN171" s="24">
        <v>500</v>
      </c>
      <c r="CO171" s="24">
        <v>500</v>
      </c>
      <c r="CQ171" s="24">
        <v>0.76932</v>
      </c>
      <c r="CR171" s="24">
        <v>0</v>
      </c>
      <c r="CS171" s="24">
        <v>0</v>
      </c>
      <c r="CT171" s="24">
        <v>0</v>
      </c>
      <c r="CV171" s="24">
        <v>110201</v>
      </c>
      <c r="CW171" s="24">
        <v>3</v>
      </c>
      <c r="CX171" s="24">
        <v>102001</v>
      </c>
      <c r="CY171" s="26">
        <v>1</v>
      </c>
      <c r="CZ171" s="24">
        <v>1</v>
      </c>
      <c r="DA171" s="24">
        <v>0</v>
      </c>
      <c r="DC171" s="24">
        <v>1</v>
      </c>
      <c r="DD171" s="24">
        <v>1</v>
      </c>
      <c r="DE171" s="24">
        <v>0</v>
      </c>
      <c r="DF171" s="24">
        <v>0</v>
      </c>
      <c r="DG171" s="24">
        <v>-1</v>
      </c>
      <c r="DI171" s="24">
        <v>0</v>
      </c>
      <c r="DJ171" s="24">
        <v>0</v>
      </c>
      <c r="DL171" s="24">
        <v>0</v>
      </c>
      <c r="DM171" s="24">
        <v>0</v>
      </c>
      <c r="DO171" s="24">
        <v>0</v>
      </c>
      <c r="DP171" s="24">
        <v>0</v>
      </c>
      <c r="DQ171" s="24">
        <v>0</v>
      </c>
      <c r="DR171" s="24">
        <v>0</v>
      </c>
      <c r="DS171" s="24">
        <v>0</v>
      </c>
      <c r="DT171" s="24">
        <v>0</v>
      </c>
      <c r="DV171" s="24">
        <v>0</v>
      </c>
      <c r="DW171" s="24">
        <v>0</v>
      </c>
      <c r="DX171" s="24">
        <v>0</v>
      </c>
      <c r="DY171" s="24">
        <v>0</v>
      </c>
      <c r="DZ171" s="24">
        <v>0</v>
      </c>
    </row>
    <row r="172" spans="1:130">
      <c r="A172" s="24" t="s">
        <v>142</v>
      </c>
      <c r="B172" s="24" t="s">
        <v>142</v>
      </c>
      <c r="C172" s="24" t="s">
        <v>142</v>
      </c>
      <c r="D172" s="24" t="s">
        <v>142</v>
      </c>
      <c r="E172" s="24">
        <v>15103</v>
      </c>
      <c r="F172" s="24" t="s">
        <v>428</v>
      </c>
      <c r="G172" s="24">
        <v>0</v>
      </c>
      <c r="H172" s="24">
        <v>515103</v>
      </c>
      <c r="I172" s="24" t="s">
        <v>428</v>
      </c>
      <c r="J172" s="24" t="s">
        <v>428</v>
      </c>
      <c r="K172" s="24" t="s">
        <v>473</v>
      </c>
      <c r="M172" s="24">
        <v>102</v>
      </c>
      <c r="N172" s="24">
        <v>0</v>
      </c>
      <c r="P172" s="25">
        <v>2</v>
      </c>
      <c r="Q172" s="25">
        <v>655360</v>
      </c>
      <c r="R172" s="24">
        <v>15102</v>
      </c>
      <c r="S172" s="25">
        <v>0</v>
      </c>
      <c r="T172" s="24"/>
      <c r="U172" s="24">
        <v>0</v>
      </c>
      <c r="V172" s="25">
        <v>0</v>
      </c>
      <c r="W172" s="24">
        <v>0</v>
      </c>
      <c r="X172" s="24">
        <v>0</v>
      </c>
      <c r="Y172" s="24">
        <v>0</v>
      </c>
      <c r="Z172" s="24">
        <v>0</v>
      </c>
      <c r="AB172" s="24">
        <v>10001</v>
      </c>
      <c r="AC172" s="24">
        <v>-1</v>
      </c>
      <c r="AD172" s="24">
        <v>-1</v>
      </c>
      <c r="AE172" s="24">
        <v>-1</v>
      </c>
      <c r="AG172" s="24">
        <v>1</v>
      </c>
      <c r="AH172" s="24">
        <v>0</v>
      </c>
      <c r="AI172" s="24">
        <v>0</v>
      </c>
      <c r="AJ172" s="24">
        <v>0</v>
      </c>
      <c r="AK172" s="24">
        <v>0</v>
      </c>
      <c r="AL172" s="24">
        <v>0</v>
      </c>
      <c r="AM172" s="24">
        <v>0</v>
      </c>
      <c r="AN172" s="24">
        <v>0</v>
      </c>
      <c r="AO172" s="24">
        <v>0</v>
      </c>
      <c r="AP172" s="24">
        <v>0</v>
      </c>
      <c r="AQ172" s="24">
        <v>0</v>
      </c>
      <c r="AR172" s="24">
        <v>0</v>
      </c>
      <c r="AS172" s="24">
        <v>0</v>
      </c>
      <c r="AT172" s="24">
        <v>0</v>
      </c>
      <c r="AU172" s="24">
        <v>0</v>
      </c>
      <c r="AV172" s="24">
        <v>0</v>
      </c>
      <c r="AW172" s="24">
        <v>0</v>
      </c>
      <c r="AX172" s="24">
        <v>0</v>
      </c>
      <c r="AY172" s="24">
        <v>0</v>
      </c>
      <c r="BA172" s="24">
        <v>0</v>
      </c>
      <c r="BB172" s="24">
        <v>500</v>
      </c>
      <c r="BC172" s="24">
        <v>800</v>
      </c>
      <c r="BD172" s="24">
        <v>0</v>
      </c>
      <c r="BE172" s="24">
        <v>500</v>
      </c>
      <c r="BF172" s="24">
        <v>1</v>
      </c>
      <c r="BG172" s="25">
        <v>17</v>
      </c>
      <c r="BH172" s="24">
        <v>1</v>
      </c>
      <c r="BI172" s="24">
        <v>0</v>
      </c>
      <c r="BJ172" s="24">
        <v>0</v>
      </c>
      <c r="BK172" s="24">
        <v>0</v>
      </c>
      <c r="BL172" s="25">
        <v>126</v>
      </c>
      <c r="BM172" s="24">
        <v>0</v>
      </c>
      <c r="BO172" s="25">
        <v>16</v>
      </c>
      <c r="BP172" s="24">
        <v>3</v>
      </c>
      <c r="BQ172" s="24">
        <v>0</v>
      </c>
      <c r="BR172" s="24">
        <v>5</v>
      </c>
      <c r="BS172" s="24">
        <v>1</v>
      </c>
      <c r="BT172" s="24">
        <v>30</v>
      </c>
      <c r="BU172" s="24">
        <v>10</v>
      </c>
      <c r="BV172" s="24">
        <v>6</v>
      </c>
      <c r="BW172" s="24">
        <v>0</v>
      </c>
      <c r="BX172" s="24">
        <v>4</v>
      </c>
      <c r="BZ172" s="24">
        <v>-1</v>
      </c>
      <c r="CA172" s="24">
        <v>0</v>
      </c>
      <c r="CB172" s="24">
        <v>0</v>
      </c>
      <c r="CC172" s="24">
        <v>0</v>
      </c>
      <c r="CD172" s="24">
        <v>0</v>
      </c>
      <c r="CE172" s="24">
        <v>0</v>
      </c>
      <c r="CG172" s="24">
        <v>0</v>
      </c>
      <c r="CH172" s="24">
        <v>0</v>
      </c>
      <c r="CI172" s="24">
        <v>0</v>
      </c>
      <c r="CJ172" s="24">
        <v>0</v>
      </c>
      <c r="CK172" s="24">
        <v>1</v>
      </c>
      <c r="CL172" s="24">
        <v>0.5</v>
      </c>
      <c r="CM172" s="24">
        <v>0</v>
      </c>
      <c r="CN172" s="24">
        <v>500</v>
      </c>
      <c r="CO172" s="24">
        <v>500</v>
      </c>
      <c r="CQ172" s="24">
        <v>0.15531</v>
      </c>
      <c r="CR172" s="24">
        <v>0</v>
      </c>
      <c r="CS172" s="24">
        <v>0</v>
      </c>
      <c r="CT172" s="24">
        <v>0</v>
      </c>
      <c r="CV172" s="24">
        <v>110202</v>
      </c>
      <c r="CW172" s="24">
        <v>3</v>
      </c>
      <c r="CX172" s="24">
        <v>102002</v>
      </c>
      <c r="CY172" s="26">
        <v>1</v>
      </c>
      <c r="CZ172" s="24">
        <v>1</v>
      </c>
      <c r="DA172" s="24">
        <v>0</v>
      </c>
      <c r="DC172" s="24">
        <v>1</v>
      </c>
      <c r="DD172" s="24">
        <v>1</v>
      </c>
      <c r="DE172" s="24">
        <v>0</v>
      </c>
      <c r="DF172" s="24">
        <v>0</v>
      </c>
      <c r="DG172" s="24">
        <v>-1</v>
      </c>
      <c r="DI172" s="24">
        <v>0</v>
      </c>
      <c r="DJ172" s="24">
        <v>0</v>
      </c>
      <c r="DL172" s="24">
        <v>0</v>
      </c>
      <c r="DM172" s="24">
        <v>0</v>
      </c>
      <c r="DO172" s="24">
        <v>0</v>
      </c>
      <c r="DP172" s="24">
        <v>0</v>
      </c>
      <c r="DQ172" s="24">
        <v>0</v>
      </c>
      <c r="DR172" s="24">
        <v>0</v>
      </c>
      <c r="DS172" s="24">
        <v>0</v>
      </c>
      <c r="DT172" s="24">
        <v>0</v>
      </c>
      <c r="DV172" s="24">
        <v>0</v>
      </c>
      <c r="DW172" s="24">
        <v>0</v>
      </c>
      <c r="DX172" s="24">
        <v>0</v>
      </c>
      <c r="DY172" s="24">
        <v>0</v>
      </c>
      <c r="DZ172" s="24">
        <v>0</v>
      </c>
    </row>
    <row r="173" spans="1:130">
      <c r="A173" s="24" t="s">
        <v>142</v>
      </c>
      <c r="B173" s="24" t="s">
        <v>142</v>
      </c>
      <c r="C173" s="24" t="s">
        <v>142</v>
      </c>
      <c r="D173" s="24" t="s">
        <v>142</v>
      </c>
      <c r="E173" s="24">
        <v>15104</v>
      </c>
      <c r="F173" s="24" t="s">
        <v>429</v>
      </c>
      <c r="G173" s="24">
        <v>0</v>
      </c>
      <c r="H173" s="24">
        <v>515104</v>
      </c>
      <c r="I173" s="24" t="s">
        <v>429</v>
      </c>
      <c r="J173" s="24" t="s">
        <v>429</v>
      </c>
      <c r="K173" s="24" t="s">
        <v>648</v>
      </c>
      <c r="M173" s="24">
        <v>102</v>
      </c>
      <c r="N173" s="24">
        <v>0</v>
      </c>
      <c r="P173" s="25">
        <v>2</v>
      </c>
      <c r="Q173" s="25">
        <v>655616</v>
      </c>
      <c r="R173" s="24">
        <v>0</v>
      </c>
      <c r="S173" s="25">
        <v>0</v>
      </c>
      <c r="T173" s="24"/>
      <c r="U173" s="24">
        <v>0</v>
      </c>
      <c r="V173" s="25">
        <v>0</v>
      </c>
      <c r="W173" s="24">
        <v>0</v>
      </c>
      <c r="X173" s="24">
        <v>0</v>
      </c>
      <c r="Y173" s="24">
        <v>0</v>
      </c>
      <c r="Z173" s="24">
        <v>0</v>
      </c>
      <c r="AB173" s="24">
        <v>10001</v>
      </c>
      <c r="AC173" s="24">
        <v>-1</v>
      </c>
      <c r="AD173" s="24">
        <v>-1</v>
      </c>
      <c r="AE173" s="24">
        <v>-1</v>
      </c>
      <c r="AG173" s="24">
        <v>1</v>
      </c>
      <c r="AH173" s="24">
        <v>0</v>
      </c>
      <c r="AI173" s="24">
        <v>0</v>
      </c>
      <c r="AJ173" s="24">
        <v>0</v>
      </c>
      <c r="AK173" s="24">
        <v>0</v>
      </c>
      <c r="AL173" s="24">
        <v>1</v>
      </c>
      <c r="AM173" s="24">
        <v>0</v>
      </c>
      <c r="AN173" s="24">
        <v>0</v>
      </c>
      <c r="AO173" s="24">
        <v>0</v>
      </c>
      <c r="AP173" s="24">
        <v>1000</v>
      </c>
      <c r="AQ173" s="24">
        <v>8</v>
      </c>
      <c r="AR173" s="24">
        <v>0</v>
      </c>
      <c r="AS173" s="24">
        <v>0</v>
      </c>
      <c r="AT173" s="24">
        <v>0</v>
      </c>
      <c r="AU173" s="24">
        <v>0</v>
      </c>
      <c r="AV173" s="24">
        <v>0</v>
      </c>
      <c r="AW173" s="24">
        <v>0</v>
      </c>
      <c r="AX173" s="24">
        <v>0</v>
      </c>
      <c r="AY173" s="24">
        <v>0</v>
      </c>
      <c r="BA173" s="24">
        <v>0</v>
      </c>
      <c r="BB173" s="24">
        <v>500</v>
      </c>
      <c r="BC173" s="24">
        <v>933</v>
      </c>
      <c r="BD173" s="24">
        <v>0</v>
      </c>
      <c r="BE173" s="24">
        <v>200</v>
      </c>
      <c r="BF173" s="24">
        <v>1</v>
      </c>
      <c r="BG173" s="25">
        <v>17</v>
      </c>
      <c r="BH173" s="24">
        <v>1</v>
      </c>
      <c r="BI173" s="24">
        <v>0</v>
      </c>
      <c r="BJ173" s="24">
        <v>0</v>
      </c>
      <c r="BK173" s="24">
        <v>0</v>
      </c>
      <c r="BL173" s="25">
        <v>126</v>
      </c>
      <c r="BM173" s="24">
        <v>0</v>
      </c>
      <c r="BO173" s="25">
        <v>16</v>
      </c>
      <c r="BP173" s="24">
        <v>8</v>
      </c>
      <c r="BQ173" s="24">
        <v>0</v>
      </c>
      <c r="BR173" s="24">
        <v>5</v>
      </c>
      <c r="BS173" s="24">
        <v>1</v>
      </c>
      <c r="BT173" s="24">
        <v>60</v>
      </c>
      <c r="BU173" s="24">
        <v>20</v>
      </c>
      <c r="BV173" s="24">
        <v>6</v>
      </c>
      <c r="BW173" s="24">
        <v>0</v>
      </c>
      <c r="BX173" s="24">
        <v>1</v>
      </c>
      <c r="BZ173" s="24">
        <v>15104</v>
      </c>
      <c r="CA173" s="24">
        <v>0</v>
      </c>
      <c r="CB173" s="24">
        <v>0</v>
      </c>
      <c r="CC173" s="24">
        <v>0</v>
      </c>
      <c r="CD173" s="24">
        <v>0</v>
      </c>
      <c r="CE173" s="24">
        <v>0</v>
      </c>
      <c r="CG173" s="24">
        <v>0</v>
      </c>
      <c r="CH173" s="24">
        <v>0</v>
      </c>
      <c r="CI173" s="24">
        <v>0</v>
      </c>
      <c r="CJ173" s="24">
        <v>0</v>
      </c>
      <c r="CK173" s="24">
        <v>0</v>
      </c>
      <c r="CL173" s="24">
        <v>0</v>
      </c>
      <c r="CM173" s="24">
        <v>0</v>
      </c>
      <c r="CN173" s="24">
        <v>0</v>
      </c>
      <c r="CO173" s="24">
        <v>0</v>
      </c>
      <c r="CQ173" s="24">
        <v>8</v>
      </c>
      <c r="CR173" s="24">
        <v>0</v>
      </c>
      <c r="CS173" s="24">
        <v>0</v>
      </c>
      <c r="CT173" s="24">
        <v>0</v>
      </c>
      <c r="CV173" s="24">
        <v>110203</v>
      </c>
      <c r="CW173" s="24">
        <v>3</v>
      </c>
      <c r="CX173" s="24">
        <v>101</v>
      </c>
      <c r="CY173" s="26">
        <v>1</v>
      </c>
      <c r="CZ173" s="24">
        <v>2</v>
      </c>
      <c r="DA173" s="24">
        <v>0</v>
      </c>
      <c r="DC173" s="24">
        <v>2</v>
      </c>
      <c r="DD173" s="24">
        <v>1</v>
      </c>
      <c r="DE173" s="24">
        <v>0</v>
      </c>
      <c r="DF173" s="24">
        <v>0</v>
      </c>
      <c r="DG173" s="24">
        <v>-1</v>
      </c>
      <c r="DI173" s="24">
        <v>0</v>
      </c>
      <c r="DJ173" s="24">
        <v>0</v>
      </c>
      <c r="DL173" s="24">
        <v>0</v>
      </c>
      <c r="DM173" s="24">
        <v>0</v>
      </c>
      <c r="DO173" s="24">
        <v>0</v>
      </c>
      <c r="DP173" s="24">
        <v>0</v>
      </c>
      <c r="DQ173" s="24">
        <v>0</v>
      </c>
      <c r="DR173" s="24">
        <v>0</v>
      </c>
      <c r="DS173" s="24">
        <v>0</v>
      </c>
      <c r="DT173" s="24">
        <v>0</v>
      </c>
      <c r="DV173" s="24">
        <v>0</v>
      </c>
      <c r="DW173" s="24">
        <v>0</v>
      </c>
      <c r="DX173" s="24">
        <v>0</v>
      </c>
      <c r="DY173" s="24">
        <v>0</v>
      </c>
      <c r="DZ173" s="24">
        <v>0</v>
      </c>
    </row>
    <row r="174" spans="1:130">
      <c r="A174" s="24" t="s">
        <v>142</v>
      </c>
      <c r="B174" s="24" t="s">
        <v>142</v>
      </c>
      <c r="C174" s="24" t="s">
        <v>142</v>
      </c>
      <c r="D174" s="24" t="s">
        <v>142</v>
      </c>
      <c r="E174" s="24">
        <v>15105</v>
      </c>
      <c r="F174" s="24" t="s">
        <v>430</v>
      </c>
      <c r="G174" s="24">
        <v>0</v>
      </c>
      <c r="H174" s="24">
        <v>515105</v>
      </c>
      <c r="I174" s="24" t="s">
        <v>430</v>
      </c>
      <c r="J174" s="24" t="s">
        <v>430</v>
      </c>
      <c r="K174" s="24" t="s">
        <v>473</v>
      </c>
      <c r="M174" s="24">
        <v>0</v>
      </c>
      <c r="N174" s="24">
        <v>0</v>
      </c>
      <c r="P174" s="25">
        <v>12</v>
      </c>
      <c r="Q174" s="25">
        <v>0</v>
      </c>
      <c r="R174" s="24">
        <v>0</v>
      </c>
      <c r="S174" s="25">
        <v>0</v>
      </c>
      <c r="T174" s="24"/>
      <c r="U174" s="24">
        <v>3</v>
      </c>
      <c r="V174" s="25">
        <v>1026</v>
      </c>
      <c r="W174" s="24">
        <v>0</v>
      </c>
      <c r="X174" s="24">
        <v>15104</v>
      </c>
      <c r="Y174" s="24">
        <v>0</v>
      </c>
      <c r="Z174" s="24">
        <v>1000</v>
      </c>
      <c r="AB174" s="24">
        <v>30001</v>
      </c>
      <c r="AC174" s="24">
        <v>-1</v>
      </c>
      <c r="AD174" s="24">
        <v>-1</v>
      </c>
      <c r="AE174" s="24">
        <v>-1</v>
      </c>
      <c r="AG174" s="24">
        <v>1</v>
      </c>
      <c r="AH174" s="24">
        <v>0</v>
      </c>
      <c r="AI174" s="24">
        <v>0</v>
      </c>
      <c r="AJ174" s="24">
        <v>0</v>
      </c>
      <c r="AK174" s="24">
        <v>0</v>
      </c>
      <c r="AL174" s="24">
        <v>0</v>
      </c>
      <c r="AM174" s="24">
        <v>0</v>
      </c>
      <c r="AN174" s="24">
        <v>0</v>
      </c>
      <c r="AO174" s="24">
        <v>0</v>
      </c>
      <c r="AP174" s="24">
        <v>0</v>
      </c>
      <c r="AQ174" s="24">
        <v>0</v>
      </c>
      <c r="AR174" s="24">
        <v>0</v>
      </c>
      <c r="AS174" s="24">
        <v>0</v>
      </c>
      <c r="AT174" s="24">
        <v>0</v>
      </c>
      <c r="AU174" s="24">
        <v>0</v>
      </c>
      <c r="AV174" s="24">
        <v>0</v>
      </c>
      <c r="AW174" s="24">
        <v>0</v>
      </c>
      <c r="AX174" s="24">
        <v>0</v>
      </c>
      <c r="AY174" s="24">
        <v>0</v>
      </c>
      <c r="BA174" s="24">
        <v>0</v>
      </c>
      <c r="BB174" s="24">
        <v>500</v>
      </c>
      <c r="BC174" s="24">
        <v>933</v>
      </c>
      <c r="BD174" s="24">
        <v>0</v>
      </c>
      <c r="BE174" s="24">
        <v>200</v>
      </c>
      <c r="BF174" s="24">
        <v>1</v>
      </c>
      <c r="BG174" s="25">
        <v>1025</v>
      </c>
      <c r="BH174" s="24">
        <v>4</v>
      </c>
      <c r="BI174" s="24">
        <v>15105</v>
      </c>
      <c r="BJ174" s="24">
        <v>1</v>
      </c>
      <c r="BK174" s="24">
        <v>1</v>
      </c>
      <c r="BL174" s="25">
        <v>126</v>
      </c>
      <c r="BM174" s="24">
        <v>0</v>
      </c>
      <c r="BO174" s="25">
        <v>16</v>
      </c>
      <c r="BP174" s="24">
        <v>0</v>
      </c>
      <c r="BQ174" s="24">
        <v>0</v>
      </c>
      <c r="BR174" s="24">
        <v>5</v>
      </c>
      <c r="BS174" s="24">
        <v>1</v>
      </c>
      <c r="BT174" s="24">
        <v>60</v>
      </c>
      <c r="BU174" s="24">
        <v>20</v>
      </c>
      <c r="BV174" s="24">
        <v>0</v>
      </c>
      <c r="BW174" s="24">
        <v>0</v>
      </c>
      <c r="BX174" s="24">
        <v>1</v>
      </c>
      <c r="BZ174" s="24">
        <v>-1</v>
      </c>
      <c r="CA174" s="24">
        <v>0</v>
      </c>
      <c r="CB174" s="24">
        <v>0</v>
      </c>
      <c r="CC174" s="24">
        <v>0</v>
      </c>
      <c r="CD174" s="24">
        <v>0</v>
      </c>
      <c r="CE174" s="24">
        <v>0</v>
      </c>
      <c r="CG174" s="24">
        <v>0</v>
      </c>
      <c r="CH174" s="24">
        <v>0</v>
      </c>
      <c r="CI174" s="24">
        <v>0</v>
      </c>
      <c r="CJ174" s="24">
        <v>0</v>
      </c>
      <c r="CK174" s="24">
        <v>0</v>
      </c>
      <c r="CL174" s="24">
        <v>0</v>
      </c>
      <c r="CM174" s="24">
        <v>0</v>
      </c>
      <c r="CN174" s="24">
        <v>0</v>
      </c>
      <c r="CO174" s="24">
        <v>0</v>
      </c>
      <c r="CQ174" s="24">
        <v>0</v>
      </c>
      <c r="CR174" s="24">
        <v>0</v>
      </c>
      <c r="CS174" s="24">
        <v>0</v>
      </c>
      <c r="CT174" s="24">
        <v>0</v>
      </c>
      <c r="CV174" s="24">
        <v>0</v>
      </c>
      <c r="CW174" s="24">
        <v>0</v>
      </c>
      <c r="CX174" s="24">
        <v>-1</v>
      </c>
      <c r="CY174" s="26">
        <v>0</v>
      </c>
      <c r="CZ174" s="24">
        <v>0</v>
      </c>
      <c r="DA174" s="24">
        <v>0</v>
      </c>
      <c r="DC174" s="24">
        <v>1</v>
      </c>
      <c r="DD174" s="24">
        <v>1</v>
      </c>
      <c r="DE174" s="24">
        <v>0</v>
      </c>
      <c r="DF174" s="24">
        <v>0</v>
      </c>
      <c r="DG174" s="24">
        <v>-1</v>
      </c>
      <c r="DI174" s="24">
        <v>0</v>
      </c>
      <c r="DJ174" s="24">
        <v>0</v>
      </c>
      <c r="DL174" s="24">
        <v>0</v>
      </c>
      <c r="DM174" s="24">
        <v>0</v>
      </c>
      <c r="DO174" s="24">
        <v>0</v>
      </c>
      <c r="DP174" s="24">
        <v>0</v>
      </c>
      <c r="DQ174" s="24">
        <v>0</v>
      </c>
      <c r="DR174" s="24">
        <v>0</v>
      </c>
      <c r="DS174" s="24">
        <v>0</v>
      </c>
      <c r="DT174" s="24">
        <v>0</v>
      </c>
      <c r="DV174" s="24">
        <v>0</v>
      </c>
      <c r="DW174" s="24">
        <v>0</v>
      </c>
      <c r="DX174" s="24">
        <v>0</v>
      </c>
      <c r="DY174" s="24">
        <v>0</v>
      </c>
      <c r="DZ174" s="24">
        <v>0</v>
      </c>
    </row>
    <row r="175" spans="1:130">
      <c r="A175" s="24" t="s">
        <v>142</v>
      </c>
      <c r="B175" s="24" t="s">
        <v>142</v>
      </c>
      <c r="C175" s="24" t="s">
        <v>142</v>
      </c>
      <c r="D175" s="24" t="s">
        <v>142</v>
      </c>
      <c r="E175" s="24">
        <v>15106</v>
      </c>
      <c r="F175" s="24" t="s">
        <v>482</v>
      </c>
      <c r="G175" s="24">
        <v>0</v>
      </c>
      <c r="H175" s="24">
        <v>515106</v>
      </c>
      <c r="I175" s="24" t="s">
        <v>482</v>
      </c>
      <c r="J175" s="24" t="s">
        <v>482</v>
      </c>
      <c r="K175" s="24" t="s">
        <v>649</v>
      </c>
      <c r="M175" s="24">
        <v>102</v>
      </c>
      <c r="N175" s="24">
        <v>0</v>
      </c>
      <c r="P175" s="25">
        <v>2</v>
      </c>
      <c r="Q175" s="25">
        <v>524544</v>
      </c>
      <c r="R175" s="24">
        <v>0</v>
      </c>
      <c r="S175" s="25">
        <v>2</v>
      </c>
      <c r="T175" s="24"/>
      <c r="U175" s="24">
        <v>0</v>
      </c>
      <c r="V175" s="25">
        <v>0</v>
      </c>
      <c r="W175" s="24">
        <v>0</v>
      </c>
      <c r="X175" s="24">
        <v>0</v>
      </c>
      <c r="Y175" s="24">
        <v>0</v>
      </c>
      <c r="Z175" s="24">
        <v>0</v>
      </c>
      <c r="AB175" s="24">
        <v>10001</v>
      </c>
      <c r="AC175" s="24">
        <v>-1</v>
      </c>
      <c r="AD175" s="24">
        <v>-1</v>
      </c>
      <c r="AE175" s="24">
        <v>-1</v>
      </c>
      <c r="AG175" s="24">
        <v>1</v>
      </c>
      <c r="AH175" s="24">
        <v>0</v>
      </c>
      <c r="AI175" s="24">
        <v>0</v>
      </c>
      <c r="AJ175" s="24">
        <v>0</v>
      </c>
      <c r="AK175" s="24">
        <v>0</v>
      </c>
      <c r="AL175" s="24">
        <v>0</v>
      </c>
      <c r="AM175" s="24">
        <v>0</v>
      </c>
      <c r="AN175" s="24">
        <v>0</v>
      </c>
      <c r="AO175" s="24">
        <v>0</v>
      </c>
      <c r="AP175" s="24">
        <v>0</v>
      </c>
      <c r="AQ175" s="24">
        <v>0</v>
      </c>
      <c r="AR175" s="24">
        <v>0</v>
      </c>
      <c r="AS175" s="24">
        <v>0</v>
      </c>
      <c r="AT175" s="24">
        <v>0</v>
      </c>
      <c r="AU175" s="24">
        <v>0</v>
      </c>
      <c r="AV175" s="24">
        <v>0</v>
      </c>
      <c r="AW175" s="24">
        <v>0</v>
      </c>
      <c r="AX175" s="24">
        <v>0</v>
      </c>
      <c r="AY175" s="24">
        <v>0</v>
      </c>
      <c r="BA175" s="24">
        <v>0</v>
      </c>
      <c r="BB175" s="24">
        <v>500</v>
      </c>
      <c r="BC175" s="24">
        <v>667</v>
      </c>
      <c r="BD175" s="24">
        <v>0</v>
      </c>
      <c r="BE175" s="24">
        <v>400</v>
      </c>
      <c r="BF175" s="24">
        <v>1</v>
      </c>
      <c r="BG175" s="25">
        <v>17</v>
      </c>
      <c r="BH175" s="24">
        <v>1</v>
      </c>
      <c r="BI175" s="24">
        <v>0</v>
      </c>
      <c r="BJ175" s="24">
        <v>0</v>
      </c>
      <c r="BK175" s="24">
        <v>0</v>
      </c>
      <c r="BL175" s="25">
        <v>126</v>
      </c>
      <c r="BM175" s="24">
        <v>0</v>
      </c>
      <c r="BO175" s="25">
        <v>1</v>
      </c>
      <c r="BP175" s="24">
        <v>20</v>
      </c>
      <c r="BQ175" s="24">
        <v>0</v>
      </c>
      <c r="BR175" s="24">
        <v>2</v>
      </c>
      <c r="BS175" s="24">
        <v>50</v>
      </c>
      <c r="BT175" s="24">
        <v>0</v>
      </c>
      <c r="BU175" s="24">
        <v>0</v>
      </c>
      <c r="BV175" s="24">
        <v>6</v>
      </c>
      <c r="BW175" s="24">
        <v>0</v>
      </c>
      <c r="BX175" s="24">
        <v>4</v>
      </c>
      <c r="BZ175" s="24">
        <v>15106</v>
      </c>
      <c r="CA175" s="24">
        <v>0</v>
      </c>
      <c r="CB175" s="24">
        <v>0</v>
      </c>
      <c r="CC175" s="24">
        <v>0</v>
      </c>
      <c r="CD175" s="24">
        <v>0</v>
      </c>
      <c r="CE175" s="24">
        <v>0</v>
      </c>
      <c r="CG175" s="24">
        <v>-1</v>
      </c>
      <c r="CH175" s="24">
        <v>0</v>
      </c>
      <c r="CI175" s="24">
        <v>0</v>
      </c>
      <c r="CJ175" s="24">
        <v>0</v>
      </c>
      <c r="CK175" s="24">
        <v>0</v>
      </c>
      <c r="CL175" s="24">
        <v>0</v>
      </c>
      <c r="CM175" s="24">
        <v>0</v>
      </c>
      <c r="CN175" s="24">
        <v>0</v>
      </c>
      <c r="CO175" s="24">
        <v>0</v>
      </c>
      <c r="CQ175" s="24">
        <v>0</v>
      </c>
      <c r="CR175" s="24">
        <v>0</v>
      </c>
      <c r="CS175" s="24">
        <v>0</v>
      </c>
      <c r="CT175" s="24">
        <v>0</v>
      </c>
      <c r="CV175" s="24">
        <v>110205</v>
      </c>
      <c r="CW175" s="24">
        <v>0</v>
      </c>
      <c r="CX175" s="24">
        <v>102003</v>
      </c>
      <c r="CY175" s="26">
        <v>1</v>
      </c>
      <c r="CZ175" s="24">
        <v>2</v>
      </c>
      <c r="DA175" s="24">
        <v>0</v>
      </c>
      <c r="DC175" s="24">
        <v>1</v>
      </c>
      <c r="DD175" s="24">
        <v>1</v>
      </c>
      <c r="DE175" s="24">
        <v>0</v>
      </c>
      <c r="DF175" s="24">
        <v>0</v>
      </c>
      <c r="DG175" s="24">
        <v>-1</v>
      </c>
      <c r="DI175" s="24">
        <v>0</v>
      </c>
      <c r="DJ175" s="24">
        <v>0</v>
      </c>
      <c r="DL175" s="24">
        <v>0</v>
      </c>
      <c r="DM175" s="24">
        <v>0</v>
      </c>
      <c r="DO175" s="24">
        <v>0</v>
      </c>
      <c r="DP175" s="24">
        <v>0</v>
      </c>
      <c r="DQ175" s="24">
        <v>0</v>
      </c>
      <c r="DR175" s="24">
        <v>0</v>
      </c>
      <c r="DS175" s="24">
        <v>0</v>
      </c>
      <c r="DT175" s="24">
        <v>0</v>
      </c>
      <c r="DV175" s="24">
        <v>0</v>
      </c>
      <c r="DW175" s="24">
        <v>0</v>
      </c>
      <c r="DX175" s="24">
        <v>0</v>
      </c>
      <c r="DY175" s="24">
        <v>0</v>
      </c>
      <c r="DZ175" s="24">
        <v>0</v>
      </c>
    </row>
    <row r="176" spans="1:130">
      <c r="A176" s="24" t="s">
        <v>142</v>
      </c>
      <c r="B176" s="24" t="s">
        <v>142</v>
      </c>
      <c r="C176" s="24" t="s">
        <v>142</v>
      </c>
      <c r="D176" s="24" t="s">
        <v>142</v>
      </c>
      <c r="E176" s="24">
        <v>15109</v>
      </c>
      <c r="F176" s="24" t="s">
        <v>431</v>
      </c>
      <c r="G176" s="24">
        <v>0</v>
      </c>
      <c r="H176" s="24">
        <v>515109</v>
      </c>
      <c r="I176" s="24" t="s">
        <v>431</v>
      </c>
      <c r="J176" s="24" t="s">
        <v>431</v>
      </c>
      <c r="K176" s="24" t="s">
        <v>473</v>
      </c>
      <c r="M176" s="24">
        <v>102</v>
      </c>
      <c r="N176" s="24">
        <v>0</v>
      </c>
      <c r="P176" s="25">
        <v>12</v>
      </c>
      <c r="Q176" s="25">
        <v>0</v>
      </c>
      <c r="R176" s="24">
        <v>0</v>
      </c>
      <c r="S176" s="27">
        <v>0</v>
      </c>
      <c r="U176" s="24">
        <v>3</v>
      </c>
      <c r="V176" s="25">
        <v>2</v>
      </c>
      <c r="W176" s="24">
        <v>0</v>
      </c>
      <c r="X176" s="24">
        <v>15106</v>
      </c>
      <c r="Y176" s="24">
        <v>0</v>
      </c>
      <c r="Z176" s="24">
        <v>1000</v>
      </c>
      <c r="AB176" s="24">
        <v>30001</v>
      </c>
      <c r="AC176" s="24">
        <v>-1</v>
      </c>
      <c r="AD176" s="24">
        <v>-1</v>
      </c>
      <c r="AE176" s="24">
        <v>-1</v>
      </c>
      <c r="AG176" s="24">
        <v>1</v>
      </c>
      <c r="AH176" s="24">
        <v>0</v>
      </c>
      <c r="AI176" s="24">
        <v>0</v>
      </c>
      <c r="AJ176" s="24">
        <v>0</v>
      </c>
      <c r="AK176" s="24">
        <v>0</v>
      </c>
      <c r="AL176" s="24">
        <v>0</v>
      </c>
      <c r="AM176" s="24">
        <v>0</v>
      </c>
      <c r="AN176" s="24">
        <v>0</v>
      </c>
      <c r="AO176" s="24">
        <v>0</v>
      </c>
      <c r="AP176" s="24">
        <v>0</v>
      </c>
      <c r="AQ176" s="24">
        <v>0</v>
      </c>
      <c r="AR176" s="24">
        <v>0</v>
      </c>
      <c r="AS176" s="24">
        <v>0</v>
      </c>
      <c r="AT176" s="24">
        <v>0</v>
      </c>
      <c r="AU176" s="24">
        <v>0</v>
      </c>
      <c r="AV176" s="24">
        <v>0</v>
      </c>
      <c r="AW176" s="24">
        <v>0</v>
      </c>
      <c r="AX176" s="24">
        <v>0</v>
      </c>
      <c r="AY176" s="24">
        <v>0</v>
      </c>
      <c r="BA176" s="24">
        <v>0</v>
      </c>
      <c r="BB176" s="24">
        <v>500</v>
      </c>
      <c r="BC176" s="24">
        <v>667</v>
      </c>
      <c r="BD176" s="24">
        <v>0</v>
      </c>
      <c r="BE176" s="24">
        <v>400</v>
      </c>
      <c r="BF176" s="24">
        <v>1</v>
      </c>
      <c r="BG176" s="25">
        <v>1024</v>
      </c>
      <c r="BH176" s="24">
        <v>4</v>
      </c>
      <c r="BI176" s="24">
        <v>15106</v>
      </c>
      <c r="BJ176" s="24">
        <v>1</v>
      </c>
      <c r="BK176" s="24">
        <v>1</v>
      </c>
      <c r="BL176" s="25">
        <v>126</v>
      </c>
      <c r="BM176" s="24">
        <v>0</v>
      </c>
      <c r="BO176" s="25">
        <v>1</v>
      </c>
      <c r="BP176" s="24">
        <v>0</v>
      </c>
      <c r="BQ176" s="24">
        <v>0</v>
      </c>
      <c r="BR176" s="24">
        <v>2</v>
      </c>
      <c r="BS176" s="24">
        <v>50</v>
      </c>
      <c r="BT176" s="24">
        <v>0</v>
      </c>
      <c r="BU176" s="24">
        <v>0</v>
      </c>
      <c r="BV176" s="24">
        <v>6</v>
      </c>
      <c r="BW176" s="24">
        <v>0</v>
      </c>
      <c r="BX176" s="24">
        <v>4</v>
      </c>
      <c r="BZ176" s="24">
        <v>-1</v>
      </c>
      <c r="CA176" s="24">
        <v>0</v>
      </c>
      <c r="CB176" s="24">
        <v>0</v>
      </c>
      <c r="CC176" s="24">
        <v>0</v>
      </c>
      <c r="CD176" s="24">
        <v>0</v>
      </c>
      <c r="CE176" s="24">
        <v>0</v>
      </c>
      <c r="CG176" s="24">
        <v>-1</v>
      </c>
      <c r="CH176" s="24">
        <v>0</v>
      </c>
      <c r="CI176" s="24">
        <v>0</v>
      </c>
      <c r="CJ176" s="24">
        <v>0</v>
      </c>
      <c r="CK176" s="24">
        <v>0</v>
      </c>
      <c r="CL176" s="24">
        <v>0</v>
      </c>
      <c r="CM176" s="24">
        <v>0</v>
      </c>
      <c r="CN176" s="24">
        <v>0</v>
      </c>
      <c r="CO176" s="24">
        <v>0</v>
      </c>
      <c r="CQ176" s="24">
        <v>0</v>
      </c>
      <c r="CR176" s="24">
        <v>0</v>
      </c>
      <c r="CS176" s="24">
        <v>0</v>
      </c>
      <c r="CT176" s="24">
        <v>0</v>
      </c>
      <c r="CV176" s="24">
        <v>0</v>
      </c>
      <c r="CW176" s="24">
        <v>0</v>
      </c>
      <c r="CX176" s="24">
        <v>-1</v>
      </c>
      <c r="CY176" s="26">
        <v>0</v>
      </c>
      <c r="CZ176" s="24">
        <v>0</v>
      </c>
      <c r="DA176" s="24">
        <v>0</v>
      </c>
      <c r="DC176" s="24">
        <v>1</v>
      </c>
      <c r="DD176" s="24">
        <v>1</v>
      </c>
      <c r="DE176" s="24">
        <v>0</v>
      </c>
      <c r="DF176" s="24">
        <v>0</v>
      </c>
      <c r="DG176" s="24">
        <v>-1</v>
      </c>
      <c r="DI176" s="24">
        <v>0</v>
      </c>
      <c r="DJ176" s="24">
        <v>0</v>
      </c>
      <c r="DL176" s="24">
        <v>0</v>
      </c>
      <c r="DM176" s="24">
        <v>0</v>
      </c>
      <c r="DO176" s="24">
        <v>0</v>
      </c>
      <c r="DP176" s="24">
        <v>0</v>
      </c>
      <c r="DQ176" s="24">
        <v>0</v>
      </c>
      <c r="DR176" s="24">
        <v>0</v>
      </c>
      <c r="DS176" s="24">
        <v>0</v>
      </c>
      <c r="DT176" s="24">
        <v>0</v>
      </c>
      <c r="DV176" s="24">
        <v>0</v>
      </c>
      <c r="DW176" s="24">
        <v>0</v>
      </c>
      <c r="DX176" s="24">
        <v>0</v>
      </c>
      <c r="DY176" s="24">
        <v>0</v>
      </c>
      <c r="DZ176" s="24">
        <v>0</v>
      </c>
    </row>
    <row r="177" spans="1:130">
      <c r="A177" s="24" t="s">
        <v>142</v>
      </c>
      <c r="B177" s="24" t="s">
        <v>142</v>
      </c>
      <c r="C177" s="24" t="s">
        <v>142</v>
      </c>
      <c r="D177" s="24" t="s">
        <v>142</v>
      </c>
      <c r="E177" s="24">
        <v>15107</v>
      </c>
      <c r="F177" s="24" t="s">
        <v>432</v>
      </c>
      <c r="G177" s="24">
        <v>0</v>
      </c>
      <c r="H177" s="24">
        <v>515107</v>
      </c>
      <c r="I177" s="24" t="s">
        <v>432</v>
      </c>
      <c r="J177" s="24" t="s">
        <v>432</v>
      </c>
      <c r="K177" s="24" t="s">
        <v>650</v>
      </c>
      <c r="M177" s="24">
        <v>102</v>
      </c>
      <c r="N177" s="24">
        <v>0</v>
      </c>
      <c r="P177" s="25">
        <v>2</v>
      </c>
      <c r="Q177" s="25">
        <v>2097408</v>
      </c>
      <c r="R177" s="24">
        <v>0</v>
      </c>
      <c r="S177" s="25">
        <v>0</v>
      </c>
      <c r="T177" s="24"/>
      <c r="U177" s="24">
        <v>0</v>
      </c>
      <c r="V177" s="25">
        <v>0</v>
      </c>
      <c r="W177" s="24">
        <v>0</v>
      </c>
      <c r="X177" s="24">
        <v>0</v>
      </c>
      <c r="Y177" s="24">
        <v>0</v>
      </c>
      <c r="Z177" s="24">
        <v>0</v>
      </c>
      <c r="AB177" s="24">
        <v>10001</v>
      </c>
      <c r="AC177" s="24">
        <v>-1</v>
      </c>
      <c r="AD177" s="24">
        <v>-1</v>
      </c>
      <c r="AE177" s="24">
        <v>-1</v>
      </c>
      <c r="AG177" s="24">
        <v>1</v>
      </c>
      <c r="AH177" s="24">
        <v>0</v>
      </c>
      <c r="AI177" s="24">
        <v>0</v>
      </c>
      <c r="AJ177" s="24">
        <v>0</v>
      </c>
      <c r="AK177" s="24">
        <v>0</v>
      </c>
      <c r="AL177" s="24">
        <v>0</v>
      </c>
      <c r="AM177" s="24">
        <v>0</v>
      </c>
      <c r="AN177" s="24">
        <v>0</v>
      </c>
      <c r="AO177" s="24">
        <v>0</v>
      </c>
      <c r="AP177" s="24">
        <v>0</v>
      </c>
      <c r="AQ177" s="24">
        <v>0</v>
      </c>
      <c r="AR177" s="24">
        <v>0</v>
      </c>
      <c r="AS177" s="24">
        <v>0</v>
      </c>
      <c r="AT177" s="24">
        <v>0</v>
      </c>
      <c r="AU177" s="24">
        <v>0</v>
      </c>
      <c r="AV177" s="24">
        <v>0</v>
      </c>
      <c r="AW177" s="24">
        <v>0</v>
      </c>
      <c r="AX177" s="24">
        <v>0</v>
      </c>
      <c r="AY177" s="24">
        <v>0</v>
      </c>
      <c r="BA177" s="24">
        <v>0</v>
      </c>
      <c r="BB177" s="24">
        <v>3400</v>
      </c>
      <c r="BC177" s="24">
        <v>3500</v>
      </c>
      <c r="BD177" s="24">
        <v>0</v>
      </c>
      <c r="BE177" s="24">
        <v>1600</v>
      </c>
      <c r="BF177" s="24">
        <v>1</v>
      </c>
      <c r="BG177" s="25">
        <v>512</v>
      </c>
      <c r="BH177" s="24">
        <v>3</v>
      </c>
      <c r="BI177" s="24">
        <v>0</v>
      </c>
      <c r="BJ177" s="24">
        <v>0</v>
      </c>
      <c r="BK177" s="24">
        <v>0</v>
      </c>
      <c r="BL177" s="25">
        <v>126</v>
      </c>
      <c r="BM177" s="24">
        <v>0</v>
      </c>
      <c r="BO177" s="25">
        <v>1</v>
      </c>
      <c r="BP177" s="24">
        <v>0</v>
      </c>
      <c r="BQ177" s="24">
        <v>0</v>
      </c>
      <c r="BR177" s="24">
        <v>1</v>
      </c>
      <c r="BS177" s="24">
        <v>0</v>
      </c>
      <c r="BT177" s="24">
        <v>0</v>
      </c>
      <c r="BU177" s="24">
        <v>0</v>
      </c>
      <c r="BV177" s="24">
        <v>0</v>
      </c>
      <c r="BW177" s="24">
        <v>0</v>
      </c>
      <c r="BX177" s="24">
        <v>0</v>
      </c>
      <c r="BZ177" s="24">
        <v>15107</v>
      </c>
      <c r="CA177" s="24">
        <v>0</v>
      </c>
      <c r="CB177" s="24">
        <v>0</v>
      </c>
      <c r="CC177" s="24">
        <v>0</v>
      </c>
      <c r="CD177" s="24">
        <v>0</v>
      </c>
      <c r="CE177" s="24">
        <v>0</v>
      </c>
      <c r="CG177" s="24">
        <v>-1</v>
      </c>
      <c r="CH177" s="24">
        <v>0</v>
      </c>
      <c r="CI177" s="24">
        <v>0</v>
      </c>
      <c r="CJ177" s="24">
        <v>0</v>
      </c>
      <c r="CK177" s="24">
        <v>0</v>
      </c>
      <c r="CL177" s="24">
        <v>0</v>
      </c>
      <c r="CM177" s="24">
        <v>0</v>
      </c>
      <c r="CN177" s="24">
        <v>0</v>
      </c>
      <c r="CO177" s="24">
        <v>0</v>
      </c>
      <c r="CQ177" s="24">
        <v>0</v>
      </c>
      <c r="CR177" s="24">
        <v>0</v>
      </c>
      <c r="CS177" s="24">
        <v>0</v>
      </c>
      <c r="CT177" s="24">
        <v>0</v>
      </c>
      <c r="CV177" s="24">
        <v>110206</v>
      </c>
      <c r="CW177" s="24">
        <v>14</v>
      </c>
      <c r="CX177" s="24">
        <v>-1</v>
      </c>
      <c r="CY177" s="26">
        <v>0</v>
      </c>
      <c r="CZ177" s="24">
        <v>10</v>
      </c>
      <c r="DA177" s="24">
        <v>0</v>
      </c>
      <c r="DC177" s="24">
        <v>1</v>
      </c>
      <c r="DD177" s="24">
        <v>1</v>
      </c>
      <c r="DE177" s="24">
        <v>0</v>
      </c>
      <c r="DF177" s="24">
        <v>0</v>
      </c>
      <c r="DG177" s="24">
        <v>-1</v>
      </c>
      <c r="DI177" s="24">
        <v>0</v>
      </c>
      <c r="DJ177" s="24">
        <v>0</v>
      </c>
      <c r="DL177" s="24">
        <v>0</v>
      </c>
      <c r="DM177" s="24">
        <v>0</v>
      </c>
      <c r="DO177" s="24">
        <v>0</v>
      </c>
      <c r="DP177" s="24">
        <v>0</v>
      </c>
      <c r="DQ177" s="24">
        <v>0</v>
      </c>
      <c r="DR177" s="24">
        <v>0</v>
      </c>
      <c r="DS177" s="24">
        <v>0</v>
      </c>
      <c r="DT177" s="24">
        <v>0</v>
      </c>
      <c r="DV177" s="24">
        <v>0</v>
      </c>
      <c r="DW177" s="24">
        <v>0</v>
      </c>
      <c r="DX177" s="24">
        <v>0</v>
      </c>
      <c r="DY177" s="24">
        <v>0</v>
      </c>
      <c r="DZ177" s="24">
        <v>0</v>
      </c>
    </row>
    <row r="178" spans="1:130">
      <c r="A178" s="24" t="s">
        <v>142</v>
      </c>
      <c r="B178" s="24" t="s">
        <v>142</v>
      </c>
      <c r="C178" s="24" t="s">
        <v>142</v>
      </c>
      <c r="D178" s="24" t="s">
        <v>142</v>
      </c>
      <c r="E178" s="24">
        <v>15110</v>
      </c>
      <c r="F178" s="24" t="s">
        <v>542</v>
      </c>
      <c r="G178" s="24">
        <v>0</v>
      </c>
      <c r="H178" s="24">
        <v>515110</v>
      </c>
      <c r="I178" s="24" t="s">
        <v>542</v>
      </c>
      <c r="J178" s="24" t="s">
        <v>542</v>
      </c>
      <c r="K178" s="24" t="s">
        <v>473</v>
      </c>
      <c r="M178" s="24">
        <v>0</v>
      </c>
      <c r="N178" s="24">
        <v>0</v>
      </c>
      <c r="P178" s="25">
        <v>2</v>
      </c>
      <c r="Q178" s="25">
        <v>524288</v>
      </c>
      <c r="R178" s="24">
        <v>0</v>
      </c>
      <c r="S178" s="25">
        <v>0</v>
      </c>
      <c r="T178" s="24"/>
      <c r="U178" s="24">
        <v>0</v>
      </c>
      <c r="V178" s="25">
        <v>0</v>
      </c>
      <c r="W178" s="24">
        <v>0</v>
      </c>
      <c r="X178" s="24">
        <v>0</v>
      </c>
      <c r="Y178" s="24">
        <v>0</v>
      </c>
      <c r="Z178" s="24">
        <v>0</v>
      </c>
      <c r="AB178" s="24">
        <v>10001</v>
      </c>
      <c r="AC178" s="24">
        <v>-1</v>
      </c>
      <c r="AD178" s="24">
        <v>-1</v>
      </c>
      <c r="AE178" s="24">
        <v>-1</v>
      </c>
      <c r="AG178" s="24">
        <v>1</v>
      </c>
      <c r="AH178" s="24">
        <v>0</v>
      </c>
      <c r="AI178" s="24">
        <v>0</v>
      </c>
      <c r="AJ178" s="24">
        <v>0</v>
      </c>
      <c r="AK178" s="24">
        <v>0</v>
      </c>
      <c r="AL178" s="24">
        <v>0</v>
      </c>
      <c r="AM178" s="24">
        <v>0</v>
      </c>
      <c r="AN178" s="24">
        <v>0</v>
      </c>
      <c r="AO178" s="24">
        <v>0</v>
      </c>
      <c r="AP178" s="24">
        <v>0</v>
      </c>
      <c r="AQ178" s="24">
        <v>0</v>
      </c>
      <c r="AR178" s="24">
        <v>0</v>
      </c>
      <c r="AS178" s="24">
        <v>0</v>
      </c>
      <c r="AT178" s="24">
        <v>0</v>
      </c>
      <c r="AU178" s="24">
        <v>0</v>
      </c>
      <c r="AV178" s="24">
        <v>0</v>
      </c>
      <c r="AW178" s="24">
        <v>0</v>
      </c>
      <c r="AX178" s="24">
        <v>0</v>
      </c>
      <c r="AY178" s="24">
        <v>0</v>
      </c>
      <c r="BA178" s="24">
        <v>0</v>
      </c>
      <c r="BB178" s="24">
        <v>1133</v>
      </c>
      <c r="BC178" s="24">
        <v>1433</v>
      </c>
      <c r="BD178" s="24">
        <v>0</v>
      </c>
      <c r="BE178" s="24">
        <v>300</v>
      </c>
      <c r="BF178" s="24">
        <v>1</v>
      </c>
      <c r="BG178" s="25">
        <v>1024</v>
      </c>
      <c r="BH178" s="24">
        <v>4</v>
      </c>
      <c r="BI178" s="24">
        <v>15107</v>
      </c>
      <c r="BJ178" s="24">
        <v>1</v>
      </c>
      <c r="BK178" s="24">
        <v>1</v>
      </c>
      <c r="BL178" s="25">
        <v>126</v>
      </c>
      <c r="BM178" s="24">
        <v>0</v>
      </c>
      <c r="BO178" s="25">
        <v>1</v>
      </c>
      <c r="BP178" s="24">
        <v>10</v>
      </c>
      <c r="BQ178" s="24">
        <v>0</v>
      </c>
      <c r="BR178" s="24">
        <v>2</v>
      </c>
      <c r="BS178" s="24">
        <v>100</v>
      </c>
      <c r="BT178" s="24">
        <v>0</v>
      </c>
      <c r="BU178" s="24">
        <v>0</v>
      </c>
      <c r="BV178" s="24">
        <v>6</v>
      </c>
      <c r="BW178" s="24">
        <v>0</v>
      </c>
      <c r="BX178" s="24">
        <v>4</v>
      </c>
      <c r="BZ178" s="24">
        <v>-1</v>
      </c>
      <c r="CA178" s="24">
        <v>0</v>
      </c>
      <c r="CB178" s="24">
        <v>0</v>
      </c>
      <c r="CC178" s="24">
        <v>0</v>
      </c>
      <c r="CD178" s="24">
        <v>0</v>
      </c>
      <c r="CE178" s="24">
        <v>0</v>
      </c>
      <c r="CG178" s="24">
        <v>-1</v>
      </c>
      <c r="CH178" s="24">
        <v>0</v>
      </c>
      <c r="CI178" s="24">
        <v>0</v>
      </c>
      <c r="CJ178" s="24">
        <v>0</v>
      </c>
      <c r="CK178" s="24">
        <v>0</v>
      </c>
      <c r="CL178" s="24">
        <v>0</v>
      </c>
      <c r="CM178" s="24">
        <v>0</v>
      </c>
      <c r="CN178" s="24">
        <v>0</v>
      </c>
      <c r="CO178" s="24">
        <v>0</v>
      </c>
      <c r="CQ178" s="24">
        <v>0</v>
      </c>
      <c r="CR178" s="24">
        <v>0</v>
      </c>
      <c r="CS178" s="24">
        <v>0</v>
      </c>
      <c r="CT178" s="24">
        <v>0</v>
      </c>
      <c r="CV178" s="24">
        <v>110207</v>
      </c>
      <c r="CW178" s="24">
        <v>6</v>
      </c>
      <c r="CX178" s="24">
        <v>102001</v>
      </c>
      <c r="CY178" s="26">
        <v>1</v>
      </c>
      <c r="CZ178" s="24">
        <v>3</v>
      </c>
      <c r="DA178" s="24">
        <v>0</v>
      </c>
      <c r="DC178" s="24">
        <v>1</v>
      </c>
      <c r="DD178" s="24">
        <v>1</v>
      </c>
      <c r="DE178" s="24">
        <v>0</v>
      </c>
      <c r="DF178" s="24">
        <v>0</v>
      </c>
      <c r="DG178" s="24">
        <v>-1</v>
      </c>
      <c r="DI178" s="24">
        <v>0</v>
      </c>
      <c r="DJ178" s="24">
        <v>0</v>
      </c>
      <c r="DL178" s="24">
        <v>0</v>
      </c>
      <c r="DM178" s="24">
        <v>0</v>
      </c>
      <c r="DO178" s="24">
        <v>0</v>
      </c>
      <c r="DP178" s="24">
        <v>0</v>
      </c>
      <c r="DQ178" s="24">
        <v>0</v>
      </c>
      <c r="DR178" s="24">
        <v>0</v>
      </c>
      <c r="DS178" s="24">
        <v>0</v>
      </c>
      <c r="DT178" s="24">
        <v>0</v>
      </c>
      <c r="DV178" s="24">
        <v>0</v>
      </c>
      <c r="DW178" s="24">
        <v>0</v>
      </c>
      <c r="DX178" s="24">
        <v>0</v>
      </c>
      <c r="DY178" s="24">
        <v>0</v>
      </c>
      <c r="DZ178" s="24">
        <v>0</v>
      </c>
    </row>
    <row r="179" spans="1:130">
      <c r="A179" s="24" t="s">
        <v>142</v>
      </c>
      <c r="B179" s="24" t="s">
        <v>142</v>
      </c>
      <c r="C179" s="24" t="s">
        <v>142</v>
      </c>
      <c r="D179" s="24" t="s">
        <v>142</v>
      </c>
      <c r="E179" s="24">
        <v>15108</v>
      </c>
      <c r="F179" s="24" t="s">
        <v>846</v>
      </c>
      <c r="G179" s="24">
        <v>0</v>
      </c>
      <c r="H179" s="24">
        <v>515108</v>
      </c>
      <c r="I179" s="24" t="s">
        <v>576</v>
      </c>
      <c r="J179" s="24" t="s">
        <v>576</v>
      </c>
      <c r="K179" s="24" t="s">
        <v>473</v>
      </c>
      <c r="M179" s="24">
        <v>0</v>
      </c>
      <c r="N179" s="24">
        <v>0</v>
      </c>
      <c r="P179" s="25">
        <v>12</v>
      </c>
      <c r="Q179" s="25">
        <v>3585</v>
      </c>
      <c r="R179" s="24">
        <v>0</v>
      </c>
      <c r="S179" s="25">
        <v>0</v>
      </c>
      <c r="T179" s="24"/>
      <c r="U179" s="24">
        <v>1</v>
      </c>
      <c r="V179" s="25">
        <v>2050</v>
      </c>
      <c r="W179" s="24">
        <v>1</v>
      </c>
      <c r="X179" s="24">
        <v>15107</v>
      </c>
      <c r="Y179" s="24">
        <v>0</v>
      </c>
      <c r="Z179" s="24">
        <v>1000</v>
      </c>
      <c r="AB179" s="24">
        <v>30001</v>
      </c>
      <c r="AC179" s="24">
        <v>-1</v>
      </c>
      <c r="AD179" s="24">
        <v>-1</v>
      </c>
      <c r="AE179" s="24">
        <v>-1</v>
      </c>
      <c r="AG179" s="24">
        <v>1</v>
      </c>
      <c r="AH179" s="24">
        <v>0</v>
      </c>
      <c r="AI179" s="24">
        <v>0</v>
      </c>
      <c r="AJ179" s="24">
        <v>0</v>
      </c>
      <c r="AK179" s="24">
        <v>0</v>
      </c>
      <c r="AL179" s="24">
        <v>0</v>
      </c>
      <c r="AM179" s="24">
        <v>0</v>
      </c>
      <c r="AN179" s="24">
        <v>0</v>
      </c>
      <c r="AO179" s="24">
        <v>0</v>
      </c>
      <c r="AP179" s="24">
        <v>0</v>
      </c>
      <c r="AQ179" s="24">
        <v>0</v>
      </c>
      <c r="AR179" s="24">
        <v>0</v>
      </c>
      <c r="AS179" s="24">
        <v>0</v>
      </c>
      <c r="AT179" s="24">
        <v>0</v>
      </c>
      <c r="AU179" s="24">
        <v>0</v>
      </c>
      <c r="AV179" s="24">
        <v>0</v>
      </c>
      <c r="AW179" s="24">
        <v>0</v>
      </c>
      <c r="AX179" s="24">
        <v>0</v>
      </c>
      <c r="AY179" s="24">
        <v>0</v>
      </c>
      <c r="BA179" s="24">
        <v>0</v>
      </c>
      <c r="BB179" s="24">
        <v>0</v>
      </c>
      <c r="BC179" s="24">
        <v>0</v>
      </c>
      <c r="BD179" s="24">
        <v>2310</v>
      </c>
      <c r="BE179" s="24">
        <v>0</v>
      </c>
      <c r="BF179" s="24">
        <v>1</v>
      </c>
      <c r="BG179" s="25">
        <v>17</v>
      </c>
      <c r="BH179" s="24">
        <v>1</v>
      </c>
      <c r="BI179" s="24">
        <v>0</v>
      </c>
      <c r="BJ179" s="24">
        <v>0</v>
      </c>
      <c r="BK179" s="24">
        <v>0</v>
      </c>
      <c r="BL179" s="25">
        <v>126</v>
      </c>
      <c r="BM179" s="24">
        <v>0</v>
      </c>
      <c r="BO179" s="25">
        <v>16</v>
      </c>
      <c r="BP179" s="24">
        <v>0</v>
      </c>
      <c r="BQ179" s="24">
        <v>0</v>
      </c>
      <c r="BR179" s="24">
        <v>5</v>
      </c>
      <c r="BS179" s="24">
        <v>11</v>
      </c>
      <c r="BT179" s="24">
        <v>110</v>
      </c>
      <c r="BU179" s="24">
        <v>30</v>
      </c>
      <c r="BV179" s="24">
        <v>6</v>
      </c>
      <c r="BW179" s="24">
        <v>0</v>
      </c>
      <c r="BX179" s="24">
        <v>4</v>
      </c>
      <c r="BZ179" s="24">
        <v>-1</v>
      </c>
      <c r="CA179" s="24">
        <v>0</v>
      </c>
      <c r="CB179" s="24">
        <v>0</v>
      </c>
      <c r="CC179" s="24">
        <v>0</v>
      </c>
      <c r="CD179" s="24">
        <v>0</v>
      </c>
      <c r="CE179" s="24">
        <v>0</v>
      </c>
      <c r="CG179" s="24">
        <v>0</v>
      </c>
      <c r="CH179" s="24">
        <v>0</v>
      </c>
      <c r="CI179" s="24">
        <v>0</v>
      </c>
      <c r="CJ179" s="24">
        <v>0</v>
      </c>
      <c r="CK179" s="24">
        <v>0</v>
      </c>
      <c r="CL179" s="24">
        <v>0</v>
      </c>
      <c r="CM179" s="24">
        <v>0</v>
      </c>
      <c r="CN179" s="24">
        <v>0</v>
      </c>
      <c r="CO179" s="24">
        <v>0</v>
      </c>
      <c r="CQ179" s="24">
        <v>0</v>
      </c>
      <c r="CR179" s="24">
        <v>0</v>
      </c>
      <c r="CS179" s="24">
        <v>0</v>
      </c>
      <c r="CT179" s="24">
        <v>0</v>
      </c>
      <c r="CV179" s="24">
        <v>0</v>
      </c>
      <c r="CW179" s="24">
        <v>14</v>
      </c>
      <c r="CX179" s="24">
        <v>102003</v>
      </c>
      <c r="CY179" s="26">
        <v>1</v>
      </c>
      <c r="CZ179" s="24">
        <v>10</v>
      </c>
      <c r="DA179" s="24">
        <v>0</v>
      </c>
      <c r="DC179" s="24">
        <v>1</v>
      </c>
      <c r="DD179" s="24">
        <v>1</v>
      </c>
      <c r="DE179" s="24">
        <v>0</v>
      </c>
      <c r="DF179" s="24">
        <v>0</v>
      </c>
      <c r="DG179" s="24">
        <v>-1</v>
      </c>
      <c r="DI179" s="24">
        <v>0</v>
      </c>
      <c r="DJ179" s="24">
        <v>0</v>
      </c>
      <c r="DL179" s="24">
        <v>0</v>
      </c>
      <c r="DM179" s="24">
        <v>0</v>
      </c>
      <c r="DO179" s="24">
        <v>0</v>
      </c>
      <c r="DP179" s="24">
        <v>0</v>
      </c>
      <c r="DQ179" s="24">
        <v>0</v>
      </c>
      <c r="DR179" s="24">
        <v>0</v>
      </c>
      <c r="DS179" s="24">
        <v>0</v>
      </c>
      <c r="DT179" s="24">
        <v>0</v>
      </c>
      <c r="DV179" s="24">
        <v>0</v>
      </c>
      <c r="DW179" s="24">
        <v>0</v>
      </c>
      <c r="DX179" s="24">
        <v>0</v>
      </c>
      <c r="DY179" s="24">
        <v>0</v>
      </c>
      <c r="DZ179" s="24">
        <v>0</v>
      </c>
    </row>
    <row r="180" spans="1:130">
      <c r="G180" s="24" t="s">
        <v>639</v>
      </c>
      <c r="K180" s="24" t="s">
        <v>639</v>
      </c>
      <c r="BO180" s="25" t="s">
        <v>639</v>
      </c>
      <c r="CV180" s="24" t="s">
        <v>639</v>
      </c>
      <c r="DC180" s="24" t="s">
        <v>639</v>
      </c>
      <c r="DD180" s="24" t="s">
        <v>639</v>
      </c>
      <c r="DE180" s="24" t="s">
        <v>639</v>
      </c>
      <c r="DF180" s="24" t="s">
        <v>639</v>
      </c>
      <c r="DG180" s="24" t="s">
        <v>639</v>
      </c>
      <c r="DI180" s="24" t="s">
        <v>639</v>
      </c>
      <c r="DJ180" s="24" t="s">
        <v>639</v>
      </c>
      <c r="DL180" s="24" t="s">
        <v>639</v>
      </c>
      <c r="DM180" s="24" t="s">
        <v>639</v>
      </c>
      <c r="DO180" s="24" t="s">
        <v>639</v>
      </c>
      <c r="DP180" s="24" t="s">
        <v>639</v>
      </c>
      <c r="DQ180" s="24" t="s">
        <v>639</v>
      </c>
      <c r="DR180" s="24" t="s">
        <v>639</v>
      </c>
      <c r="DS180" s="24" t="s">
        <v>639</v>
      </c>
      <c r="DT180" s="24" t="s">
        <v>639</v>
      </c>
      <c r="DV180" s="24" t="s">
        <v>639</v>
      </c>
      <c r="DW180" s="24" t="s">
        <v>639</v>
      </c>
      <c r="DX180" s="24" t="s">
        <v>639</v>
      </c>
      <c r="DY180" s="24" t="s">
        <v>639</v>
      </c>
      <c r="DZ180" s="24" t="s">
        <v>639</v>
      </c>
    </row>
    <row r="181" spans="1:130">
      <c r="G181" s="24" t="s">
        <v>639</v>
      </c>
      <c r="K181" s="24" t="s">
        <v>639</v>
      </c>
      <c r="BO181" s="25" t="s">
        <v>639</v>
      </c>
      <c r="CV181" s="24" t="s">
        <v>639</v>
      </c>
      <c r="DC181" s="24" t="s">
        <v>639</v>
      </c>
      <c r="DD181" s="24" t="s">
        <v>639</v>
      </c>
      <c r="DE181" s="24" t="s">
        <v>639</v>
      </c>
      <c r="DF181" s="24" t="s">
        <v>639</v>
      </c>
      <c r="DG181" s="24" t="s">
        <v>639</v>
      </c>
      <c r="DI181" s="24" t="s">
        <v>639</v>
      </c>
      <c r="DJ181" s="24" t="s">
        <v>639</v>
      </c>
      <c r="DL181" s="24" t="s">
        <v>639</v>
      </c>
      <c r="DM181" s="24" t="s">
        <v>639</v>
      </c>
      <c r="DO181" s="24" t="s">
        <v>639</v>
      </c>
      <c r="DP181" s="24" t="s">
        <v>639</v>
      </c>
      <c r="DQ181" s="24" t="s">
        <v>639</v>
      </c>
      <c r="DR181" s="24" t="s">
        <v>639</v>
      </c>
      <c r="DS181" s="24" t="s">
        <v>639</v>
      </c>
      <c r="DT181" s="24" t="s">
        <v>639</v>
      </c>
      <c r="DV181" s="24" t="s">
        <v>639</v>
      </c>
      <c r="DW181" s="24" t="s">
        <v>639</v>
      </c>
      <c r="DX181" s="24" t="s">
        <v>639</v>
      </c>
      <c r="DY181" s="24" t="s">
        <v>639</v>
      </c>
      <c r="DZ181" s="24" t="s">
        <v>639</v>
      </c>
    </row>
    <row r="182" spans="1:130">
      <c r="A182" s="24" t="s">
        <v>142</v>
      </c>
      <c r="B182" s="24" t="s">
        <v>142</v>
      </c>
      <c r="C182" s="24" t="s">
        <v>142</v>
      </c>
      <c r="D182" s="24" t="s">
        <v>142</v>
      </c>
      <c r="E182" s="24">
        <v>15200</v>
      </c>
      <c r="F182" s="24" t="s">
        <v>455</v>
      </c>
      <c r="G182" s="24">
        <v>0</v>
      </c>
      <c r="H182" s="24">
        <v>515200</v>
      </c>
      <c r="I182" s="24" t="s">
        <v>455</v>
      </c>
      <c r="J182" s="24" t="s">
        <v>455</v>
      </c>
      <c r="K182" s="24" t="s">
        <v>473</v>
      </c>
      <c r="M182" s="24">
        <v>0</v>
      </c>
      <c r="N182" s="24">
        <v>0</v>
      </c>
      <c r="P182" s="25">
        <v>12</v>
      </c>
      <c r="Q182" s="25">
        <v>256</v>
      </c>
      <c r="R182" s="24">
        <v>0</v>
      </c>
      <c r="S182" s="25">
        <v>0</v>
      </c>
      <c r="T182" s="24"/>
      <c r="U182" s="24">
        <v>7</v>
      </c>
      <c r="V182" s="25">
        <v>8193</v>
      </c>
      <c r="W182" s="24">
        <v>8192</v>
      </c>
      <c r="X182" s="24">
        <v>0</v>
      </c>
      <c r="Y182" s="24">
        <v>0</v>
      </c>
      <c r="Z182" s="24">
        <v>1000</v>
      </c>
      <c r="AB182" s="24">
        <v>30001</v>
      </c>
      <c r="AC182" s="24">
        <v>-1</v>
      </c>
      <c r="AD182" s="24">
        <v>-1</v>
      </c>
      <c r="AE182" s="24">
        <v>-1</v>
      </c>
      <c r="AG182" s="24">
        <v>1</v>
      </c>
      <c r="AH182" s="24">
        <v>0</v>
      </c>
      <c r="AI182" s="24">
        <v>0</v>
      </c>
      <c r="AJ182" s="24">
        <v>0</v>
      </c>
      <c r="AK182" s="24">
        <v>0</v>
      </c>
      <c r="AL182" s="24">
        <v>0</v>
      </c>
      <c r="AM182" s="24">
        <v>0</v>
      </c>
      <c r="AN182" s="24">
        <v>0</v>
      </c>
      <c r="AO182" s="24">
        <v>0</v>
      </c>
      <c r="AP182" s="24">
        <v>0</v>
      </c>
      <c r="AQ182" s="24">
        <v>0</v>
      </c>
      <c r="AR182" s="24">
        <v>0</v>
      </c>
      <c r="AS182" s="24">
        <v>0</v>
      </c>
      <c r="AT182" s="24">
        <v>0</v>
      </c>
      <c r="AU182" s="24">
        <v>0</v>
      </c>
      <c r="AV182" s="24">
        <v>0</v>
      </c>
      <c r="AW182" s="24">
        <v>0</v>
      </c>
      <c r="AX182" s="24">
        <v>0</v>
      </c>
      <c r="AY182" s="24">
        <v>0</v>
      </c>
      <c r="BA182" s="24">
        <v>0</v>
      </c>
      <c r="BB182" s="24">
        <v>0</v>
      </c>
      <c r="BC182" s="24">
        <v>0</v>
      </c>
      <c r="BD182" s="24">
        <v>0</v>
      </c>
      <c r="BE182" s="24">
        <v>0</v>
      </c>
      <c r="BF182" s="24">
        <v>0</v>
      </c>
      <c r="BG182" s="25">
        <v>8192</v>
      </c>
      <c r="BH182" s="24">
        <v>4</v>
      </c>
      <c r="BI182" s="24">
        <v>15202</v>
      </c>
      <c r="BJ182" s="24">
        <v>1</v>
      </c>
      <c r="BK182" s="24">
        <v>1</v>
      </c>
      <c r="BL182" s="25">
        <v>126</v>
      </c>
      <c r="BM182" s="24">
        <v>0</v>
      </c>
      <c r="BO182" s="25">
        <v>1</v>
      </c>
      <c r="BP182" s="24">
        <v>0</v>
      </c>
      <c r="BQ182" s="24">
        <v>0</v>
      </c>
      <c r="BR182" s="24">
        <v>1</v>
      </c>
      <c r="BS182" s="24">
        <v>0</v>
      </c>
      <c r="BT182" s="24">
        <v>0</v>
      </c>
      <c r="BU182" s="24">
        <v>0</v>
      </c>
      <c r="BV182" s="24">
        <v>7</v>
      </c>
      <c r="BW182" s="24">
        <v>0</v>
      </c>
      <c r="BX182" s="24">
        <v>0</v>
      </c>
      <c r="BZ182" s="24">
        <v>-1</v>
      </c>
      <c r="CA182" s="24">
        <v>0</v>
      </c>
      <c r="CB182" s="24">
        <v>0</v>
      </c>
      <c r="CC182" s="24">
        <v>0</v>
      </c>
      <c r="CD182" s="24">
        <v>0</v>
      </c>
      <c r="CE182" s="24">
        <v>0</v>
      </c>
      <c r="CG182" s="24">
        <v>-1</v>
      </c>
      <c r="CH182" s="24">
        <v>0</v>
      </c>
      <c r="CI182" s="24">
        <v>0</v>
      </c>
      <c r="CJ182" s="24">
        <v>0</v>
      </c>
      <c r="CK182" s="24">
        <v>0</v>
      </c>
      <c r="CL182" s="24">
        <v>0</v>
      </c>
      <c r="CM182" s="24">
        <v>0</v>
      </c>
      <c r="CN182" s="24">
        <v>0</v>
      </c>
      <c r="CO182" s="24">
        <v>0</v>
      </c>
      <c r="CQ182" s="24">
        <v>0</v>
      </c>
      <c r="CR182" s="24">
        <v>0</v>
      </c>
      <c r="CS182" s="24">
        <v>0</v>
      </c>
      <c r="CT182" s="24">
        <v>0</v>
      </c>
      <c r="CV182" s="24">
        <v>0</v>
      </c>
      <c r="CW182" s="24">
        <v>0</v>
      </c>
      <c r="CX182" s="24">
        <v>-1</v>
      </c>
      <c r="CY182" s="26">
        <v>0</v>
      </c>
      <c r="CZ182" s="24">
        <v>0</v>
      </c>
      <c r="DA182" s="24">
        <v>0</v>
      </c>
      <c r="DC182" s="24">
        <v>1</v>
      </c>
      <c r="DD182" s="24">
        <v>1</v>
      </c>
      <c r="DE182" s="24">
        <v>0</v>
      </c>
      <c r="DF182" s="24">
        <v>0</v>
      </c>
      <c r="DG182" s="24">
        <v>-1</v>
      </c>
      <c r="DI182" s="24">
        <v>0</v>
      </c>
      <c r="DJ182" s="24">
        <v>0</v>
      </c>
      <c r="DL182" s="24">
        <v>0</v>
      </c>
      <c r="DM182" s="24">
        <v>0</v>
      </c>
      <c r="DO182" s="24">
        <v>0</v>
      </c>
      <c r="DP182" s="24">
        <v>0</v>
      </c>
      <c r="DQ182" s="24">
        <v>0</v>
      </c>
      <c r="DR182" s="24">
        <v>0</v>
      </c>
      <c r="DS182" s="24">
        <v>0</v>
      </c>
      <c r="DT182" s="24">
        <v>0</v>
      </c>
      <c r="DV182" s="24">
        <v>0</v>
      </c>
      <c r="DW182" s="24">
        <v>0</v>
      </c>
      <c r="DX182" s="24">
        <v>0</v>
      </c>
      <c r="DY182" s="24">
        <v>0</v>
      </c>
      <c r="DZ182" s="24">
        <v>0</v>
      </c>
    </row>
    <row r="183" spans="1:130">
      <c r="A183" s="24" t="s">
        <v>142</v>
      </c>
      <c r="B183" s="24" t="s">
        <v>142</v>
      </c>
      <c r="C183" s="24" t="s">
        <v>142</v>
      </c>
      <c r="D183" s="24" t="s">
        <v>142</v>
      </c>
      <c r="E183" s="24">
        <v>15201</v>
      </c>
      <c r="F183" s="24" t="s">
        <v>433</v>
      </c>
      <c r="G183" s="24">
        <v>0</v>
      </c>
      <c r="H183" s="24">
        <v>515201</v>
      </c>
      <c r="I183" s="24" t="s">
        <v>433</v>
      </c>
      <c r="J183" s="24" t="s">
        <v>591</v>
      </c>
      <c r="K183" s="24" t="s">
        <v>819</v>
      </c>
      <c r="M183" s="24">
        <v>102</v>
      </c>
      <c r="N183" s="24">
        <v>0</v>
      </c>
      <c r="P183" s="25">
        <v>2</v>
      </c>
      <c r="Q183" s="25">
        <v>590848</v>
      </c>
      <c r="R183" s="24">
        <v>0</v>
      </c>
      <c r="S183" s="25">
        <v>0</v>
      </c>
      <c r="T183" s="24"/>
      <c r="U183" s="24">
        <v>0</v>
      </c>
      <c r="V183" s="25">
        <v>0</v>
      </c>
      <c r="W183" s="24">
        <v>0</v>
      </c>
      <c r="X183" s="24">
        <v>0</v>
      </c>
      <c r="Y183" s="24">
        <v>0</v>
      </c>
      <c r="Z183" s="24">
        <v>0</v>
      </c>
      <c r="AB183" s="24">
        <v>10001</v>
      </c>
      <c r="AC183" s="24">
        <v>-1</v>
      </c>
      <c r="AD183" s="24">
        <v>-1</v>
      </c>
      <c r="AE183" s="24">
        <v>-1</v>
      </c>
      <c r="AG183" s="24">
        <v>2</v>
      </c>
      <c r="AH183" s="24">
        <v>24</v>
      </c>
      <c r="AI183" s="24">
        <v>0</v>
      </c>
      <c r="AJ183" s="24">
        <v>0</v>
      </c>
      <c r="AK183" s="24">
        <v>1</v>
      </c>
      <c r="AL183" s="24">
        <v>5</v>
      </c>
      <c r="AM183" s="24">
        <v>0</v>
      </c>
      <c r="AN183" s="24">
        <v>0</v>
      </c>
      <c r="AO183" s="24">
        <v>0</v>
      </c>
      <c r="AP183" s="24">
        <v>1000</v>
      </c>
      <c r="AQ183" s="24">
        <v>80</v>
      </c>
      <c r="AR183" s="24">
        <v>0</v>
      </c>
      <c r="AS183" s="24">
        <v>0</v>
      </c>
      <c r="AT183" s="24">
        <v>0</v>
      </c>
      <c r="AU183" s="24">
        <v>2012</v>
      </c>
      <c r="AV183" s="24">
        <v>2013</v>
      </c>
      <c r="AW183" s="24">
        <v>0</v>
      </c>
      <c r="AX183" s="24">
        <v>6007</v>
      </c>
      <c r="AY183" s="24">
        <v>0</v>
      </c>
      <c r="BA183" s="24">
        <v>0</v>
      </c>
      <c r="BB183" s="24">
        <v>1000</v>
      </c>
      <c r="BC183" s="24">
        <v>1200</v>
      </c>
      <c r="BD183" s="24">
        <v>0</v>
      </c>
      <c r="BE183" s="24">
        <v>200</v>
      </c>
      <c r="BF183" s="24">
        <v>5</v>
      </c>
      <c r="BG183" s="25">
        <v>1</v>
      </c>
      <c r="BH183" s="24">
        <v>1</v>
      </c>
      <c r="BI183" s="24">
        <v>0</v>
      </c>
      <c r="BJ183" s="24">
        <v>0</v>
      </c>
      <c r="BK183" s="24">
        <v>0</v>
      </c>
      <c r="BL183" s="25">
        <v>126</v>
      </c>
      <c r="BM183" s="24">
        <v>0</v>
      </c>
      <c r="BO183" s="25">
        <v>4</v>
      </c>
      <c r="BP183" s="24">
        <v>20</v>
      </c>
      <c r="BQ183" s="24">
        <v>0</v>
      </c>
      <c r="BR183" s="24">
        <v>1</v>
      </c>
      <c r="BS183" s="24">
        <v>0</v>
      </c>
      <c r="BT183" s="24">
        <v>0</v>
      </c>
      <c r="BU183" s="24">
        <v>0</v>
      </c>
      <c r="BV183" s="24">
        <v>6</v>
      </c>
      <c r="BW183" s="24">
        <v>0</v>
      </c>
      <c r="BX183" s="24">
        <v>0</v>
      </c>
      <c r="BZ183" s="24">
        <v>-1</v>
      </c>
      <c r="CA183" s="24">
        <v>0</v>
      </c>
      <c r="CB183" s="24">
        <v>0</v>
      </c>
      <c r="CC183" s="24">
        <v>0</v>
      </c>
      <c r="CD183" s="24">
        <v>0</v>
      </c>
      <c r="CE183" s="24">
        <v>0</v>
      </c>
      <c r="CG183" s="24">
        <v>-1</v>
      </c>
      <c r="CH183" s="24">
        <v>0</v>
      </c>
      <c r="CI183" s="24">
        <v>0</v>
      </c>
      <c r="CJ183" s="24">
        <v>0</v>
      </c>
      <c r="CK183" s="24">
        <v>0</v>
      </c>
      <c r="CL183" s="24">
        <v>0</v>
      </c>
      <c r="CM183" s="24">
        <v>0</v>
      </c>
      <c r="CN183" s="24">
        <v>0</v>
      </c>
      <c r="CO183" s="24">
        <v>0</v>
      </c>
      <c r="CQ183" s="24">
        <v>0</v>
      </c>
      <c r="CR183" s="24">
        <v>0</v>
      </c>
      <c r="CS183" s="24">
        <v>0</v>
      </c>
      <c r="CT183" s="24">
        <v>0</v>
      </c>
      <c r="CV183" s="24">
        <v>100301</v>
      </c>
      <c r="CW183" s="24">
        <v>20</v>
      </c>
      <c r="CX183" s="24">
        <v>-1</v>
      </c>
      <c r="CY183" s="26">
        <v>1</v>
      </c>
      <c r="CZ183" s="24">
        <v>2</v>
      </c>
      <c r="DA183" s="24">
        <v>0</v>
      </c>
      <c r="DC183" s="24">
        <v>1</v>
      </c>
      <c r="DD183" s="24">
        <v>1</v>
      </c>
      <c r="DE183" s="24">
        <v>0</v>
      </c>
      <c r="DF183" s="24">
        <v>0</v>
      </c>
      <c r="DG183" s="24">
        <v>-1</v>
      </c>
      <c r="DI183" s="24">
        <v>0</v>
      </c>
      <c r="DJ183" s="24">
        <v>0</v>
      </c>
      <c r="DL183" s="24">
        <v>0</v>
      </c>
      <c r="DM183" s="24">
        <v>0</v>
      </c>
      <c r="DO183" s="24">
        <v>0</v>
      </c>
      <c r="DP183" s="24">
        <v>0</v>
      </c>
      <c r="DQ183" s="24">
        <v>0</v>
      </c>
      <c r="DR183" s="24">
        <v>0</v>
      </c>
      <c r="DS183" s="24">
        <v>0</v>
      </c>
      <c r="DT183" s="24">
        <v>0</v>
      </c>
      <c r="DV183" s="24">
        <v>0</v>
      </c>
      <c r="DW183" s="24">
        <v>0</v>
      </c>
      <c r="DX183" s="24">
        <v>0</v>
      </c>
      <c r="DY183" s="24">
        <v>0</v>
      </c>
      <c r="DZ183" s="24">
        <v>0</v>
      </c>
    </row>
    <row r="184" spans="1:130">
      <c r="A184" s="24" t="s">
        <v>142</v>
      </c>
      <c r="B184" s="24" t="s">
        <v>142</v>
      </c>
      <c r="C184" s="24" t="s">
        <v>142</v>
      </c>
      <c r="D184" s="24" t="s">
        <v>142</v>
      </c>
      <c r="E184" s="24">
        <v>15203</v>
      </c>
      <c r="F184" s="24" t="s">
        <v>456</v>
      </c>
      <c r="G184" s="24">
        <v>0</v>
      </c>
      <c r="H184" s="24">
        <v>515203</v>
      </c>
      <c r="I184" s="24" t="s">
        <v>456</v>
      </c>
      <c r="J184" s="24" t="s">
        <v>456</v>
      </c>
      <c r="K184" s="24" t="s">
        <v>473</v>
      </c>
      <c r="M184" s="24">
        <v>0</v>
      </c>
      <c r="N184" s="24">
        <v>0</v>
      </c>
      <c r="P184" s="25">
        <v>12</v>
      </c>
      <c r="Q184" s="25">
        <v>0</v>
      </c>
      <c r="R184" s="24">
        <v>0</v>
      </c>
      <c r="S184" s="25">
        <v>0</v>
      </c>
      <c r="T184" s="24"/>
      <c r="U184" s="24">
        <v>2</v>
      </c>
      <c r="V184" s="25">
        <v>2050</v>
      </c>
      <c r="W184" s="24">
        <v>1</v>
      </c>
      <c r="X184" s="24">
        <v>15202</v>
      </c>
      <c r="Y184" s="24">
        <v>0</v>
      </c>
      <c r="Z184" s="24">
        <v>1000</v>
      </c>
      <c r="AB184" s="24">
        <v>30001</v>
      </c>
      <c r="AC184" s="24">
        <v>-1</v>
      </c>
      <c r="AD184" s="24">
        <v>-1</v>
      </c>
      <c r="AE184" s="24">
        <v>-1</v>
      </c>
      <c r="AG184" s="24">
        <v>1</v>
      </c>
      <c r="AH184" s="24">
        <v>0</v>
      </c>
      <c r="AI184" s="24">
        <v>0</v>
      </c>
      <c r="AJ184" s="24">
        <v>0</v>
      </c>
      <c r="AK184" s="24">
        <v>0</v>
      </c>
      <c r="AL184" s="24">
        <v>0</v>
      </c>
      <c r="AM184" s="24">
        <v>0</v>
      </c>
      <c r="AN184" s="24">
        <v>0</v>
      </c>
      <c r="AO184" s="24">
        <v>0</v>
      </c>
      <c r="AP184" s="24">
        <v>0</v>
      </c>
      <c r="AQ184" s="24">
        <v>0</v>
      </c>
      <c r="AR184" s="24">
        <v>0</v>
      </c>
      <c r="AS184" s="24">
        <v>0</v>
      </c>
      <c r="AT184" s="24">
        <v>0</v>
      </c>
      <c r="AU184" s="24">
        <v>0</v>
      </c>
      <c r="AV184" s="24">
        <v>0</v>
      </c>
      <c r="AW184" s="24">
        <v>0</v>
      </c>
      <c r="AX184" s="24">
        <v>0</v>
      </c>
      <c r="AY184" s="24">
        <v>0</v>
      </c>
      <c r="BA184" s="24">
        <v>0</v>
      </c>
      <c r="BB184" s="24">
        <v>0</v>
      </c>
      <c r="BC184" s="24">
        <v>0</v>
      </c>
      <c r="BD184" s="24">
        <v>0</v>
      </c>
      <c r="BE184" s="24">
        <v>0</v>
      </c>
      <c r="BF184" s="24">
        <v>1</v>
      </c>
      <c r="BG184" s="25">
        <v>0</v>
      </c>
      <c r="BH184" s="24">
        <v>3</v>
      </c>
      <c r="BI184" s="24">
        <v>0</v>
      </c>
      <c r="BJ184" s="24">
        <v>0</v>
      </c>
      <c r="BK184" s="24">
        <v>0</v>
      </c>
      <c r="BL184" s="25">
        <v>126</v>
      </c>
      <c r="BM184" s="24">
        <v>0</v>
      </c>
      <c r="BO184" s="25">
        <v>1</v>
      </c>
      <c r="BP184" s="24">
        <v>20</v>
      </c>
      <c r="BQ184" s="24">
        <v>0</v>
      </c>
      <c r="BR184" s="24">
        <v>1</v>
      </c>
      <c r="BS184" s="24">
        <v>0</v>
      </c>
      <c r="BT184" s="24">
        <v>0</v>
      </c>
      <c r="BU184" s="24">
        <v>0</v>
      </c>
      <c r="BV184" s="24">
        <v>0</v>
      </c>
      <c r="BW184" s="24">
        <v>0</v>
      </c>
      <c r="BX184" s="24">
        <v>0</v>
      </c>
      <c r="BZ184" s="24">
        <v>-1</v>
      </c>
      <c r="CA184" s="24">
        <v>0</v>
      </c>
      <c r="CB184" s="24">
        <v>0</v>
      </c>
      <c r="CC184" s="24">
        <v>0</v>
      </c>
      <c r="CD184" s="24">
        <v>0</v>
      </c>
      <c r="CE184" s="24">
        <v>0</v>
      </c>
      <c r="CG184" s="24">
        <v>-1</v>
      </c>
      <c r="CH184" s="24">
        <v>0</v>
      </c>
      <c r="CI184" s="24">
        <v>0</v>
      </c>
      <c r="CJ184" s="24">
        <v>0</v>
      </c>
      <c r="CK184" s="24">
        <v>0</v>
      </c>
      <c r="CL184" s="24">
        <v>0</v>
      </c>
      <c r="CM184" s="24">
        <v>0</v>
      </c>
      <c r="CN184" s="24">
        <v>0</v>
      </c>
      <c r="CO184" s="24">
        <v>0</v>
      </c>
      <c r="CQ184" s="24">
        <v>0</v>
      </c>
      <c r="CR184" s="24">
        <v>0</v>
      </c>
      <c r="CS184" s="24">
        <v>0</v>
      </c>
      <c r="CT184" s="24">
        <v>0</v>
      </c>
      <c r="CV184" s="24">
        <v>0</v>
      </c>
      <c r="CW184" s="24">
        <v>0</v>
      </c>
      <c r="CX184" s="24">
        <v>-1</v>
      </c>
      <c r="CY184" s="26">
        <v>0</v>
      </c>
      <c r="CZ184" s="24">
        <v>0</v>
      </c>
      <c r="DA184" s="24">
        <v>0</v>
      </c>
      <c r="DC184" s="24">
        <v>1</v>
      </c>
      <c r="DD184" s="24">
        <v>1</v>
      </c>
      <c r="DE184" s="24">
        <v>0</v>
      </c>
      <c r="DF184" s="24">
        <v>0</v>
      </c>
      <c r="DG184" s="24">
        <v>-1</v>
      </c>
      <c r="DI184" s="24">
        <v>0</v>
      </c>
      <c r="DJ184" s="24">
        <v>0</v>
      </c>
      <c r="DL184" s="24">
        <v>0</v>
      </c>
      <c r="DM184" s="24">
        <v>0</v>
      </c>
      <c r="DO184" s="24">
        <v>0</v>
      </c>
      <c r="DP184" s="24">
        <v>0</v>
      </c>
      <c r="DQ184" s="24">
        <v>0</v>
      </c>
      <c r="DR184" s="24">
        <v>0</v>
      </c>
      <c r="DS184" s="24">
        <v>0</v>
      </c>
      <c r="DT184" s="24">
        <v>0</v>
      </c>
      <c r="DV184" s="24">
        <v>0</v>
      </c>
      <c r="DW184" s="24">
        <v>0</v>
      </c>
      <c r="DX184" s="24">
        <v>0</v>
      </c>
      <c r="DY184" s="24">
        <v>0</v>
      </c>
      <c r="DZ184" s="24">
        <v>0</v>
      </c>
    </row>
    <row r="185" spans="1:130">
      <c r="A185" s="24" t="s">
        <v>142</v>
      </c>
      <c r="B185" s="24" t="s">
        <v>142</v>
      </c>
      <c r="C185" s="24" t="s">
        <v>142</v>
      </c>
      <c r="D185" s="24" t="s">
        <v>142</v>
      </c>
      <c r="E185" s="24">
        <v>15210</v>
      </c>
      <c r="F185" s="24" t="s">
        <v>434</v>
      </c>
      <c r="G185" s="24">
        <v>0</v>
      </c>
      <c r="H185" s="24">
        <v>515210</v>
      </c>
      <c r="I185" s="24" t="s">
        <v>434</v>
      </c>
      <c r="J185" s="24" t="s">
        <v>434</v>
      </c>
      <c r="K185" s="24" t="s">
        <v>810</v>
      </c>
      <c r="M185" s="24">
        <v>102</v>
      </c>
      <c r="N185" s="24">
        <v>0</v>
      </c>
      <c r="P185" s="25">
        <v>2</v>
      </c>
      <c r="Q185" s="25">
        <v>524288</v>
      </c>
      <c r="R185" s="24">
        <v>0</v>
      </c>
      <c r="S185" s="25">
        <v>0</v>
      </c>
      <c r="T185" s="24"/>
      <c r="U185" s="24">
        <v>0</v>
      </c>
      <c r="V185" s="25">
        <v>0</v>
      </c>
      <c r="W185" s="24">
        <v>0</v>
      </c>
      <c r="X185" s="24">
        <v>0</v>
      </c>
      <c r="Y185" s="24">
        <v>0</v>
      </c>
      <c r="Z185" s="24">
        <v>0</v>
      </c>
      <c r="AB185" s="24">
        <v>10001</v>
      </c>
      <c r="AC185" s="24">
        <v>-1</v>
      </c>
      <c r="AD185" s="24">
        <v>-1</v>
      </c>
      <c r="AE185" s="24">
        <v>-1</v>
      </c>
      <c r="AG185" s="24">
        <v>1</v>
      </c>
      <c r="AH185" s="24">
        <v>0</v>
      </c>
      <c r="AI185" s="24">
        <v>0</v>
      </c>
      <c r="AJ185" s="24">
        <v>0</v>
      </c>
      <c r="AK185" s="24">
        <v>0</v>
      </c>
      <c r="AL185" s="24">
        <v>0</v>
      </c>
      <c r="AM185" s="24">
        <v>0</v>
      </c>
      <c r="AN185" s="24">
        <v>0</v>
      </c>
      <c r="AO185" s="24">
        <v>0</v>
      </c>
      <c r="AP185" s="24">
        <v>0</v>
      </c>
      <c r="AQ185" s="24">
        <v>0</v>
      </c>
      <c r="AR185" s="24">
        <v>0</v>
      </c>
      <c r="AS185" s="24">
        <v>0</v>
      </c>
      <c r="AT185" s="24">
        <v>0</v>
      </c>
      <c r="AU185" s="24">
        <v>0</v>
      </c>
      <c r="AV185" s="24">
        <v>0</v>
      </c>
      <c r="AW185" s="24">
        <v>0</v>
      </c>
      <c r="AX185" s="24">
        <v>0</v>
      </c>
      <c r="AY185" s="24">
        <v>0</v>
      </c>
      <c r="BA185" s="24">
        <v>0</v>
      </c>
      <c r="BB185" s="24">
        <v>500</v>
      </c>
      <c r="BC185" s="24">
        <v>1000</v>
      </c>
      <c r="BD185" s="24">
        <v>0</v>
      </c>
      <c r="BE185" s="24">
        <v>250</v>
      </c>
      <c r="BF185" s="24">
        <v>1</v>
      </c>
      <c r="BG185" s="25">
        <v>2</v>
      </c>
      <c r="BH185" s="24">
        <v>2</v>
      </c>
      <c r="BI185" s="24">
        <v>0</v>
      </c>
      <c r="BJ185" s="24">
        <v>0</v>
      </c>
      <c r="BK185" s="24">
        <v>0</v>
      </c>
      <c r="BL185" s="25">
        <v>126</v>
      </c>
      <c r="BM185" s="24">
        <v>0</v>
      </c>
      <c r="BO185" s="25">
        <v>2</v>
      </c>
      <c r="BP185" s="24">
        <v>10</v>
      </c>
      <c r="BQ185" s="24">
        <v>0</v>
      </c>
      <c r="BR185" s="24">
        <v>1</v>
      </c>
      <c r="BS185" s="24">
        <v>0</v>
      </c>
      <c r="BT185" s="24">
        <v>0</v>
      </c>
      <c r="BU185" s="24">
        <v>0</v>
      </c>
      <c r="BV185" s="24">
        <v>5</v>
      </c>
      <c r="BW185" s="24">
        <v>0</v>
      </c>
      <c r="BX185" s="24">
        <v>1</v>
      </c>
      <c r="BZ185" s="24">
        <v>15210</v>
      </c>
      <c r="CA185" s="24">
        <v>0</v>
      </c>
      <c r="CB185" s="24">
        <v>0</v>
      </c>
      <c r="CC185" s="24">
        <v>0</v>
      </c>
      <c r="CD185" s="24">
        <v>0</v>
      </c>
      <c r="CE185" s="24">
        <v>0</v>
      </c>
      <c r="CG185" s="24">
        <v>-1</v>
      </c>
      <c r="CH185" s="24">
        <v>0</v>
      </c>
      <c r="CI185" s="24">
        <v>0</v>
      </c>
      <c r="CJ185" s="24">
        <v>0</v>
      </c>
      <c r="CK185" s="24">
        <v>0</v>
      </c>
      <c r="CL185" s="24">
        <v>0</v>
      </c>
      <c r="CM185" s="24">
        <v>0</v>
      </c>
      <c r="CN185" s="24">
        <v>0</v>
      </c>
      <c r="CO185" s="24">
        <v>0</v>
      </c>
      <c r="CQ185" s="24">
        <v>0</v>
      </c>
      <c r="CR185" s="24">
        <v>0</v>
      </c>
      <c r="CS185" s="24">
        <v>0</v>
      </c>
      <c r="CT185" s="24">
        <v>0</v>
      </c>
      <c r="CV185" s="24">
        <v>110302</v>
      </c>
      <c r="CW185" s="24">
        <v>20</v>
      </c>
      <c r="CX185" s="24">
        <v>-1</v>
      </c>
      <c r="CY185" s="26">
        <v>0</v>
      </c>
      <c r="CZ185" s="24">
        <v>2</v>
      </c>
      <c r="DA185" s="24">
        <v>0</v>
      </c>
      <c r="DC185" s="24">
        <v>2</v>
      </c>
      <c r="DD185" s="24">
        <v>2</v>
      </c>
      <c r="DE185" s="24">
        <v>1</v>
      </c>
      <c r="DF185" s="24">
        <v>0</v>
      </c>
      <c r="DG185" s="24">
        <v>-1</v>
      </c>
      <c r="DI185" s="24">
        <v>0</v>
      </c>
      <c r="DJ185" s="24">
        <v>0</v>
      </c>
      <c r="DL185" s="24">
        <v>0</v>
      </c>
      <c r="DM185" s="24">
        <v>0</v>
      </c>
      <c r="DO185" s="24">
        <v>0</v>
      </c>
      <c r="DP185" s="24">
        <v>0</v>
      </c>
      <c r="DQ185" s="24">
        <v>0</v>
      </c>
      <c r="DR185" s="24">
        <v>0</v>
      </c>
      <c r="DS185" s="24">
        <v>0</v>
      </c>
      <c r="DT185" s="24">
        <v>0</v>
      </c>
      <c r="DV185" s="24">
        <v>0</v>
      </c>
      <c r="DW185" s="24">
        <v>0</v>
      </c>
      <c r="DX185" s="24">
        <v>0</v>
      </c>
      <c r="DY185" s="24">
        <v>0</v>
      </c>
      <c r="DZ185" s="24">
        <v>0</v>
      </c>
    </row>
    <row r="186" spans="1:130">
      <c r="A186" s="24" t="s">
        <v>142</v>
      </c>
      <c r="B186" s="24" t="s">
        <v>142</v>
      </c>
      <c r="C186" s="24" t="s">
        <v>142</v>
      </c>
      <c r="D186" s="24" t="s">
        <v>142</v>
      </c>
      <c r="E186" s="24">
        <v>15212</v>
      </c>
      <c r="F186" s="24" t="s">
        <v>943</v>
      </c>
      <c r="G186" s="24">
        <v>0</v>
      </c>
      <c r="H186" s="24">
        <v>515210</v>
      </c>
      <c r="I186" s="24" t="s">
        <v>943</v>
      </c>
      <c r="J186" s="24" t="s">
        <v>943</v>
      </c>
      <c r="K186" s="24" t="s">
        <v>810</v>
      </c>
      <c r="M186" s="24">
        <v>0</v>
      </c>
      <c r="N186" s="24">
        <v>0</v>
      </c>
      <c r="P186" s="25">
        <v>12</v>
      </c>
      <c r="Q186" s="25">
        <v>0</v>
      </c>
      <c r="R186" s="24">
        <v>0</v>
      </c>
      <c r="S186" s="25">
        <v>0</v>
      </c>
      <c r="T186" s="24"/>
      <c r="U186" s="24">
        <v>4</v>
      </c>
      <c r="V186" s="25">
        <v>2050</v>
      </c>
      <c r="W186" s="24">
        <v>2</v>
      </c>
      <c r="X186" s="24">
        <v>15210</v>
      </c>
      <c r="Y186" s="24">
        <v>0</v>
      </c>
      <c r="Z186" s="24">
        <v>1000</v>
      </c>
      <c r="AB186" s="24">
        <v>30001</v>
      </c>
      <c r="AC186" s="24">
        <v>-1</v>
      </c>
      <c r="AD186" s="24">
        <v>-1</v>
      </c>
      <c r="AE186" s="24">
        <v>-1</v>
      </c>
      <c r="AG186" s="24">
        <v>1</v>
      </c>
      <c r="AH186" s="24">
        <v>0</v>
      </c>
      <c r="AI186" s="24">
        <v>0</v>
      </c>
      <c r="AJ186" s="24">
        <v>0</v>
      </c>
      <c r="AK186" s="24">
        <v>0</v>
      </c>
      <c r="AL186" s="24">
        <v>0</v>
      </c>
      <c r="AM186" s="24">
        <v>0</v>
      </c>
      <c r="AN186" s="24">
        <v>0</v>
      </c>
      <c r="AO186" s="24">
        <v>0</v>
      </c>
      <c r="AP186" s="24">
        <v>0</v>
      </c>
      <c r="AQ186" s="24">
        <v>0</v>
      </c>
      <c r="AR186" s="24">
        <v>0</v>
      </c>
      <c r="AS186" s="24">
        <v>0</v>
      </c>
      <c r="AT186" s="24">
        <v>0</v>
      </c>
      <c r="AU186" s="24">
        <v>0</v>
      </c>
      <c r="AV186" s="24">
        <v>0</v>
      </c>
      <c r="AW186" s="24">
        <v>0</v>
      </c>
      <c r="AX186" s="24">
        <v>0</v>
      </c>
      <c r="AY186" s="24">
        <v>0</v>
      </c>
      <c r="BA186" s="24">
        <v>0</v>
      </c>
      <c r="BB186" s="24">
        <v>0</v>
      </c>
      <c r="BC186" s="24">
        <v>0</v>
      </c>
      <c r="BD186" s="24">
        <v>0</v>
      </c>
      <c r="BE186" s="24">
        <v>0</v>
      </c>
      <c r="BF186" s="24">
        <v>1</v>
      </c>
      <c r="BG186" s="25">
        <v>2</v>
      </c>
      <c r="BH186" s="24">
        <v>15</v>
      </c>
      <c r="BI186" s="24">
        <v>0</v>
      </c>
      <c r="BJ186" s="24">
        <v>0</v>
      </c>
      <c r="BK186" s="24">
        <v>0</v>
      </c>
      <c r="BL186" s="25">
        <v>126</v>
      </c>
      <c r="BM186" s="24">
        <v>15212</v>
      </c>
      <c r="BO186" s="25">
        <v>2</v>
      </c>
      <c r="BP186" s="24">
        <v>10</v>
      </c>
      <c r="BQ186" s="24">
        <v>0</v>
      </c>
      <c r="BR186" s="24">
        <v>1</v>
      </c>
      <c r="BS186" s="24">
        <v>0</v>
      </c>
      <c r="BT186" s="24">
        <v>0</v>
      </c>
      <c r="BU186" s="24">
        <v>0</v>
      </c>
      <c r="BV186" s="24">
        <v>0</v>
      </c>
      <c r="BW186" s="24">
        <v>0</v>
      </c>
      <c r="BX186" s="24">
        <v>1</v>
      </c>
      <c r="BZ186" s="24">
        <v>-1</v>
      </c>
      <c r="CA186" s="24">
        <v>0</v>
      </c>
      <c r="CB186" s="24">
        <v>0</v>
      </c>
      <c r="CC186" s="24">
        <v>0</v>
      </c>
      <c r="CD186" s="24">
        <v>0</v>
      </c>
      <c r="CE186" s="24">
        <v>0</v>
      </c>
      <c r="CG186" s="24">
        <v>-1</v>
      </c>
      <c r="CH186" s="24">
        <v>0</v>
      </c>
      <c r="CI186" s="24">
        <v>0</v>
      </c>
      <c r="CJ186" s="24">
        <v>0</v>
      </c>
      <c r="CK186" s="24">
        <v>0</v>
      </c>
      <c r="CL186" s="24">
        <v>0</v>
      </c>
      <c r="CM186" s="24">
        <v>0</v>
      </c>
      <c r="CN186" s="24">
        <v>0</v>
      </c>
      <c r="CO186" s="24">
        <v>0</v>
      </c>
      <c r="CQ186" s="24">
        <v>0</v>
      </c>
      <c r="CR186" s="24">
        <v>0</v>
      </c>
      <c r="CS186" s="24">
        <v>0</v>
      </c>
      <c r="CT186" s="24">
        <v>0</v>
      </c>
      <c r="CV186" s="24">
        <v>0</v>
      </c>
      <c r="CW186" s="24">
        <v>20</v>
      </c>
      <c r="CX186" s="24">
        <v>-1</v>
      </c>
      <c r="CY186" s="26">
        <v>0</v>
      </c>
      <c r="CZ186" s="24">
        <v>0</v>
      </c>
      <c r="DA186" s="24">
        <v>0</v>
      </c>
      <c r="DC186" s="24">
        <v>2</v>
      </c>
      <c r="DD186" s="24">
        <v>2</v>
      </c>
      <c r="DE186" s="24">
        <v>1</v>
      </c>
      <c r="DF186" s="24">
        <v>0</v>
      </c>
      <c r="DG186" s="24">
        <v>-1</v>
      </c>
      <c r="DI186" s="24">
        <v>0</v>
      </c>
      <c r="DJ186" s="24">
        <v>0</v>
      </c>
      <c r="DL186" s="24">
        <v>0</v>
      </c>
      <c r="DM186" s="24">
        <v>0</v>
      </c>
      <c r="DO186" s="24">
        <v>0</v>
      </c>
      <c r="DP186" s="24">
        <v>0</v>
      </c>
      <c r="DQ186" s="24">
        <v>0</v>
      </c>
      <c r="DR186" s="24">
        <v>0</v>
      </c>
      <c r="DS186" s="24">
        <v>0</v>
      </c>
      <c r="DT186" s="24">
        <v>0</v>
      </c>
      <c r="DV186" s="24">
        <v>0</v>
      </c>
      <c r="DW186" s="24">
        <v>0</v>
      </c>
      <c r="DX186" s="24">
        <v>0</v>
      </c>
      <c r="DY186" s="24">
        <v>0</v>
      </c>
      <c r="DZ186" s="24">
        <v>0</v>
      </c>
    </row>
    <row r="187" spans="1:130">
      <c r="A187" s="24" t="s">
        <v>142</v>
      </c>
      <c r="B187" s="24" t="s">
        <v>142</v>
      </c>
      <c r="C187" s="24" t="s">
        <v>142</v>
      </c>
      <c r="D187" s="24" t="s">
        <v>142</v>
      </c>
      <c r="E187" s="24">
        <v>15220</v>
      </c>
      <c r="F187" s="24" t="s">
        <v>435</v>
      </c>
      <c r="G187" s="24">
        <v>0</v>
      </c>
      <c r="H187" s="24">
        <v>515220</v>
      </c>
      <c r="I187" s="24" t="s">
        <v>435</v>
      </c>
      <c r="J187" s="24" t="s">
        <v>435</v>
      </c>
      <c r="K187" s="24" t="s">
        <v>811</v>
      </c>
      <c r="M187" s="24">
        <v>102</v>
      </c>
      <c r="N187" s="24">
        <v>0</v>
      </c>
      <c r="P187" s="25">
        <v>2</v>
      </c>
      <c r="Q187" s="25">
        <v>524288</v>
      </c>
      <c r="R187" s="24">
        <v>0</v>
      </c>
      <c r="S187" s="25">
        <v>0</v>
      </c>
      <c r="T187" s="24"/>
      <c r="U187" s="24">
        <v>0</v>
      </c>
      <c r="V187" s="25">
        <v>0</v>
      </c>
      <c r="W187" s="24">
        <v>0</v>
      </c>
      <c r="X187" s="24">
        <v>0</v>
      </c>
      <c r="Y187" s="24">
        <v>0</v>
      </c>
      <c r="Z187" s="24">
        <v>0</v>
      </c>
      <c r="AB187" s="24">
        <v>10001</v>
      </c>
      <c r="AC187" s="24">
        <v>-1</v>
      </c>
      <c r="AD187" s="24">
        <v>-1</v>
      </c>
      <c r="AE187" s="24">
        <v>-1</v>
      </c>
      <c r="AG187" s="24">
        <v>1</v>
      </c>
      <c r="AH187" s="24">
        <v>0</v>
      </c>
      <c r="AI187" s="24">
        <v>0</v>
      </c>
      <c r="AJ187" s="24">
        <v>0</v>
      </c>
      <c r="AK187" s="24">
        <v>0</v>
      </c>
      <c r="AL187" s="24">
        <v>0</v>
      </c>
      <c r="AM187" s="24">
        <v>0</v>
      </c>
      <c r="AN187" s="24">
        <v>0</v>
      </c>
      <c r="AO187" s="24">
        <v>0</v>
      </c>
      <c r="AP187" s="24">
        <v>0</v>
      </c>
      <c r="AQ187" s="24">
        <v>0</v>
      </c>
      <c r="AR187" s="24">
        <v>0</v>
      </c>
      <c r="AS187" s="24">
        <v>0</v>
      </c>
      <c r="AT187" s="24">
        <v>0</v>
      </c>
      <c r="AU187" s="24">
        <v>0</v>
      </c>
      <c r="AV187" s="24">
        <v>0</v>
      </c>
      <c r="AW187" s="24">
        <v>0</v>
      </c>
      <c r="AX187" s="24">
        <v>0</v>
      </c>
      <c r="AY187" s="24">
        <v>0</v>
      </c>
      <c r="BA187" s="24">
        <v>0</v>
      </c>
      <c r="BB187" s="24">
        <v>1800</v>
      </c>
      <c r="BC187" s="24">
        <v>2000</v>
      </c>
      <c r="BD187" s="24">
        <v>0</v>
      </c>
      <c r="BE187" s="24">
        <v>1500</v>
      </c>
      <c r="BF187" s="24">
        <v>1</v>
      </c>
      <c r="BG187" s="25">
        <v>0</v>
      </c>
      <c r="BH187" s="24">
        <v>3</v>
      </c>
      <c r="BI187" s="24">
        <v>0</v>
      </c>
      <c r="BJ187" s="24">
        <v>0</v>
      </c>
      <c r="BK187" s="24">
        <v>0</v>
      </c>
      <c r="BL187" s="25">
        <v>126</v>
      </c>
      <c r="BM187" s="24">
        <v>0</v>
      </c>
      <c r="BO187" s="25">
        <v>1</v>
      </c>
      <c r="BP187" s="24">
        <v>0</v>
      </c>
      <c r="BQ187" s="24">
        <v>0</v>
      </c>
      <c r="BR187" s="24">
        <v>1</v>
      </c>
      <c r="BS187" s="24">
        <v>0</v>
      </c>
      <c r="BT187" s="24">
        <v>0</v>
      </c>
      <c r="BU187" s="24">
        <v>0</v>
      </c>
      <c r="BV187" s="24">
        <v>0</v>
      </c>
      <c r="BW187" s="24">
        <v>0</v>
      </c>
      <c r="BX187" s="24">
        <v>0</v>
      </c>
      <c r="BZ187" s="24">
        <v>15220</v>
      </c>
      <c r="CA187" s="24">
        <v>0</v>
      </c>
      <c r="CB187" s="24">
        <v>0</v>
      </c>
      <c r="CC187" s="24">
        <v>0</v>
      </c>
      <c r="CD187" s="24">
        <v>0</v>
      </c>
      <c r="CE187" s="24">
        <v>0</v>
      </c>
      <c r="CG187" s="24">
        <v>-1</v>
      </c>
      <c r="CH187" s="24">
        <v>0</v>
      </c>
      <c r="CI187" s="24">
        <v>0</v>
      </c>
      <c r="CJ187" s="24">
        <v>0</v>
      </c>
      <c r="CK187" s="24">
        <v>0</v>
      </c>
      <c r="CL187" s="24">
        <v>0</v>
      </c>
      <c r="CM187" s="24">
        <v>0</v>
      </c>
      <c r="CN187" s="24">
        <v>0</v>
      </c>
      <c r="CO187" s="24">
        <v>0</v>
      </c>
      <c r="CQ187" s="24">
        <v>0</v>
      </c>
      <c r="CR187" s="24">
        <v>0</v>
      </c>
      <c r="CS187" s="24">
        <v>0</v>
      </c>
      <c r="CT187" s="24">
        <v>0</v>
      </c>
      <c r="CV187" s="24">
        <v>110303</v>
      </c>
      <c r="CW187" s="24">
        <v>0</v>
      </c>
      <c r="CX187" s="24">
        <v>-1</v>
      </c>
      <c r="CY187" s="26">
        <v>0</v>
      </c>
      <c r="CZ187" s="24">
        <v>2</v>
      </c>
      <c r="DA187" s="24">
        <v>0</v>
      </c>
      <c r="DC187" s="24">
        <v>1</v>
      </c>
      <c r="DD187" s="24">
        <v>1</v>
      </c>
      <c r="DE187" s="24">
        <v>0</v>
      </c>
      <c r="DF187" s="24">
        <v>0</v>
      </c>
      <c r="DG187" s="24">
        <v>-1</v>
      </c>
      <c r="DI187" s="24">
        <v>0</v>
      </c>
      <c r="DJ187" s="24">
        <v>0</v>
      </c>
      <c r="DL187" s="24">
        <v>0</v>
      </c>
      <c r="DM187" s="24">
        <v>0</v>
      </c>
      <c r="DO187" s="24">
        <v>0</v>
      </c>
      <c r="DP187" s="24">
        <v>0</v>
      </c>
      <c r="DQ187" s="24">
        <v>0</v>
      </c>
      <c r="DR187" s="24">
        <v>0</v>
      </c>
      <c r="DS187" s="24">
        <v>0</v>
      </c>
      <c r="DT187" s="24">
        <v>0</v>
      </c>
      <c r="DV187" s="24">
        <v>0</v>
      </c>
      <c r="DW187" s="24">
        <v>0</v>
      </c>
      <c r="DX187" s="24">
        <v>0</v>
      </c>
      <c r="DY187" s="24">
        <v>0</v>
      </c>
      <c r="DZ187" s="24">
        <v>0</v>
      </c>
    </row>
    <row r="188" spans="1:130">
      <c r="A188" s="24" t="s">
        <v>142</v>
      </c>
      <c r="B188" s="24" t="s">
        <v>142</v>
      </c>
      <c r="C188" s="24" t="s">
        <v>142</v>
      </c>
      <c r="D188" s="24" t="s">
        <v>142</v>
      </c>
      <c r="E188" s="24">
        <v>15230</v>
      </c>
      <c r="F188" s="24" t="s">
        <v>436</v>
      </c>
      <c r="G188" s="24">
        <v>0</v>
      </c>
      <c r="H188" s="24">
        <v>515230</v>
      </c>
      <c r="I188" s="24" t="s">
        <v>436</v>
      </c>
      <c r="J188" s="24" t="s">
        <v>436</v>
      </c>
      <c r="K188" s="24" t="s">
        <v>812</v>
      </c>
      <c r="M188" s="24">
        <v>102</v>
      </c>
      <c r="N188" s="24">
        <v>0</v>
      </c>
      <c r="P188" s="25">
        <v>2</v>
      </c>
      <c r="Q188" s="25">
        <v>2097152</v>
      </c>
      <c r="R188" s="24">
        <v>0</v>
      </c>
      <c r="S188" s="25">
        <v>0</v>
      </c>
      <c r="T188" s="24"/>
      <c r="U188" s="24">
        <v>0</v>
      </c>
      <c r="V188" s="25">
        <v>0</v>
      </c>
      <c r="W188" s="24">
        <v>0</v>
      </c>
      <c r="X188" s="24">
        <v>0</v>
      </c>
      <c r="Y188" s="24">
        <v>0</v>
      </c>
      <c r="Z188" s="24">
        <v>0</v>
      </c>
      <c r="AB188" s="24">
        <v>10001</v>
      </c>
      <c r="AC188" s="24">
        <v>-1</v>
      </c>
      <c r="AD188" s="24">
        <v>-1</v>
      </c>
      <c r="AE188" s="24">
        <v>-1</v>
      </c>
      <c r="AG188" s="24">
        <v>1</v>
      </c>
      <c r="AH188" s="24">
        <v>0</v>
      </c>
      <c r="AI188" s="24">
        <v>0</v>
      </c>
      <c r="AJ188" s="24">
        <v>0</v>
      </c>
      <c r="AK188" s="24">
        <v>0</v>
      </c>
      <c r="AL188" s="24">
        <v>0</v>
      </c>
      <c r="AM188" s="24">
        <v>0</v>
      </c>
      <c r="AN188" s="24">
        <v>0</v>
      </c>
      <c r="AO188" s="24">
        <v>0</v>
      </c>
      <c r="AP188" s="24">
        <v>0</v>
      </c>
      <c r="AQ188" s="24">
        <v>0</v>
      </c>
      <c r="AR188" s="24">
        <v>0</v>
      </c>
      <c r="AS188" s="24">
        <v>0</v>
      </c>
      <c r="AT188" s="24">
        <v>0</v>
      </c>
      <c r="AU188" s="24">
        <v>0</v>
      </c>
      <c r="AV188" s="24">
        <v>0</v>
      </c>
      <c r="AW188" s="24">
        <v>0</v>
      </c>
      <c r="AX188" s="24">
        <v>0</v>
      </c>
      <c r="AY188" s="24">
        <v>0</v>
      </c>
      <c r="BA188" s="24">
        <v>0</v>
      </c>
      <c r="BB188" s="24">
        <v>500</v>
      </c>
      <c r="BC188" s="24">
        <v>1000</v>
      </c>
      <c r="BD188" s="24">
        <v>0</v>
      </c>
      <c r="BE188" s="24">
        <v>200</v>
      </c>
      <c r="BF188" s="24">
        <v>1</v>
      </c>
      <c r="BG188" s="25">
        <v>0</v>
      </c>
      <c r="BH188" s="24">
        <v>3</v>
      </c>
      <c r="BI188" s="24">
        <v>0</v>
      </c>
      <c r="BJ188" s="24">
        <v>0</v>
      </c>
      <c r="BK188" s="24">
        <v>0</v>
      </c>
      <c r="BL188" s="25">
        <v>126</v>
      </c>
      <c r="BM188" s="24">
        <v>0</v>
      </c>
      <c r="BO188" s="25">
        <v>1</v>
      </c>
      <c r="BP188" s="24">
        <v>20</v>
      </c>
      <c r="BQ188" s="24">
        <v>0</v>
      </c>
      <c r="BR188" s="24">
        <v>1</v>
      </c>
      <c r="BS188" s="24">
        <v>0</v>
      </c>
      <c r="BT188" s="24">
        <v>0</v>
      </c>
      <c r="BU188" s="24">
        <v>0</v>
      </c>
      <c r="BV188" s="24">
        <v>0</v>
      </c>
      <c r="BW188" s="24">
        <v>0</v>
      </c>
      <c r="BX188" s="24">
        <v>0</v>
      </c>
      <c r="BZ188" s="24">
        <v>15230</v>
      </c>
      <c r="CA188" s="24">
        <v>0</v>
      </c>
      <c r="CB188" s="24">
        <v>0</v>
      </c>
      <c r="CC188" s="24">
        <v>0</v>
      </c>
      <c r="CD188" s="24">
        <v>0</v>
      </c>
      <c r="CE188" s="24">
        <v>0</v>
      </c>
      <c r="CG188" s="24">
        <v>-1</v>
      </c>
      <c r="CH188" s="24">
        <v>0</v>
      </c>
      <c r="CI188" s="24">
        <v>0</v>
      </c>
      <c r="CJ188" s="24">
        <v>0</v>
      </c>
      <c r="CK188" s="24">
        <v>0</v>
      </c>
      <c r="CL188" s="24">
        <v>0</v>
      </c>
      <c r="CM188" s="24">
        <v>0</v>
      </c>
      <c r="CN188" s="24">
        <v>0</v>
      </c>
      <c r="CO188" s="24">
        <v>0</v>
      </c>
      <c r="CQ188" s="24">
        <v>0</v>
      </c>
      <c r="CR188" s="24">
        <v>0</v>
      </c>
      <c r="CS188" s="24">
        <v>0</v>
      </c>
      <c r="CT188" s="24">
        <v>0</v>
      </c>
      <c r="CV188" s="24">
        <v>110310</v>
      </c>
      <c r="CW188" s="24">
        <v>0</v>
      </c>
      <c r="CX188" s="24">
        <v>-1</v>
      </c>
      <c r="CY188" s="26">
        <v>0</v>
      </c>
      <c r="CZ188" s="24">
        <v>10</v>
      </c>
      <c r="DA188" s="24">
        <v>0</v>
      </c>
      <c r="DC188" s="24">
        <v>1</v>
      </c>
      <c r="DD188" s="24">
        <v>1</v>
      </c>
      <c r="DE188" s="24">
        <v>0</v>
      </c>
      <c r="DF188" s="24">
        <v>0</v>
      </c>
      <c r="DG188" s="24">
        <v>-1</v>
      </c>
      <c r="DI188" s="24">
        <v>0</v>
      </c>
      <c r="DJ188" s="24">
        <v>0</v>
      </c>
      <c r="DL188" s="24">
        <v>0</v>
      </c>
      <c r="DM188" s="24">
        <v>0</v>
      </c>
      <c r="DO188" s="24">
        <v>0</v>
      </c>
      <c r="DP188" s="24">
        <v>0</v>
      </c>
      <c r="DQ188" s="24">
        <v>0</v>
      </c>
      <c r="DR188" s="24">
        <v>0</v>
      </c>
      <c r="DS188" s="24">
        <v>0</v>
      </c>
      <c r="DT188" s="24">
        <v>0</v>
      </c>
      <c r="DV188" s="24">
        <v>0</v>
      </c>
      <c r="DW188" s="24">
        <v>0</v>
      </c>
      <c r="DX188" s="24">
        <v>0</v>
      </c>
      <c r="DY188" s="24">
        <v>0</v>
      </c>
      <c r="DZ188" s="24">
        <v>0</v>
      </c>
    </row>
    <row r="189" spans="1:130">
      <c r="A189" s="24" t="s">
        <v>142</v>
      </c>
      <c r="B189" s="24" t="s">
        <v>142</v>
      </c>
      <c r="C189" s="24" t="s">
        <v>142</v>
      </c>
      <c r="D189" s="24" t="s">
        <v>142</v>
      </c>
      <c r="E189" s="24">
        <v>15231</v>
      </c>
      <c r="F189" s="24" t="s">
        <v>437</v>
      </c>
      <c r="G189" s="24">
        <v>0</v>
      </c>
      <c r="H189" s="24">
        <v>515231</v>
      </c>
      <c r="I189" s="24" t="s">
        <v>437</v>
      </c>
      <c r="J189" s="24" t="s">
        <v>437</v>
      </c>
      <c r="K189" s="24" t="s">
        <v>473</v>
      </c>
      <c r="M189" s="24">
        <v>0</v>
      </c>
      <c r="N189" s="24">
        <v>0</v>
      </c>
      <c r="P189" s="25">
        <v>2</v>
      </c>
      <c r="Q189" s="25">
        <v>0</v>
      </c>
      <c r="R189" s="24">
        <v>0</v>
      </c>
      <c r="S189" s="25">
        <v>0</v>
      </c>
      <c r="T189" s="24"/>
      <c r="U189" s="24">
        <v>1</v>
      </c>
      <c r="V189" s="25">
        <v>2</v>
      </c>
      <c r="W189" s="24">
        <v>1</v>
      </c>
      <c r="X189" s="24">
        <v>15230</v>
      </c>
      <c r="Y189" s="24">
        <v>0</v>
      </c>
      <c r="Z189" s="24">
        <v>1000</v>
      </c>
      <c r="AB189" s="24">
        <v>10001</v>
      </c>
      <c r="AC189" s="24">
        <v>-1</v>
      </c>
      <c r="AD189" s="24">
        <v>-1</v>
      </c>
      <c r="AE189" s="24">
        <v>-1</v>
      </c>
      <c r="AG189" s="24">
        <v>1</v>
      </c>
      <c r="AH189" s="24">
        <v>0</v>
      </c>
      <c r="AI189" s="24">
        <v>0</v>
      </c>
      <c r="AJ189" s="24">
        <v>0</v>
      </c>
      <c r="AK189" s="24">
        <v>0</v>
      </c>
      <c r="AL189" s="24">
        <v>0</v>
      </c>
      <c r="AM189" s="24">
        <v>0</v>
      </c>
      <c r="AN189" s="24">
        <v>0</v>
      </c>
      <c r="AO189" s="24">
        <v>0</v>
      </c>
      <c r="AP189" s="24">
        <v>0</v>
      </c>
      <c r="AQ189" s="24">
        <v>0</v>
      </c>
      <c r="AR189" s="24">
        <v>0</v>
      </c>
      <c r="AS189" s="24">
        <v>0</v>
      </c>
      <c r="AT189" s="24">
        <v>0</v>
      </c>
      <c r="AU189" s="24">
        <v>0</v>
      </c>
      <c r="AV189" s="24">
        <v>0</v>
      </c>
      <c r="AW189" s="24">
        <v>0</v>
      </c>
      <c r="AX189" s="24">
        <v>0</v>
      </c>
      <c r="AY189" s="24">
        <v>0</v>
      </c>
      <c r="BA189" s="24">
        <v>0</v>
      </c>
      <c r="BB189" s="24">
        <v>0</v>
      </c>
      <c r="BC189" s="24">
        <v>0</v>
      </c>
      <c r="BD189" s="24">
        <v>0</v>
      </c>
      <c r="BE189" s="24">
        <v>0</v>
      </c>
      <c r="BF189" s="24">
        <v>1</v>
      </c>
      <c r="BG189" s="25">
        <v>1</v>
      </c>
      <c r="BH189" s="24">
        <v>1</v>
      </c>
      <c r="BI189" s="24">
        <v>0</v>
      </c>
      <c r="BJ189" s="24">
        <v>0</v>
      </c>
      <c r="BK189" s="24">
        <v>0</v>
      </c>
      <c r="BL189" s="25">
        <v>126</v>
      </c>
      <c r="BM189" s="24">
        <v>0</v>
      </c>
      <c r="BO189" s="25">
        <v>8</v>
      </c>
      <c r="BP189" s="24">
        <v>20</v>
      </c>
      <c r="BQ189" s="24">
        <v>0</v>
      </c>
      <c r="BR189" s="24">
        <v>2</v>
      </c>
      <c r="BS189" s="24">
        <v>50</v>
      </c>
      <c r="BT189" s="24">
        <v>0</v>
      </c>
      <c r="BU189" s="24">
        <v>0</v>
      </c>
      <c r="BV189" s="24">
        <v>6</v>
      </c>
      <c r="BW189" s="24">
        <v>0</v>
      </c>
      <c r="BX189" s="24">
        <v>4</v>
      </c>
      <c r="BZ189" s="24">
        <v>-1</v>
      </c>
      <c r="CA189" s="24">
        <v>0</v>
      </c>
      <c r="CB189" s="24">
        <v>0</v>
      </c>
      <c r="CC189" s="24">
        <v>0</v>
      </c>
      <c r="CD189" s="24">
        <v>0</v>
      </c>
      <c r="CE189" s="24">
        <v>0</v>
      </c>
      <c r="CG189" s="24">
        <v>0</v>
      </c>
      <c r="CH189" s="24">
        <v>0</v>
      </c>
      <c r="CI189" s="24">
        <v>0</v>
      </c>
      <c r="CJ189" s="24">
        <v>0</v>
      </c>
      <c r="CK189" s="24">
        <v>1</v>
      </c>
      <c r="CL189" s="24">
        <v>5</v>
      </c>
      <c r="CM189" s="24">
        <v>0</v>
      </c>
      <c r="CN189" s="24">
        <v>1000</v>
      </c>
      <c r="CO189" s="24">
        <v>1100</v>
      </c>
      <c r="CQ189" s="24">
        <v>0</v>
      </c>
      <c r="CR189" s="24">
        <v>0</v>
      </c>
      <c r="CS189" s="24">
        <v>0</v>
      </c>
      <c r="CT189" s="24">
        <v>0</v>
      </c>
      <c r="CV189" s="24">
        <v>0</v>
      </c>
      <c r="CW189" s="24">
        <v>0</v>
      </c>
      <c r="CX189" s="24">
        <v>101</v>
      </c>
      <c r="CY189" s="26">
        <v>1</v>
      </c>
      <c r="CZ189" s="24">
        <v>0</v>
      </c>
      <c r="DA189" s="24">
        <v>0</v>
      </c>
      <c r="DC189" s="24">
        <v>1</v>
      </c>
      <c r="DD189" s="24">
        <v>1</v>
      </c>
      <c r="DE189" s="24">
        <v>0</v>
      </c>
      <c r="DF189" s="24">
        <v>0</v>
      </c>
      <c r="DG189" s="24">
        <v>-1</v>
      </c>
      <c r="DI189" s="24">
        <v>0</v>
      </c>
      <c r="DJ189" s="24">
        <v>0</v>
      </c>
      <c r="DL189" s="24">
        <v>0</v>
      </c>
      <c r="DM189" s="24">
        <v>0</v>
      </c>
      <c r="DO189" s="24">
        <v>0</v>
      </c>
      <c r="DP189" s="24">
        <v>0</v>
      </c>
      <c r="DQ189" s="24">
        <v>0</v>
      </c>
      <c r="DR189" s="24">
        <v>0</v>
      </c>
      <c r="DS189" s="24">
        <v>0</v>
      </c>
      <c r="DT189" s="24">
        <v>0</v>
      </c>
      <c r="DV189" s="24">
        <v>0</v>
      </c>
      <c r="DW189" s="24">
        <v>0</v>
      </c>
      <c r="DX189" s="24">
        <v>0</v>
      </c>
      <c r="DY189" s="24">
        <v>0</v>
      </c>
      <c r="DZ189" s="24">
        <v>0</v>
      </c>
    </row>
    <row r="190" spans="1:130">
      <c r="A190" s="24" t="s">
        <v>142</v>
      </c>
      <c r="B190" s="24" t="s">
        <v>142</v>
      </c>
      <c r="C190" s="24" t="s">
        <v>142</v>
      </c>
      <c r="D190" s="24" t="s">
        <v>142</v>
      </c>
      <c r="E190" s="24">
        <v>15232</v>
      </c>
      <c r="F190" s="24" t="s">
        <v>939</v>
      </c>
      <c r="G190" s="24">
        <v>0</v>
      </c>
      <c r="H190" s="24">
        <v>515232</v>
      </c>
      <c r="I190" s="24" t="s">
        <v>939</v>
      </c>
      <c r="J190" s="24" t="s">
        <v>939</v>
      </c>
      <c r="K190" s="24" t="s">
        <v>473</v>
      </c>
      <c r="M190" s="24">
        <v>102</v>
      </c>
      <c r="N190" s="24">
        <v>0</v>
      </c>
      <c r="P190" s="25">
        <v>4</v>
      </c>
      <c r="Q190" s="25">
        <v>65536</v>
      </c>
      <c r="R190" s="24">
        <v>0</v>
      </c>
      <c r="S190" s="25">
        <v>262208</v>
      </c>
      <c r="T190" s="24"/>
      <c r="U190" s="24">
        <v>0</v>
      </c>
      <c r="V190" s="25">
        <v>0</v>
      </c>
      <c r="W190" s="24">
        <v>0</v>
      </c>
      <c r="X190" s="24">
        <v>0</v>
      </c>
      <c r="Y190" s="24">
        <v>0</v>
      </c>
      <c r="Z190" s="24">
        <v>0</v>
      </c>
      <c r="AB190" s="24">
        <v>20001</v>
      </c>
      <c r="AC190" s="24">
        <v>-1</v>
      </c>
      <c r="AD190" s="24">
        <v>-1</v>
      </c>
      <c r="AE190" s="24">
        <v>-1</v>
      </c>
      <c r="AG190" s="24">
        <v>1</v>
      </c>
      <c r="AH190" s="24">
        <v>0</v>
      </c>
      <c r="AI190" s="24">
        <v>0</v>
      </c>
      <c r="AJ190" s="24">
        <v>0</v>
      </c>
      <c r="AK190" s="24">
        <v>0</v>
      </c>
      <c r="AL190" s="24">
        <v>0</v>
      </c>
      <c r="AM190" s="24">
        <v>0</v>
      </c>
      <c r="AN190" s="24">
        <v>0</v>
      </c>
      <c r="AO190" s="24">
        <v>0</v>
      </c>
      <c r="AP190" s="24">
        <v>0</v>
      </c>
      <c r="AQ190" s="24">
        <v>0</v>
      </c>
      <c r="AR190" s="24">
        <v>0</v>
      </c>
      <c r="AS190" s="24">
        <v>0</v>
      </c>
      <c r="AT190" s="24">
        <v>0</v>
      </c>
      <c r="AU190" s="24">
        <v>0</v>
      </c>
      <c r="AV190" s="24">
        <v>0</v>
      </c>
      <c r="AW190" s="24">
        <v>0</v>
      </c>
      <c r="AX190" s="24">
        <v>0</v>
      </c>
      <c r="AY190" s="24">
        <v>0</v>
      </c>
      <c r="BA190" s="24">
        <v>0</v>
      </c>
      <c r="BB190" s="24">
        <v>0</v>
      </c>
      <c r="BC190" s="24">
        <v>0</v>
      </c>
      <c r="BD190" s="24">
        <v>0</v>
      </c>
      <c r="BE190" s="24">
        <v>500</v>
      </c>
      <c r="BF190" s="24">
        <v>-1</v>
      </c>
      <c r="BG190" s="25">
        <v>2</v>
      </c>
      <c r="BH190" s="24">
        <v>2</v>
      </c>
      <c r="BI190" s="24">
        <v>0</v>
      </c>
      <c r="BJ190" s="24">
        <v>0</v>
      </c>
      <c r="BK190" s="24">
        <v>0</v>
      </c>
      <c r="BL190" s="25">
        <v>126</v>
      </c>
      <c r="BM190" s="24">
        <v>0</v>
      </c>
      <c r="BO190" s="25">
        <v>1</v>
      </c>
      <c r="BP190" s="24">
        <v>0</v>
      </c>
      <c r="BQ190" s="24">
        <v>0</v>
      </c>
      <c r="BR190" s="24">
        <v>2</v>
      </c>
      <c r="BS190" s="24">
        <v>80</v>
      </c>
      <c r="BT190" s="24">
        <v>0</v>
      </c>
      <c r="BU190" s="24">
        <v>0</v>
      </c>
      <c r="BV190" s="24">
        <v>5</v>
      </c>
      <c r="BW190" s="24">
        <v>0</v>
      </c>
      <c r="BX190" s="24">
        <v>4</v>
      </c>
      <c r="BZ190" s="24">
        <v>-1</v>
      </c>
      <c r="CA190" s="24">
        <v>0</v>
      </c>
      <c r="CB190" s="24">
        <v>0</v>
      </c>
      <c r="CC190" s="24">
        <v>0</v>
      </c>
      <c r="CD190" s="24">
        <v>0</v>
      </c>
      <c r="CE190" s="24">
        <v>0</v>
      </c>
      <c r="CG190" s="24">
        <v>-1</v>
      </c>
      <c r="CH190" s="24">
        <v>0</v>
      </c>
      <c r="CI190" s="24">
        <v>0</v>
      </c>
      <c r="CJ190" s="24">
        <v>0</v>
      </c>
      <c r="CK190" s="24">
        <v>0</v>
      </c>
      <c r="CL190" s="24">
        <v>0</v>
      </c>
      <c r="CM190" s="24">
        <v>0</v>
      </c>
      <c r="CN190" s="24">
        <v>0</v>
      </c>
      <c r="CO190" s="24">
        <v>0</v>
      </c>
      <c r="CQ190" s="24">
        <v>0</v>
      </c>
      <c r="CR190" s="24">
        <v>0</v>
      </c>
      <c r="CS190" s="24">
        <v>0</v>
      </c>
      <c r="CT190" s="24">
        <v>0</v>
      </c>
      <c r="CV190" s="24">
        <v>110307</v>
      </c>
      <c r="CW190" s="24">
        <v>0</v>
      </c>
      <c r="CX190" s="24">
        <v>-1</v>
      </c>
      <c r="CY190" s="26">
        <v>0</v>
      </c>
      <c r="CZ190" s="24">
        <v>0</v>
      </c>
      <c r="DA190" s="24">
        <v>0</v>
      </c>
      <c r="DC190" s="24">
        <v>1</v>
      </c>
      <c r="DD190" s="24">
        <v>1</v>
      </c>
      <c r="DE190" s="24">
        <v>0</v>
      </c>
      <c r="DF190" s="24">
        <v>0</v>
      </c>
      <c r="DG190" s="24">
        <v>-1</v>
      </c>
      <c r="DI190" s="24">
        <v>0</v>
      </c>
      <c r="DJ190" s="24">
        <v>0</v>
      </c>
      <c r="DL190" s="24">
        <v>0</v>
      </c>
      <c r="DM190" s="24">
        <v>0</v>
      </c>
      <c r="DO190" s="24">
        <v>0</v>
      </c>
      <c r="DP190" s="24">
        <v>0</v>
      </c>
      <c r="DQ190" s="24">
        <v>0</v>
      </c>
      <c r="DR190" s="24">
        <v>0</v>
      </c>
      <c r="DS190" s="24">
        <v>0</v>
      </c>
      <c r="DT190" s="24">
        <v>0</v>
      </c>
      <c r="DV190" s="24">
        <v>0</v>
      </c>
      <c r="DW190" s="24">
        <v>0</v>
      </c>
      <c r="DX190" s="24">
        <v>0</v>
      </c>
      <c r="DY190" s="24">
        <v>0</v>
      </c>
      <c r="DZ190" s="24">
        <v>0</v>
      </c>
    </row>
    <row r="191" spans="1:130">
      <c r="A191" s="24" t="s">
        <v>142</v>
      </c>
      <c r="B191" s="24" t="s">
        <v>142</v>
      </c>
      <c r="C191" s="24" t="s">
        <v>142</v>
      </c>
      <c r="D191" s="24" t="s">
        <v>142</v>
      </c>
      <c r="E191" s="24">
        <v>15233</v>
      </c>
      <c r="F191" s="24" t="s">
        <v>940</v>
      </c>
      <c r="G191" s="24">
        <v>0</v>
      </c>
      <c r="H191" s="24">
        <v>515233</v>
      </c>
      <c r="I191" s="24" t="s">
        <v>940</v>
      </c>
      <c r="J191" s="24" t="s">
        <v>940</v>
      </c>
      <c r="K191" s="24" t="s">
        <v>473</v>
      </c>
      <c r="M191" s="24">
        <v>0</v>
      </c>
      <c r="N191" s="14">
        <v>0</v>
      </c>
      <c r="O191" s="14"/>
      <c r="P191" s="25">
        <v>12</v>
      </c>
      <c r="Q191" s="25">
        <v>9732</v>
      </c>
      <c r="R191" s="24">
        <v>0</v>
      </c>
      <c r="S191" s="25">
        <v>0</v>
      </c>
      <c r="T191" s="24"/>
      <c r="U191" s="24">
        <v>14</v>
      </c>
      <c r="V191" s="25">
        <v>2050</v>
      </c>
      <c r="W191" s="24">
        <v>1</v>
      </c>
      <c r="X191" s="14">
        <v>15230</v>
      </c>
      <c r="Y191" s="24">
        <v>0</v>
      </c>
      <c r="Z191" s="24">
        <v>1000</v>
      </c>
      <c r="AB191" s="24">
        <v>30001</v>
      </c>
      <c r="AC191" s="24">
        <v>0</v>
      </c>
      <c r="AD191" s="24">
        <v>0</v>
      </c>
      <c r="AE191" s="24">
        <v>0</v>
      </c>
      <c r="AG191" s="24">
        <v>2</v>
      </c>
      <c r="AH191" s="24">
        <v>0</v>
      </c>
      <c r="AI191" s="24">
        <v>0</v>
      </c>
      <c r="AJ191" s="24">
        <v>0</v>
      </c>
      <c r="AK191" s="24">
        <v>1</v>
      </c>
      <c r="AL191" s="24">
        <v>3</v>
      </c>
      <c r="AM191" s="24">
        <v>0</v>
      </c>
      <c r="AN191" s="24">
        <v>0</v>
      </c>
      <c r="AO191" s="24">
        <v>0</v>
      </c>
      <c r="AP191" s="24">
        <v>5000</v>
      </c>
      <c r="AQ191" s="24">
        <v>0</v>
      </c>
      <c r="AR191" s="24">
        <v>500</v>
      </c>
      <c r="AS191" s="24">
        <v>500</v>
      </c>
      <c r="AT191" s="24">
        <v>10</v>
      </c>
      <c r="AU191" s="24">
        <v>1</v>
      </c>
      <c r="AV191" s="24">
        <v>0</v>
      </c>
      <c r="AW191" s="24">
        <v>0</v>
      </c>
      <c r="AX191" s="24">
        <v>0</v>
      </c>
      <c r="AY191" s="24">
        <v>0</v>
      </c>
      <c r="BA191" s="24">
        <v>0</v>
      </c>
      <c r="BB191" s="24">
        <v>0</v>
      </c>
      <c r="BC191" s="24">
        <v>0</v>
      </c>
      <c r="BD191" s="24">
        <v>0</v>
      </c>
      <c r="BE191" s="24">
        <v>1000</v>
      </c>
      <c r="BF191" s="24">
        <v>-1</v>
      </c>
      <c r="BG191" s="25">
        <v>2</v>
      </c>
      <c r="BH191" s="24">
        <v>2</v>
      </c>
      <c r="BI191" s="24">
        <v>0</v>
      </c>
      <c r="BJ191" s="24">
        <v>0</v>
      </c>
      <c r="BK191" s="24">
        <v>0</v>
      </c>
      <c r="BL191" s="25">
        <v>126</v>
      </c>
      <c r="BM191" s="24">
        <v>0</v>
      </c>
      <c r="BO191" s="25">
        <v>8</v>
      </c>
      <c r="BP191" s="14">
        <v>0</v>
      </c>
      <c r="BQ191" s="24">
        <v>0</v>
      </c>
      <c r="BR191" s="24">
        <v>2</v>
      </c>
      <c r="BS191" s="24">
        <v>50</v>
      </c>
      <c r="BT191" s="24">
        <v>0</v>
      </c>
      <c r="BU191" s="24">
        <v>45</v>
      </c>
      <c r="BV191" s="24">
        <v>5</v>
      </c>
      <c r="BW191" s="24">
        <v>0</v>
      </c>
      <c r="BX191" s="24">
        <v>5</v>
      </c>
      <c r="BZ191" s="24">
        <v>-1</v>
      </c>
      <c r="CA191" s="24">
        <v>0</v>
      </c>
      <c r="CB191" s="24">
        <v>0</v>
      </c>
      <c r="CC191" s="24">
        <v>0</v>
      </c>
      <c r="CD191" s="24">
        <v>0</v>
      </c>
      <c r="CE191" s="24">
        <v>0</v>
      </c>
      <c r="CG191" s="24">
        <v>-1</v>
      </c>
      <c r="CH191" s="24">
        <v>0</v>
      </c>
      <c r="CI191" s="24">
        <v>0</v>
      </c>
      <c r="CJ191" s="24">
        <v>0</v>
      </c>
      <c r="CK191" s="24">
        <v>0</v>
      </c>
      <c r="CL191" s="24">
        <v>0</v>
      </c>
      <c r="CM191" s="24">
        <v>0</v>
      </c>
      <c r="CN191" s="24">
        <v>0</v>
      </c>
      <c r="CO191" s="24">
        <v>0</v>
      </c>
      <c r="CQ191" s="24">
        <v>0</v>
      </c>
      <c r="CR191" s="24">
        <v>0</v>
      </c>
      <c r="CS191" s="24">
        <v>0</v>
      </c>
      <c r="CT191" s="24">
        <v>0</v>
      </c>
      <c r="CV191" s="24">
        <v>0</v>
      </c>
      <c r="CW191" s="24">
        <v>0</v>
      </c>
      <c r="CX191" s="24">
        <v>-1</v>
      </c>
      <c r="CY191" s="26">
        <v>0</v>
      </c>
      <c r="DC191" s="24">
        <v>1</v>
      </c>
      <c r="DD191" s="24">
        <v>1</v>
      </c>
      <c r="DE191" s="24">
        <v>0</v>
      </c>
      <c r="DF191" s="24">
        <v>0</v>
      </c>
      <c r="DG191" s="24">
        <v>-1</v>
      </c>
      <c r="DI191" s="24">
        <v>0</v>
      </c>
      <c r="DJ191" s="24">
        <v>0</v>
      </c>
      <c r="DL191" s="24">
        <v>0</v>
      </c>
      <c r="DM191" s="24">
        <v>0</v>
      </c>
      <c r="DO191" s="24">
        <v>0</v>
      </c>
      <c r="DP191" s="24">
        <v>0</v>
      </c>
      <c r="DQ191" s="24">
        <v>0</v>
      </c>
      <c r="DR191" s="24">
        <v>0</v>
      </c>
      <c r="DS191" s="24">
        <v>0</v>
      </c>
      <c r="DT191" s="24">
        <v>0</v>
      </c>
      <c r="DV191" s="24">
        <v>0</v>
      </c>
      <c r="DW191" s="24">
        <v>0</v>
      </c>
      <c r="DX191" s="24">
        <v>0</v>
      </c>
      <c r="DY191" s="24">
        <v>0</v>
      </c>
      <c r="DZ191" s="24">
        <v>0</v>
      </c>
    </row>
    <row r="192" spans="1:130">
      <c r="A192" s="24" t="s">
        <v>142</v>
      </c>
      <c r="B192" s="24" t="s">
        <v>142</v>
      </c>
      <c r="C192" s="24" t="s">
        <v>142</v>
      </c>
      <c r="D192" s="24" t="s">
        <v>142</v>
      </c>
      <c r="E192" s="24">
        <v>15243</v>
      </c>
      <c r="F192" s="24" t="s">
        <v>457</v>
      </c>
      <c r="G192" s="24">
        <v>0</v>
      </c>
      <c r="H192" s="24">
        <v>515243</v>
      </c>
      <c r="I192" s="24" t="s">
        <v>457</v>
      </c>
      <c r="J192" s="24" t="s">
        <v>457</v>
      </c>
      <c r="K192" s="24" t="s">
        <v>473</v>
      </c>
      <c r="M192" s="24">
        <v>102</v>
      </c>
      <c r="N192" s="24">
        <v>0</v>
      </c>
      <c r="P192" s="25">
        <v>4</v>
      </c>
      <c r="Q192" s="25">
        <v>65536</v>
      </c>
      <c r="R192" s="24">
        <v>0</v>
      </c>
      <c r="S192" s="25">
        <v>262144</v>
      </c>
      <c r="T192" s="24"/>
      <c r="U192" s="24">
        <v>0</v>
      </c>
      <c r="V192" s="25">
        <v>0</v>
      </c>
      <c r="W192" s="24">
        <v>0</v>
      </c>
      <c r="X192" s="24">
        <v>0</v>
      </c>
      <c r="Y192" s="24">
        <v>0</v>
      </c>
      <c r="Z192" s="24">
        <v>0</v>
      </c>
      <c r="AB192" s="24">
        <v>20001</v>
      </c>
      <c r="AC192" s="24">
        <v>-1</v>
      </c>
      <c r="AD192" s="24">
        <v>-1</v>
      </c>
      <c r="AE192" s="24">
        <v>-1</v>
      </c>
      <c r="AG192" s="24">
        <v>1</v>
      </c>
      <c r="AH192" s="24">
        <v>0</v>
      </c>
      <c r="AI192" s="24">
        <v>0</v>
      </c>
      <c r="AJ192" s="24">
        <v>0</v>
      </c>
      <c r="AK192" s="24">
        <v>0</v>
      </c>
      <c r="AL192" s="24">
        <v>0</v>
      </c>
      <c r="AM192" s="24">
        <v>0</v>
      </c>
      <c r="AN192" s="24">
        <v>0</v>
      </c>
      <c r="AO192" s="24">
        <v>0</v>
      </c>
      <c r="AP192" s="24">
        <v>0</v>
      </c>
      <c r="AQ192" s="24">
        <v>0</v>
      </c>
      <c r="AR192" s="24">
        <v>0</v>
      </c>
      <c r="AS192" s="24">
        <v>0</v>
      </c>
      <c r="AT192" s="24">
        <v>0</v>
      </c>
      <c r="AU192" s="24">
        <v>0</v>
      </c>
      <c r="AV192" s="24">
        <v>0</v>
      </c>
      <c r="AW192" s="24">
        <v>0</v>
      </c>
      <c r="AX192" s="24">
        <v>0</v>
      </c>
      <c r="AY192" s="24">
        <v>0</v>
      </c>
      <c r="BA192" s="24">
        <v>0</v>
      </c>
      <c r="BB192" s="24">
        <v>0</v>
      </c>
      <c r="BC192" s="24">
        <v>0</v>
      </c>
      <c r="BD192" s="24">
        <v>0</v>
      </c>
      <c r="BE192" s="24">
        <v>1500</v>
      </c>
      <c r="BF192" s="24">
        <v>-1</v>
      </c>
      <c r="BG192" s="25">
        <v>2</v>
      </c>
      <c r="BH192" s="24">
        <v>2</v>
      </c>
      <c r="BI192" s="24">
        <v>0</v>
      </c>
      <c r="BJ192" s="24">
        <v>0</v>
      </c>
      <c r="BK192" s="24">
        <v>0</v>
      </c>
      <c r="BL192" s="25">
        <v>126</v>
      </c>
      <c r="BM192" s="24">
        <v>0</v>
      </c>
      <c r="BO192" s="25">
        <v>1</v>
      </c>
      <c r="BP192" s="24">
        <v>0</v>
      </c>
      <c r="BQ192" s="24">
        <v>0</v>
      </c>
      <c r="BR192" s="24">
        <v>2</v>
      </c>
      <c r="BS192" s="24">
        <v>80</v>
      </c>
      <c r="BT192" s="24">
        <v>0</v>
      </c>
      <c r="BU192" s="24">
        <v>0</v>
      </c>
      <c r="BV192" s="24">
        <v>5</v>
      </c>
      <c r="BW192" s="24">
        <v>0</v>
      </c>
      <c r="BX192" s="24">
        <v>4</v>
      </c>
      <c r="BZ192" s="24">
        <v>-1</v>
      </c>
      <c r="CA192" s="24">
        <v>0</v>
      </c>
      <c r="CB192" s="24">
        <v>0</v>
      </c>
      <c r="CC192" s="24">
        <v>0</v>
      </c>
      <c r="CD192" s="24">
        <v>0</v>
      </c>
      <c r="CE192" s="24">
        <v>0</v>
      </c>
      <c r="CG192" s="24">
        <v>-1</v>
      </c>
      <c r="CH192" s="24">
        <v>0</v>
      </c>
      <c r="CI192" s="24">
        <v>0</v>
      </c>
      <c r="CJ192" s="24">
        <v>0</v>
      </c>
      <c r="CK192" s="24">
        <v>0</v>
      </c>
      <c r="CL192" s="24">
        <v>0</v>
      </c>
      <c r="CM192" s="24">
        <v>0</v>
      </c>
      <c r="CN192" s="24">
        <v>0</v>
      </c>
      <c r="CO192" s="24">
        <v>0</v>
      </c>
      <c r="CQ192" s="24">
        <v>0</v>
      </c>
      <c r="CR192" s="24">
        <v>0</v>
      </c>
      <c r="CS192" s="24">
        <v>0</v>
      </c>
      <c r="CT192" s="24">
        <v>0</v>
      </c>
      <c r="CV192" s="24">
        <v>110307</v>
      </c>
      <c r="CW192" s="24">
        <v>0</v>
      </c>
      <c r="CX192" s="24">
        <v>-1</v>
      </c>
      <c r="CY192" s="26">
        <v>0</v>
      </c>
      <c r="CZ192" s="24">
        <v>0</v>
      </c>
      <c r="DA192" s="24">
        <v>0</v>
      </c>
      <c r="DC192" s="24">
        <v>1</v>
      </c>
      <c r="DD192" s="24">
        <v>1</v>
      </c>
      <c r="DE192" s="24">
        <v>0</v>
      </c>
      <c r="DF192" s="24">
        <v>0</v>
      </c>
      <c r="DG192" s="24">
        <v>-1</v>
      </c>
      <c r="DI192" s="24">
        <v>0</v>
      </c>
      <c r="DJ192" s="24">
        <v>0</v>
      </c>
      <c r="DL192" s="24">
        <v>0</v>
      </c>
      <c r="DM192" s="24">
        <v>0</v>
      </c>
      <c r="DO192" s="24">
        <v>0</v>
      </c>
      <c r="DP192" s="24">
        <v>0</v>
      </c>
      <c r="DQ192" s="24">
        <v>0</v>
      </c>
      <c r="DR192" s="24">
        <v>0</v>
      </c>
      <c r="DS192" s="24">
        <v>0</v>
      </c>
      <c r="DT192" s="24">
        <v>0</v>
      </c>
      <c r="DV192" s="24">
        <v>0</v>
      </c>
      <c r="DW192" s="24">
        <v>0</v>
      </c>
      <c r="DX192" s="24">
        <v>0</v>
      </c>
      <c r="DY192" s="24">
        <v>0</v>
      </c>
      <c r="DZ192" s="24">
        <v>0</v>
      </c>
    </row>
    <row r="193" spans="1:130">
      <c r="A193" s="24" t="s">
        <v>142</v>
      </c>
      <c r="B193" s="24" t="s">
        <v>142</v>
      </c>
      <c r="C193" s="24" t="s">
        <v>142</v>
      </c>
      <c r="D193" s="24" t="s">
        <v>142</v>
      </c>
      <c r="E193" s="24">
        <v>15244</v>
      </c>
      <c r="F193" s="24" t="s">
        <v>458</v>
      </c>
      <c r="G193" s="24">
        <v>0</v>
      </c>
      <c r="H193" s="24">
        <v>515244</v>
      </c>
      <c r="I193" s="24" t="s">
        <v>458</v>
      </c>
      <c r="J193" s="24" t="s">
        <v>458</v>
      </c>
      <c r="K193" s="24" t="s">
        <v>473</v>
      </c>
      <c r="M193" s="24">
        <v>102</v>
      </c>
      <c r="N193" s="24">
        <v>0</v>
      </c>
      <c r="P193" s="25">
        <v>2</v>
      </c>
      <c r="Q193" s="25">
        <v>524288</v>
      </c>
      <c r="R193" s="24">
        <v>0</v>
      </c>
      <c r="S193" s="25">
        <v>3</v>
      </c>
      <c r="T193" s="24"/>
      <c r="U193" s="24">
        <v>0</v>
      </c>
      <c r="V193" s="25">
        <v>0</v>
      </c>
      <c r="W193" s="24">
        <v>0</v>
      </c>
      <c r="X193" s="24">
        <v>0</v>
      </c>
      <c r="Y193" s="24">
        <v>0</v>
      </c>
      <c r="Z193" s="24">
        <v>0</v>
      </c>
      <c r="AB193" s="24">
        <v>10001</v>
      </c>
      <c r="AC193" s="24">
        <v>-1</v>
      </c>
      <c r="AD193" s="24">
        <v>-1</v>
      </c>
      <c r="AE193" s="24">
        <v>-1</v>
      </c>
      <c r="AG193" s="24">
        <v>1</v>
      </c>
      <c r="AH193" s="24">
        <v>0</v>
      </c>
      <c r="AI193" s="24">
        <v>0</v>
      </c>
      <c r="AJ193" s="24">
        <v>0</v>
      </c>
      <c r="AK193" s="24">
        <v>0</v>
      </c>
      <c r="AL193" s="24">
        <v>0</v>
      </c>
      <c r="AM193" s="24">
        <v>0</v>
      </c>
      <c r="AN193" s="24">
        <v>0</v>
      </c>
      <c r="AO193" s="24">
        <v>0</v>
      </c>
      <c r="AP193" s="24">
        <v>0</v>
      </c>
      <c r="AQ193" s="24">
        <v>0</v>
      </c>
      <c r="AR193" s="24">
        <v>0</v>
      </c>
      <c r="AS193" s="24">
        <v>0</v>
      </c>
      <c r="AT193" s="24">
        <v>0</v>
      </c>
      <c r="AU193" s="24">
        <v>0</v>
      </c>
      <c r="AV193" s="24">
        <v>0</v>
      </c>
      <c r="AW193" s="24">
        <v>0</v>
      </c>
      <c r="AX193" s="24">
        <v>0</v>
      </c>
      <c r="AY193" s="24">
        <v>0</v>
      </c>
      <c r="BA193" s="24">
        <v>0</v>
      </c>
      <c r="BB193" s="24">
        <v>500</v>
      </c>
      <c r="BC193" s="24">
        <v>1000</v>
      </c>
      <c r="BD193" s="24">
        <v>0</v>
      </c>
      <c r="BE193" s="24">
        <v>250</v>
      </c>
      <c r="BF193" s="24">
        <v>1</v>
      </c>
      <c r="BG193" s="25">
        <v>1</v>
      </c>
      <c r="BH193" s="24">
        <v>1</v>
      </c>
      <c r="BI193" s="24">
        <v>0</v>
      </c>
      <c r="BJ193" s="24">
        <v>0</v>
      </c>
      <c r="BK193" s="24">
        <v>0</v>
      </c>
      <c r="BL193" s="25">
        <v>126</v>
      </c>
      <c r="BM193" s="24">
        <v>0</v>
      </c>
      <c r="BO193" s="25">
        <v>16</v>
      </c>
      <c r="BP193" s="24">
        <v>20</v>
      </c>
      <c r="BQ193" s="24">
        <v>0</v>
      </c>
      <c r="BR193" s="24">
        <v>3</v>
      </c>
      <c r="BS193" s="24">
        <v>10</v>
      </c>
      <c r="BT193" s="24">
        <v>100</v>
      </c>
      <c r="BU193" s="24">
        <v>30</v>
      </c>
      <c r="BV193" s="24">
        <v>6</v>
      </c>
      <c r="BW193" s="24">
        <v>0</v>
      </c>
      <c r="BX193" s="24">
        <v>1</v>
      </c>
      <c r="BZ193" s="24">
        <v>-1</v>
      </c>
      <c r="CA193" s="24">
        <v>0</v>
      </c>
      <c r="CB193" s="24">
        <v>0</v>
      </c>
      <c r="CC193" s="24">
        <v>0</v>
      </c>
      <c r="CD193" s="24">
        <v>0</v>
      </c>
      <c r="CE193" s="24">
        <v>0</v>
      </c>
      <c r="CG193" s="24">
        <v>-1</v>
      </c>
      <c r="CH193" s="24">
        <v>0</v>
      </c>
      <c r="CI193" s="24">
        <v>0</v>
      </c>
      <c r="CJ193" s="24">
        <v>0</v>
      </c>
      <c r="CK193" s="24">
        <v>0</v>
      </c>
      <c r="CL193" s="24">
        <v>0</v>
      </c>
      <c r="CM193" s="24">
        <v>0</v>
      </c>
      <c r="CN193" s="24">
        <v>0</v>
      </c>
      <c r="CO193" s="24">
        <v>0</v>
      </c>
      <c r="CQ193" s="24">
        <v>0</v>
      </c>
      <c r="CR193" s="24">
        <v>0</v>
      </c>
      <c r="CS193" s="24">
        <v>0</v>
      </c>
      <c r="CT193" s="24">
        <v>0</v>
      </c>
      <c r="CV193" s="24">
        <v>110306</v>
      </c>
      <c r="CW193" s="24">
        <v>0</v>
      </c>
      <c r="CX193" s="24">
        <v>100</v>
      </c>
      <c r="CY193" s="26">
        <v>3</v>
      </c>
      <c r="CZ193" s="24">
        <v>1</v>
      </c>
      <c r="DA193" s="24">
        <v>0</v>
      </c>
      <c r="DC193" s="24">
        <v>1</v>
      </c>
      <c r="DD193" s="24">
        <v>1</v>
      </c>
      <c r="DE193" s="24">
        <v>0</v>
      </c>
      <c r="DF193" s="24">
        <v>0</v>
      </c>
      <c r="DG193" s="24">
        <v>-1</v>
      </c>
      <c r="DI193" s="24">
        <v>0</v>
      </c>
      <c r="DJ193" s="24">
        <v>0</v>
      </c>
      <c r="DL193" s="24">
        <v>0</v>
      </c>
      <c r="DM193" s="24">
        <v>0</v>
      </c>
      <c r="DO193" s="24">
        <v>0</v>
      </c>
      <c r="DP193" s="24">
        <v>0</v>
      </c>
      <c r="DQ193" s="24">
        <v>0</v>
      </c>
      <c r="DR193" s="24">
        <v>0</v>
      </c>
      <c r="DS193" s="24">
        <v>0</v>
      </c>
      <c r="DT193" s="24">
        <v>0</v>
      </c>
      <c r="DV193" s="24">
        <v>0</v>
      </c>
      <c r="DW193" s="24">
        <v>0</v>
      </c>
      <c r="DX193" s="24">
        <v>0</v>
      </c>
      <c r="DY193" s="24">
        <v>0</v>
      </c>
      <c r="DZ193" s="24">
        <v>0</v>
      </c>
    </row>
    <row r="194" spans="1:130">
      <c r="A194" s="24" t="s">
        <v>142</v>
      </c>
      <c r="B194" s="24" t="s">
        <v>142</v>
      </c>
      <c r="C194" s="24" t="s">
        <v>142</v>
      </c>
      <c r="D194" s="24" t="s">
        <v>142</v>
      </c>
      <c r="E194" s="24">
        <v>15250</v>
      </c>
      <c r="F194" s="24" t="s">
        <v>543</v>
      </c>
      <c r="G194" s="24">
        <v>0</v>
      </c>
      <c r="H194" s="24">
        <v>515250</v>
      </c>
      <c r="I194" s="24" t="s">
        <v>543</v>
      </c>
      <c r="J194" s="24" t="s">
        <v>543</v>
      </c>
      <c r="K194" s="24" t="s">
        <v>473</v>
      </c>
      <c r="M194" s="24">
        <v>102</v>
      </c>
      <c r="N194" s="24">
        <v>0</v>
      </c>
      <c r="P194" s="25">
        <v>2</v>
      </c>
      <c r="Q194" s="25">
        <v>589824</v>
      </c>
      <c r="R194" s="24">
        <v>0</v>
      </c>
      <c r="S194" s="25">
        <v>3</v>
      </c>
      <c r="T194" s="24"/>
      <c r="U194" s="24">
        <v>0</v>
      </c>
      <c r="V194" s="25">
        <v>0</v>
      </c>
      <c r="W194" s="24">
        <v>0</v>
      </c>
      <c r="X194" s="24">
        <v>0</v>
      </c>
      <c r="Y194" s="24">
        <v>0</v>
      </c>
      <c r="Z194" s="24">
        <v>0</v>
      </c>
      <c r="AB194" s="24">
        <v>10001</v>
      </c>
      <c r="AC194" s="24">
        <v>-1</v>
      </c>
      <c r="AD194" s="24">
        <v>-1</v>
      </c>
      <c r="AE194" s="24">
        <v>-1</v>
      </c>
      <c r="AG194" s="24">
        <v>1</v>
      </c>
      <c r="AH194" s="24">
        <v>0</v>
      </c>
      <c r="AI194" s="24">
        <v>0</v>
      </c>
      <c r="AJ194" s="24">
        <v>0</v>
      </c>
      <c r="AK194" s="24">
        <v>0</v>
      </c>
      <c r="AL194" s="24">
        <v>0</v>
      </c>
      <c r="AM194" s="24">
        <v>0</v>
      </c>
      <c r="AN194" s="24">
        <v>0</v>
      </c>
      <c r="AO194" s="24">
        <v>0</v>
      </c>
      <c r="AP194" s="24">
        <v>0</v>
      </c>
      <c r="AQ194" s="24">
        <v>0</v>
      </c>
      <c r="AR194" s="24">
        <v>0</v>
      </c>
      <c r="AS194" s="24">
        <v>0</v>
      </c>
      <c r="AT194" s="24">
        <v>0</v>
      </c>
      <c r="AU194" s="24">
        <v>0</v>
      </c>
      <c r="AV194" s="24">
        <v>0</v>
      </c>
      <c r="AW194" s="24">
        <v>0</v>
      </c>
      <c r="AX194" s="24">
        <v>0</v>
      </c>
      <c r="AY194" s="24">
        <v>0</v>
      </c>
      <c r="BA194" s="24">
        <v>0</v>
      </c>
      <c r="BB194" s="24">
        <v>500</v>
      </c>
      <c r="BC194" s="24">
        <v>1000</v>
      </c>
      <c r="BD194" s="24">
        <v>0</v>
      </c>
      <c r="BE194" s="24">
        <v>250</v>
      </c>
      <c r="BF194" s="24">
        <v>1</v>
      </c>
      <c r="BG194" s="25">
        <v>1</v>
      </c>
      <c r="BH194" s="24">
        <v>1</v>
      </c>
      <c r="BI194" s="24">
        <v>0</v>
      </c>
      <c r="BJ194" s="24">
        <v>0</v>
      </c>
      <c r="BK194" s="24">
        <v>0</v>
      </c>
      <c r="BL194" s="25">
        <v>126</v>
      </c>
      <c r="BM194" s="24">
        <v>0</v>
      </c>
      <c r="BO194" s="25">
        <v>1</v>
      </c>
      <c r="BP194" s="24">
        <v>20</v>
      </c>
      <c r="BQ194" s="24">
        <v>0</v>
      </c>
      <c r="BR194" s="24">
        <v>3</v>
      </c>
      <c r="BS194" s="24">
        <v>10</v>
      </c>
      <c r="BT194" s="24">
        <v>100</v>
      </c>
      <c r="BU194" s="24">
        <v>30</v>
      </c>
      <c r="BV194" s="24">
        <v>6</v>
      </c>
      <c r="BW194" s="24">
        <v>0</v>
      </c>
      <c r="BX194" s="24">
        <v>1</v>
      </c>
      <c r="BZ194" s="24">
        <v>-1</v>
      </c>
      <c r="CA194" s="24">
        <v>0</v>
      </c>
      <c r="CB194" s="24">
        <v>0</v>
      </c>
      <c r="CC194" s="24">
        <v>0</v>
      </c>
      <c r="CD194" s="24">
        <v>0</v>
      </c>
      <c r="CE194" s="24">
        <v>0</v>
      </c>
      <c r="CG194" s="24">
        <v>-1</v>
      </c>
      <c r="CH194" s="24">
        <v>0</v>
      </c>
      <c r="CI194" s="24">
        <v>0</v>
      </c>
      <c r="CJ194" s="24">
        <v>0</v>
      </c>
      <c r="CK194" s="24">
        <v>0</v>
      </c>
      <c r="CL194" s="24">
        <v>0</v>
      </c>
      <c r="CM194" s="24">
        <v>0</v>
      </c>
      <c r="CN194" s="24">
        <v>0</v>
      </c>
      <c r="CO194" s="24">
        <v>0</v>
      </c>
      <c r="CQ194" s="24">
        <v>0</v>
      </c>
      <c r="CR194" s="24">
        <v>0</v>
      </c>
      <c r="CS194" s="24">
        <v>0</v>
      </c>
      <c r="CT194" s="24">
        <v>0</v>
      </c>
      <c r="CV194" s="24">
        <v>110305</v>
      </c>
      <c r="CW194" s="24">
        <v>20</v>
      </c>
      <c r="CX194" s="24">
        <v>100</v>
      </c>
      <c r="CY194" s="26">
        <v>3</v>
      </c>
      <c r="CZ194" s="24">
        <v>1</v>
      </c>
      <c r="DA194" s="24">
        <v>0</v>
      </c>
      <c r="DC194" s="24">
        <v>1</v>
      </c>
      <c r="DD194" s="24">
        <v>1</v>
      </c>
      <c r="DE194" s="24">
        <v>0</v>
      </c>
      <c r="DF194" s="24">
        <v>0</v>
      </c>
      <c r="DG194" s="24">
        <v>-1</v>
      </c>
      <c r="DI194" s="24">
        <v>0</v>
      </c>
      <c r="DJ194" s="24">
        <v>0</v>
      </c>
      <c r="DL194" s="24">
        <v>0</v>
      </c>
      <c r="DM194" s="24">
        <v>0</v>
      </c>
      <c r="DO194" s="24">
        <v>0</v>
      </c>
      <c r="DP194" s="24">
        <v>0</v>
      </c>
      <c r="DQ194" s="24">
        <v>0</v>
      </c>
      <c r="DR194" s="24">
        <v>0</v>
      </c>
      <c r="DS194" s="24">
        <v>0</v>
      </c>
      <c r="DT194" s="24">
        <v>0</v>
      </c>
      <c r="DV194" s="24">
        <v>0</v>
      </c>
      <c r="DW194" s="24">
        <v>0</v>
      </c>
      <c r="DX194" s="24">
        <v>0</v>
      </c>
      <c r="DY194" s="24">
        <v>0</v>
      </c>
      <c r="DZ194" s="24">
        <v>0</v>
      </c>
    </row>
    <row r="195" spans="1:130">
      <c r="G195" s="24" t="s">
        <v>639</v>
      </c>
      <c r="K195" s="24" t="s">
        <v>639</v>
      </c>
      <c r="BO195" s="25" t="s">
        <v>639</v>
      </c>
      <c r="CV195" s="24" t="s">
        <v>639</v>
      </c>
      <c r="DC195" s="24" t="s">
        <v>639</v>
      </c>
      <c r="DD195" s="24" t="s">
        <v>639</v>
      </c>
      <c r="DE195" s="24" t="s">
        <v>639</v>
      </c>
      <c r="DF195" s="24" t="s">
        <v>639</v>
      </c>
      <c r="DG195" s="24" t="s">
        <v>639</v>
      </c>
      <c r="DI195" s="24" t="s">
        <v>639</v>
      </c>
      <c r="DJ195" s="24" t="s">
        <v>639</v>
      </c>
      <c r="DL195" s="24" t="s">
        <v>639</v>
      </c>
      <c r="DM195" s="24" t="s">
        <v>639</v>
      </c>
      <c r="DO195" s="24" t="s">
        <v>639</v>
      </c>
      <c r="DP195" s="24" t="s">
        <v>639</v>
      </c>
      <c r="DQ195" s="24" t="s">
        <v>639</v>
      </c>
      <c r="DR195" s="24" t="s">
        <v>639</v>
      </c>
      <c r="DS195" s="24" t="s">
        <v>639</v>
      </c>
      <c r="DT195" s="24" t="s">
        <v>639</v>
      </c>
      <c r="DV195" s="24" t="s">
        <v>639</v>
      </c>
      <c r="DW195" s="24" t="s">
        <v>639</v>
      </c>
      <c r="DX195" s="24" t="s">
        <v>639</v>
      </c>
      <c r="DY195" s="24" t="s">
        <v>639</v>
      </c>
      <c r="DZ195" s="24" t="s">
        <v>639</v>
      </c>
    </row>
    <row r="196" spans="1:130">
      <c r="A196" s="24" t="s">
        <v>143</v>
      </c>
      <c r="B196" s="24" t="s">
        <v>143</v>
      </c>
      <c r="C196" s="24" t="s">
        <v>143</v>
      </c>
      <c r="D196" s="24" t="s">
        <v>143</v>
      </c>
      <c r="E196" s="24">
        <v>15301</v>
      </c>
      <c r="F196" s="24" t="s">
        <v>349</v>
      </c>
      <c r="G196" s="24">
        <v>0</v>
      </c>
      <c r="H196" s="24">
        <f>500000+E196</f>
        <v>515301</v>
      </c>
      <c r="I196" s="24" t="s">
        <v>349</v>
      </c>
      <c r="J196" s="24" t="s">
        <v>349</v>
      </c>
      <c r="K196" s="24" t="s">
        <v>473</v>
      </c>
      <c r="M196" s="24">
        <v>4</v>
      </c>
      <c r="N196" s="24">
        <v>0</v>
      </c>
      <c r="P196" s="25">
        <v>4</v>
      </c>
      <c r="Q196" s="25">
        <v>0</v>
      </c>
      <c r="R196" s="24">
        <v>0</v>
      </c>
      <c r="S196" s="25">
        <v>0</v>
      </c>
      <c r="T196" s="24"/>
      <c r="U196" s="24">
        <v>0</v>
      </c>
      <c r="V196" s="25">
        <v>0</v>
      </c>
      <c r="W196" s="24">
        <v>0</v>
      </c>
      <c r="X196" s="24">
        <v>0</v>
      </c>
      <c r="Y196" s="24">
        <v>0</v>
      </c>
      <c r="Z196" s="24">
        <v>0</v>
      </c>
      <c r="AB196" s="24">
        <v>10001</v>
      </c>
      <c r="AC196" s="24">
        <v>-1</v>
      </c>
      <c r="AD196" s="24">
        <v>-1</v>
      </c>
      <c r="AE196" s="24">
        <v>-1</v>
      </c>
      <c r="AG196" s="24">
        <v>1</v>
      </c>
      <c r="AH196" s="24">
        <v>0</v>
      </c>
      <c r="AI196" s="24">
        <v>0</v>
      </c>
      <c r="AJ196" s="24">
        <v>0</v>
      </c>
      <c r="AK196" s="24">
        <v>0</v>
      </c>
      <c r="AL196" s="24">
        <v>0</v>
      </c>
      <c r="AM196" s="24">
        <v>0</v>
      </c>
      <c r="AN196" s="24">
        <v>0</v>
      </c>
      <c r="AO196" s="24">
        <v>0</v>
      </c>
      <c r="AP196" s="24">
        <v>0</v>
      </c>
      <c r="AQ196" s="24">
        <v>0</v>
      </c>
      <c r="AR196" s="24">
        <v>0</v>
      </c>
      <c r="AS196" s="24">
        <v>0</v>
      </c>
      <c r="AT196" s="24">
        <v>0</v>
      </c>
      <c r="AU196" s="24">
        <v>0</v>
      </c>
      <c r="AV196" s="24">
        <v>0</v>
      </c>
      <c r="AW196" s="24">
        <v>0</v>
      </c>
      <c r="AX196" s="24">
        <v>0</v>
      </c>
      <c r="AY196" s="24">
        <v>0</v>
      </c>
      <c r="BA196" s="24">
        <v>0</v>
      </c>
      <c r="BB196" s="24">
        <v>0</v>
      </c>
      <c r="BC196" s="24">
        <v>0</v>
      </c>
      <c r="BD196" s="24">
        <v>0</v>
      </c>
      <c r="BE196" s="24">
        <v>0</v>
      </c>
      <c r="BF196" s="24">
        <v>0</v>
      </c>
      <c r="BG196" s="25">
        <v>512</v>
      </c>
      <c r="BH196" s="24">
        <v>0</v>
      </c>
      <c r="BI196" s="24">
        <v>0</v>
      </c>
      <c r="BJ196" s="24">
        <v>0</v>
      </c>
      <c r="BK196" s="24">
        <v>0</v>
      </c>
      <c r="BL196" s="25">
        <v>126</v>
      </c>
      <c r="BM196" s="24">
        <v>0</v>
      </c>
      <c r="BO196" s="25">
        <v>1</v>
      </c>
      <c r="BP196" s="24">
        <v>0</v>
      </c>
      <c r="BQ196" s="24">
        <v>0</v>
      </c>
      <c r="BR196" s="24">
        <v>1</v>
      </c>
      <c r="BS196" s="24">
        <v>0</v>
      </c>
      <c r="BT196" s="24">
        <v>0</v>
      </c>
      <c r="BU196" s="24">
        <v>0</v>
      </c>
      <c r="BV196" s="24">
        <v>0</v>
      </c>
      <c r="BW196" s="24">
        <v>0</v>
      </c>
      <c r="BX196" s="24">
        <v>1</v>
      </c>
      <c r="BZ196" s="24">
        <v>-1</v>
      </c>
      <c r="CA196" s="24">
        <v>0</v>
      </c>
      <c r="CB196" s="24">
        <v>0</v>
      </c>
      <c r="CC196" s="24">
        <v>0</v>
      </c>
      <c r="CD196" s="24">
        <v>0</v>
      </c>
      <c r="CE196" s="24">
        <v>0</v>
      </c>
      <c r="CG196" s="24">
        <v>-1</v>
      </c>
      <c r="CH196" s="24">
        <v>0</v>
      </c>
      <c r="CI196" s="24">
        <v>0</v>
      </c>
      <c r="CJ196" s="24">
        <v>0</v>
      </c>
      <c r="CK196" s="24">
        <v>0</v>
      </c>
      <c r="CL196" s="24">
        <v>0</v>
      </c>
      <c r="CM196" s="24">
        <v>0</v>
      </c>
      <c r="CN196" s="24">
        <v>0</v>
      </c>
      <c r="CO196" s="24">
        <v>0</v>
      </c>
      <c r="CQ196" s="24">
        <v>0</v>
      </c>
      <c r="CR196" s="24">
        <v>0</v>
      </c>
      <c r="CS196" s="24">
        <v>0</v>
      </c>
      <c r="CT196" s="24">
        <v>0</v>
      </c>
      <c r="CV196" s="24">
        <v>0</v>
      </c>
      <c r="CW196" s="24">
        <v>0</v>
      </c>
      <c r="CX196" s="24">
        <v>-1</v>
      </c>
      <c r="CY196" s="26">
        <v>0</v>
      </c>
      <c r="CZ196" s="24">
        <v>0</v>
      </c>
      <c r="DA196" s="24">
        <v>0</v>
      </c>
      <c r="DC196" s="24">
        <v>1</v>
      </c>
      <c r="DD196" s="24">
        <v>1</v>
      </c>
      <c r="DE196" s="24">
        <v>0</v>
      </c>
      <c r="DF196" s="24">
        <v>0</v>
      </c>
      <c r="DG196" s="24">
        <v>-1</v>
      </c>
      <c r="DI196" s="24">
        <v>0</v>
      </c>
      <c r="DJ196" s="24">
        <v>0</v>
      </c>
      <c r="DL196" s="24">
        <v>0</v>
      </c>
      <c r="DM196" s="24">
        <v>0</v>
      </c>
      <c r="DO196" s="24">
        <v>0</v>
      </c>
      <c r="DP196" s="24">
        <v>0</v>
      </c>
      <c r="DQ196" s="24">
        <v>0</v>
      </c>
      <c r="DR196" s="24">
        <v>0</v>
      </c>
      <c r="DS196" s="24">
        <v>0</v>
      </c>
      <c r="DT196" s="24">
        <v>0</v>
      </c>
      <c r="DV196" s="24">
        <v>0</v>
      </c>
      <c r="DW196" s="24">
        <v>0</v>
      </c>
      <c r="DX196" s="24">
        <v>0</v>
      </c>
      <c r="DY196" s="24">
        <v>0</v>
      </c>
      <c r="DZ196" s="24">
        <v>0</v>
      </c>
    </row>
    <row r="197" spans="1:130">
      <c r="A197" s="24" t="s">
        <v>143</v>
      </c>
      <c r="B197" s="24" t="s">
        <v>143</v>
      </c>
      <c r="C197" s="24" t="s">
        <v>143</v>
      </c>
      <c r="D197" s="24" t="s">
        <v>143</v>
      </c>
      <c r="E197" s="24">
        <v>15302</v>
      </c>
      <c r="F197" s="24" t="s">
        <v>351</v>
      </c>
      <c r="G197" s="24">
        <v>0</v>
      </c>
      <c r="H197" s="24">
        <f t="shared" ref="H197:H203" si="0">500000+E197</f>
        <v>515302</v>
      </c>
      <c r="I197" s="24" t="s">
        <v>351</v>
      </c>
      <c r="J197" s="24" t="s">
        <v>351</v>
      </c>
      <c r="K197" s="24" t="s">
        <v>651</v>
      </c>
      <c r="M197" s="24">
        <v>102</v>
      </c>
      <c r="N197" s="24">
        <v>0</v>
      </c>
      <c r="P197" s="25">
        <v>2</v>
      </c>
      <c r="Q197" s="25">
        <v>524288</v>
      </c>
      <c r="R197" s="24">
        <v>0</v>
      </c>
      <c r="S197" s="25">
        <v>0</v>
      </c>
      <c r="T197" s="24"/>
      <c r="U197" s="24">
        <v>0</v>
      </c>
      <c r="V197" s="25">
        <v>0</v>
      </c>
      <c r="W197" s="24">
        <v>0</v>
      </c>
      <c r="X197" s="24">
        <v>0</v>
      </c>
      <c r="Y197" s="24">
        <v>0</v>
      </c>
      <c r="Z197" s="24">
        <v>0</v>
      </c>
      <c r="AB197" s="24">
        <v>10001</v>
      </c>
      <c r="AC197" s="24">
        <v>-1</v>
      </c>
      <c r="AD197" s="24">
        <v>-1</v>
      </c>
      <c r="AE197" s="24">
        <v>-1</v>
      </c>
      <c r="AG197" s="24">
        <v>1</v>
      </c>
      <c r="AH197" s="24">
        <v>0</v>
      </c>
      <c r="AI197" s="24">
        <v>0</v>
      </c>
      <c r="AJ197" s="24">
        <v>0</v>
      </c>
      <c r="AK197" s="24">
        <v>0</v>
      </c>
      <c r="AL197" s="24">
        <v>0</v>
      </c>
      <c r="AM197" s="24">
        <v>0</v>
      </c>
      <c r="AN197" s="24">
        <v>0</v>
      </c>
      <c r="AO197" s="24">
        <v>0</v>
      </c>
      <c r="AP197" s="24">
        <v>0</v>
      </c>
      <c r="AQ197" s="24">
        <v>0</v>
      </c>
      <c r="AR197" s="24">
        <v>0</v>
      </c>
      <c r="AS197" s="24">
        <v>0</v>
      </c>
      <c r="AT197" s="24">
        <v>0</v>
      </c>
      <c r="AU197" s="24">
        <v>0</v>
      </c>
      <c r="AV197" s="24">
        <v>0</v>
      </c>
      <c r="AW197" s="24">
        <v>0</v>
      </c>
      <c r="AX197" s="24">
        <v>0</v>
      </c>
      <c r="AY197" s="24">
        <v>0</v>
      </c>
      <c r="BA197" s="24">
        <v>0</v>
      </c>
      <c r="BB197" s="24">
        <v>350</v>
      </c>
      <c r="BC197" s="24">
        <v>767</v>
      </c>
      <c r="BD197" s="24">
        <v>0</v>
      </c>
      <c r="BE197" s="24">
        <v>250</v>
      </c>
      <c r="BF197" s="24">
        <v>1</v>
      </c>
      <c r="BG197" s="25">
        <v>1</v>
      </c>
      <c r="BH197" s="24">
        <v>1</v>
      </c>
      <c r="BI197" s="24">
        <v>0</v>
      </c>
      <c r="BJ197" s="24">
        <v>0</v>
      </c>
      <c r="BK197" s="24">
        <v>0</v>
      </c>
      <c r="BL197" s="25">
        <v>126</v>
      </c>
      <c r="BM197" s="24">
        <v>0</v>
      </c>
      <c r="BO197" s="25">
        <v>4</v>
      </c>
      <c r="BP197" s="24">
        <v>20</v>
      </c>
      <c r="BQ197" s="24">
        <v>0</v>
      </c>
      <c r="BR197" s="24">
        <v>1</v>
      </c>
      <c r="BS197" s="24">
        <v>0</v>
      </c>
      <c r="BT197" s="24">
        <v>0</v>
      </c>
      <c r="BU197" s="24">
        <v>0</v>
      </c>
      <c r="BV197" s="24">
        <v>6</v>
      </c>
      <c r="BW197" s="24">
        <v>0</v>
      </c>
      <c r="BX197" s="24">
        <v>1</v>
      </c>
      <c r="BZ197" s="24">
        <v>-1</v>
      </c>
      <c r="CA197" s="24">
        <v>0</v>
      </c>
      <c r="CB197" s="24">
        <v>0</v>
      </c>
      <c r="CC197" s="24">
        <v>0</v>
      </c>
      <c r="CD197" s="24">
        <v>0</v>
      </c>
      <c r="CE197" s="24">
        <v>0</v>
      </c>
      <c r="CG197" s="24">
        <v>-1</v>
      </c>
      <c r="CH197" s="24">
        <v>0</v>
      </c>
      <c r="CI197" s="24">
        <v>0</v>
      </c>
      <c r="CJ197" s="24">
        <v>0</v>
      </c>
      <c r="CK197" s="24">
        <v>0</v>
      </c>
      <c r="CL197" s="24">
        <v>0</v>
      </c>
      <c r="CM197" s="24">
        <v>0</v>
      </c>
      <c r="CN197" s="24">
        <v>0</v>
      </c>
      <c r="CO197" s="24">
        <v>0</v>
      </c>
      <c r="CQ197" s="24">
        <v>0.5</v>
      </c>
      <c r="CR197" s="24">
        <v>0</v>
      </c>
      <c r="CS197" s="24">
        <v>0</v>
      </c>
      <c r="CT197" s="24">
        <v>0</v>
      </c>
      <c r="CV197" s="24">
        <v>110401</v>
      </c>
      <c r="CW197" s="24">
        <v>5</v>
      </c>
      <c r="CX197" s="24">
        <v>104001</v>
      </c>
      <c r="CY197" s="26">
        <v>1</v>
      </c>
      <c r="CZ197" s="24">
        <v>1</v>
      </c>
      <c r="DA197" s="24">
        <v>0</v>
      </c>
      <c r="DC197" s="24">
        <v>1</v>
      </c>
      <c r="DD197" s="24">
        <v>1</v>
      </c>
      <c r="DE197" s="24">
        <v>0</v>
      </c>
      <c r="DF197" s="24">
        <v>0</v>
      </c>
      <c r="DG197" s="24">
        <v>-1</v>
      </c>
      <c r="DI197" s="24">
        <v>0</v>
      </c>
      <c r="DJ197" s="24">
        <v>0</v>
      </c>
      <c r="DL197" s="24">
        <v>0</v>
      </c>
      <c r="DM197" s="24">
        <v>0</v>
      </c>
      <c r="DO197" s="24">
        <v>0</v>
      </c>
      <c r="DP197" s="24">
        <v>0</v>
      </c>
      <c r="DQ197" s="24">
        <v>0</v>
      </c>
      <c r="DR197" s="24">
        <v>0</v>
      </c>
      <c r="DS197" s="24">
        <v>0</v>
      </c>
      <c r="DT197" s="24">
        <v>0</v>
      </c>
      <c r="DV197" s="24">
        <v>0</v>
      </c>
      <c r="DW197" s="24">
        <v>0</v>
      </c>
      <c r="DX197" s="24">
        <v>0</v>
      </c>
      <c r="DY197" s="24">
        <v>0</v>
      </c>
      <c r="DZ197" s="24">
        <v>0</v>
      </c>
    </row>
    <row r="198" spans="1:130">
      <c r="A198" s="24" t="s">
        <v>143</v>
      </c>
      <c r="B198" s="24" t="s">
        <v>143</v>
      </c>
      <c r="C198" s="24" t="s">
        <v>143</v>
      </c>
      <c r="D198" s="24" t="s">
        <v>143</v>
      </c>
      <c r="E198" s="24">
        <v>15303</v>
      </c>
      <c r="F198" s="24" t="s">
        <v>352</v>
      </c>
      <c r="G198" s="24">
        <v>0</v>
      </c>
      <c r="H198" s="24">
        <f t="shared" si="0"/>
        <v>515303</v>
      </c>
      <c r="I198" s="24" t="s">
        <v>352</v>
      </c>
      <c r="J198" s="24" t="s">
        <v>352</v>
      </c>
      <c r="K198" s="24" t="s">
        <v>473</v>
      </c>
      <c r="M198" s="24">
        <v>102</v>
      </c>
      <c r="N198" s="24">
        <v>0</v>
      </c>
      <c r="P198" s="25">
        <v>2</v>
      </c>
      <c r="Q198" s="25">
        <v>524288</v>
      </c>
      <c r="R198" s="24">
        <v>15302</v>
      </c>
      <c r="S198" s="25">
        <v>0</v>
      </c>
      <c r="T198" s="24"/>
      <c r="U198" s="24">
        <v>0</v>
      </c>
      <c r="V198" s="25">
        <v>0</v>
      </c>
      <c r="W198" s="24">
        <v>0</v>
      </c>
      <c r="X198" s="24">
        <v>0</v>
      </c>
      <c r="Y198" s="24">
        <v>0</v>
      </c>
      <c r="Z198" s="24">
        <v>0</v>
      </c>
      <c r="AB198" s="24">
        <v>10001</v>
      </c>
      <c r="AC198" s="24">
        <v>-1</v>
      </c>
      <c r="AD198" s="24">
        <v>-1</v>
      </c>
      <c r="AE198" s="24">
        <v>-1</v>
      </c>
      <c r="AG198" s="24">
        <v>1</v>
      </c>
      <c r="AH198" s="24">
        <v>0</v>
      </c>
      <c r="AI198" s="24">
        <v>0</v>
      </c>
      <c r="AJ198" s="24">
        <v>0</v>
      </c>
      <c r="AK198" s="24">
        <v>0</v>
      </c>
      <c r="AL198" s="24">
        <v>0</v>
      </c>
      <c r="AM198" s="24">
        <v>0</v>
      </c>
      <c r="AN198" s="24">
        <v>0</v>
      </c>
      <c r="AO198" s="24">
        <v>0</v>
      </c>
      <c r="AP198" s="24">
        <v>0</v>
      </c>
      <c r="AQ198" s="24">
        <v>0</v>
      </c>
      <c r="AR198" s="24">
        <v>0</v>
      </c>
      <c r="AS198" s="24">
        <v>0</v>
      </c>
      <c r="AT198" s="24">
        <v>0</v>
      </c>
      <c r="AU198" s="24">
        <v>0</v>
      </c>
      <c r="AV198" s="24">
        <v>0</v>
      </c>
      <c r="AW198" s="24">
        <v>0</v>
      </c>
      <c r="AX198" s="24">
        <v>0</v>
      </c>
      <c r="AY198" s="24">
        <v>0</v>
      </c>
      <c r="BA198" s="24">
        <v>0</v>
      </c>
      <c r="BB198" s="24">
        <v>400</v>
      </c>
      <c r="BC198" s="24">
        <v>700</v>
      </c>
      <c r="BD198" s="24">
        <v>0</v>
      </c>
      <c r="BE198" s="24">
        <v>250</v>
      </c>
      <c r="BF198" s="24">
        <v>1</v>
      </c>
      <c r="BG198" s="25">
        <v>1</v>
      </c>
      <c r="BH198" s="24">
        <v>1</v>
      </c>
      <c r="BI198" s="24">
        <v>0</v>
      </c>
      <c r="BJ198" s="24">
        <v>0</v>
      </c>
      <c r="BK198" s="24">
        <v>0</v>
      </c>
      <c r="BL198" s="25">
        <v>126</v>
      </c>
      <c r="BM198" s="24">
        <v>0</v>
      </c>
      <c r="BO198" s="25">
        <v>4</v>
      </c>
      <c r="BP198" s="24">
        <v>20</v>
      </c>
      <c r="BQ198" s="24">
        <v>0</v>
      </c>
      <c r="BR198" s="24">
        <v>1</v>
      </c>
      <c r="BS198" s="24">
        <v>0</v>
      </c>
      <c r="BT198" s="24">
        <v>0</v>
      </c>
      <c r="BU198" s="24">
        <v>0</v>
      </c>
      <c r="BV198" s="24">
        <v>6</v>
      </c>
      <c r="BW198" s="24">
        <v>0</v>
      </c>
      <c r="BX198" s="24">
        <v>1</v>
      </c>
      <c r="BZ198" s="24">
        <v>-1</v>
      </c>
      <c r="CA198" s="24">
        <v>0</v>
      </c>
      <c r="CB198" s="24">
        <v>0</v>
      </c>
      <c r="CC198" s="24">
        <v>0</v>
      </c>
      <c r="CD198" s="24">
        <v>0</v>
      </c>
      <c r="CE198" s="24">
        <v>0</v>
      </c>
      <c r="CG198" s="24">
        <v>-1</v>
      </c>
      <c r="CH198" s="24">
        <v>0</v>
      </c>
      <c r="CI198" s="24">
        <v>0</v>
      </c>
      <c r="CJ198" s="24">
        <v>0</v>
      </c>
      <c r="CK198" s="24">
        <v>0</v>
      </c>
      <c r="CL198" s="24">
        <v>0</v>
      </c>
      <c r="CM198" s="24">
        <v>0</v>
      </c>
      <c r="CN198" s="24">
        <v>0</v>
      </c>
      <c r="CO198" s="24">
        <v>0</v>
      </c>
      <c r="CQ198" s="24">
        <v>0.5</v>
      </c>
      <c r="CR198" s="24">
        <v>0</v>
      </c>
      <c r="CS198" s="24">
        <v>0</v>
      </c>
      <c r="CT198" s="24">
        <v>0</v>
      </c>
      <c r="CV198" s="24">
        <v>110402</v>
      </c>
      <c r="CW198" s="24">
        <v>5</v>
      </c>
      <c r="CX198" s="24">
        <v>104002</v>
      </c>
      <c r="CY198" s="26">
        <v>1</v>
      </c>
      <c r="CZ198" s="24">
        <v>1</v>
      </c>
      <c r="DA198" s="24">
        <v>0</v>
      </c>
      <c r="DC198" s="24">
        <v>1</v>
      </c>
      <c r="DD198" s="24">
        <v>1</v>
      </c>
      <c r="DE198" s="24">
        <v>0</v>
      </c>
      <c r="DF198" s="24">
        <v>0</v>
      </c>
      <c r="DG198" s="24">
        <v>-1</v>
      </c>
      <c r="DI198" s="24">
        <v>0</v>
      </c>
      <c r="DJ198" s="24">
        <v>0</v>
      </c>
      <c r="DL198" s="24">
        <v>0</v>
      </c>
      <c r="DM198" s="24">
        <v>0</v>
      </c>
      <c r="DO198" s="24">
        <v>0</v>
      </c>
      <c r="DP198" s="24">
        <v>0</v>
      </c>
      <c r="DQ198" s="24">
        <v>0</v>
      </c>
      <c r="DR198" s="24">
        <v>0</v>
      </c>
      <c r="DS198" s="24">
        <v>0</v>
      </c>
      <c r="DT198" s="24">
        <v>0</v>
      </c>
      <c r="DV198" s="24">
        <v>0</v>
      </c>
      <c r="DW198" s="24">
        <v>0</v>
      </c>
      <c r="DX198" s="24">
        <v>0</v>
      </c>
      <c r="DY198" s="24">
        <v>0</v>
      </c>
      <c r="DZ198" s="24">
        <v>0</v>
      </c>
    </row>
    <row r="199" spans="1:130">
      <c r="A199" s="24" t="s">
        <v>143</v>
      </c>
      <c r="B199" s="24" t="s">
        <v>143</v>
      </c>
      <c r="C199" s="24" t="s">
        <v>143</v>
      </c>
      <c r="D199" s="24" t="s">
        <v>143</v>
      </c>
      <c r="E199" s="24">
        <v>15304</v>
      </c>
      <c r="F199" s="24" t="s">
        <v>353</v>
      </c>
      <c r="G199" s="24">
        <v>0</v>
      </c>
      <c r="H199" s="24">
        <f t="shared" si="0"/>
        <v>515304</v>
      </c>
      <c r="I199" s="24" t="s">
        <v>353</v>
      </c>
      <c r="J199" s="24" t="s">
        <v>353</v>
      </c>
      <c r="K199" s="24" t="s">
        <v>473</v>
      </c>
      <c r="M199" s="24">
        <v>102</v>
      </c>
      <c r="N199" s="24">
        <v>0</v>
      </c>
      <c r="P199" s="25">
        <v>2</v>
      </c>
      <c r="Q199" s="25">
        <v>524288</v>
      </c>
      <c r="R199" s="24">
        <v>15302</v>
      </c>
      <c r="S199" s="25">
        <v>0</v>
      </c>
      <c r="T199" s="24"/>
      <c r="U199" s="24">
        <v>0</v>
      </c>
      <c r="V199" s="25">
        <v>0</v>
      </c>
      <c r="W199" s="24">
        <v>0</v>
      </c>
      <c r="X199" s="24">
        <v>0</v>
      </c>
      <c r="Y199" s="24">
        <v>0</v>
      </c>
      <c r="Z199" s="24">
        <v>0</v>
      </c>
      <c r="AB199" s="24">
        <v>10001</v>
      </c>
      <c r="AC199" s="24">
        <v>-1</v>
      </c>
      <c r="AD199" s="24">
        <v>-1</v>
      </c>
      <c r="AE199" s="24">
        <v>-1</v>
      </c>
      <c r="AG199" s="24">
        <v>1</v>
      </c>
      <c r="AH199" s="24">
        <v>0</v>
      </c>
      <c r="AI199" s="24">
        <v>0</v>
      </c>
      <c r="AJ199" s="24">
        <v>0</v>
      </c>
      <c r="AK199" s="24">
        <v>0</v>
      </c>
      <c r="AL199" s="24">
        <v>0</v>
      </c>
      <c r="AM199" s="24">
        <v>0</v>
      </c>
      <c r="AN199" s="24">
        <v>0</v>
      </c>
      <c r="AO199" s="24">
        <v>0</v>
      </c>
      <c r="AP199" s="24">
        <v>0</v>
      </c>
      <c r="AQ199" s="24">
        <v>0</v>
      </c>
      <c r="AR199" s="24">
        <v>0</v>
      </c>
      <c r="AS199" s="24">
        <v>0</v>
      </c>
      <c r="AT199" s="24">
        <v>0</v>
      </c>
      <c r="AU199" s="24">
        <v>0</v>
      </c>
      <c r="AV199" s="24">
        <v>0</v>
      </c>
      <c r="AW199" s="24">
        <v>0</v>
      </c>
      <c r="AX199" s="24">
        <v>0</v>
      </c>
      <c r="AY199" s="24">
        <v>0</v>
      </c>
      <c r="BA199" s="24">
        <v>0</v>
      </c>
      <c r="BB199" s="24">
        <v>500</v>
      </c>
      <c r="BC199" s="24">
        <v>933</v>
      </c>
      <c r="BD199" s="24">
        <v>0</v>
      </c>
      <c r="BE199" s="24">
        <v>250</v>
      </c>
      <c r="BF199" s="24">
        <v>1</v>
      </c>
      <c r="BG199" s="25">
        <v>1</v>
      </c>
      <c r="BH199" s="24">
        <v>1</v>
      </c>
      <c r="BI199" s="24">
        <v>0</v>
      </c>
      <c r="BJ199" s="24">
        <v>0</v>
      </c>
      <c r="BK199" s="24">
        <v>0</v>
      </c>
      <c r="BL199" s="25">
        <v>126</v>
      </c>
      <c r="BM199" s="24">
        <v>0</v>
      </c>
      <c r="BO199" s="25">
        <v>4</v>
      </c>
      <c r="BP199" s="24">
        <v>20</v>
      </c>
      <c r="BQ199" s="24">
        <v>0</v>
      </c>
      <c r="BR199" s="24">
        <v>1</v>
      </c>
      <c r="BS199" s="24">
        <v>0</v>
      </c>
      <c r="BT199" s="24">
        <v>0</v>
      </c>
      <c r="BU199" s="24">
        <v>0</v>
      </c>
      <c r="BV199" s="24">
        <v>6</v>
      </c>
      <c r="BW199" s="24">
        <v>0</v>
      </c>
      <c r="BX199" s="24">
        <v>1</v>
      </c>
      <c r="BZ199" s="24">
        <v>-1</v>
      </c>
      <c r="CA199" s="24">
        <v>0</v>
      </c>
      <c r="CB199" s="24">
        <v>0</v>
      </c>
      <c r="CC199" s="24">
        <v>0</v>
      </c>
      <c r="CD199" s="24">
        <v>0</v>
      </c>
      <c r="CE199" s="24">
        <v>0</v>
      </c>
      <c r="CG199" s="24">
        <v>-1</v>
      </c>
      <c r="CH199" s="24">
        <v>0</v>
      </c>
      <c r="CI199" s="24">
        <v>0</v>
      </c>
      <c r="CJ199" s="24">
        <v>0</v>
      </c>
      <c r="CK199" s="24">
        <v>0</v>
      </c>
      <c r="CL199" s="24">
        <v>0</v>
      </c>
      <c r="CM199" s="24">
        <v>0</v>
      </c>
      <c r="CN199" s="24">
        <v>0</v>
      </c>
      <c r="CO199" s="24">
        <v>0</v>
      </c>
      <c r="CQ199" s="24">
        <v>0.5</v>
      </c>
      <c r="CR199" s="24">
        <v>0</v>
      </c>
      <c r="CS199" s="24">
        <v>0</v>
      </c>
      <c r="CT199" s="24">
        <v>0</v>
      </c>
      <c r="CV199" s="24">
        <v>110403</v>
      </c>
      <c r="CW199" s="24">
        <v>5</v>
      </c>
      <c r="CX199" s="24">
        <v>104003</v>
      </c>
      <c r="CY199" s="26">
        <v>1</v>
      </c>
      <c r="CZ199" s="24">
        <v>1</v>
      </c>
      <c r="DA199" s="24">
        <v>0</v>
      </c>
      <c r="DC199" s="24">
        <v>1</v>
      </c>
      <c r="DD199" s="24">
        <v>1</v>
      </c>
      <c r="DE199" s="24">
        <v>0</v>
      </c>
      <c r="DF199" s="24">
        <v>0</v>
      </c>
      <c r="DG199" s="24">
        <v>-1</v>
      </c>
      <c r="DI199" s="24">
        <v>0</v>
      </c>
      <c r="DJ199" s="24">
        <v>0</v>
      </c>
      <c r="DL199" s="24">
        <v>0</v>
      </c>
      <c r="DM199" s="24">
        <v>0</v>
      </c>
      <c r="DO199" s="24">
        <v>0</v>
      </c>
      <c r="DP199" s="24">
        <v>0</v>
      </c>
      <c r="DQ199" s="24">
        <v>0</v>
      </c>
      <c r="DR199" s="24">
        <v>0</v>
      </c>
      <c r="DS199" s="24">
        <v>0</v>
      </c>
      <c r="DT199" s="24">
        <v>0</v>
      </c>
      <c r="DV199" s="24">
        <v>0</v>
      </c>
      <c r="DW199" s="24">
        <v>0</v>
      </c>
      <c r="DX199" s="24">
        <v>0</v>
      </c>
      <c r="DY199" s="24">
        <v>0</v>
      </c>
      <c r="DZ199" s="24">
        <v>0</v>
      </c>
    </row>
    <row r="200" spans="1:130">
      <c r="A200" s="24" t="s">
        <v>143</v>
      </c>
      <c r="B200" s="24" t="s">
        <v>143</v>
      </c>
      <c r="C200" s="24" t="s">
        <v>143</v>
      </c>
      <c r="D200" s="24" t="s">
        <v>143</v>
      </c>
      <c r="E200" s="24">
        <v>15305</v>
      </c>
      <c r="F200" s="24" t="s">
        <v>359</v>
      </c>
      <c r="G200" s="24">
        <v>0</v>
      </c>
      <c r="H200" s="24">
        <f t="shared" si="0"/>
        <v>515305</v>
      </c>
      <c r="I200" s="24" t="s">
        <v>359</v>
      </c>
      <c r="J200" s="24" t="s">
        <v>359</v>
      </c>
      <c r="K200" s="24" t="s">
        <v>652</v>
      </c>
      <c r="M200" s="24">
        <v>102</v>
      </c>
      <c r="N200" s="24">
        <v>0</v>
      </c>
      <c r="P200" s="25">
        <v>2</v>
      </c>
      <c r="Q200" s="25">
        <v>543488</v>
      </c>
      <c r="R200" s="24">
        <v>0</v>
      </c>
      <c r="S200" s="25">
        <v>8192</v>
      </c>
      <c r="T200" s="24"/>
      <c r="U200" s="24">
        <v>0</v>
      </c>
      <c r="V200" s="25">
        <v>0</v>
      </c>
      <c r="W200" s="24">
        <v>0</v>
      </c>
      <c r="X200" s="24">
        <v>0</v>
      </c>
      <c r="Y200" s="24">
        <v>0</v>
      </c>
      <c r="Z200" s="24">
        <v>0</v>
      </c>
      <c r="AB200" s="24">
        <v>10001</v>
      </c>
      <c r="AC200" s="24">
        <v>-1</v>
      </c>
      <c r="AD200" s="24">
        <v>-1</v>
      </c>
      <c r="AE200" s="24">
        <v>-1</v>
      </c>
      <c r="AG200" s="24">
        <v>2</v>
      </c>
      <c r="AH200" s="24">
        <v>0</v>
      </c>
      <c r="AI200" s="24">
        <v>0</v>
      </c>
      <c r="AJ200" s="24">
        <v>0</v>
      </c>
      <c r="AK200" s="24">
        <v>1</v>
      </c>
      <c r="AL200" s="24">
        <v>1</v>
      </c>
      <c r="AM200" s="24">
        <v>0</v>
      </c>
      <c r="AN200" s="24">
        <v>0</v>
      </c>
      <c r="AO200" s="24">
        <v>0</v>
      </c>
      <c r="AP200" s="24">
        <v>2000</v>
      </c>
      <c r="AQ200" s="24">
        <v>10</v>
      </c>
      <c r="AR200" s="24">
        <v>200</v>
      </c>
      <c r="AS200" s="24">
        <v>200</v>
      </c>
      <c r="AT200" s="24">
        <v>10</v>
      </c>
      <c r="AU200" s="24">
        <v>4005</v>
      </c>
      <c r="AV200" s="24">
        <v>0</v>
      </c>
      <c r="AW200" s="24">
        <v>0</v>
      </c>
      <c r="AX200" s="24">
        <v>0</v>
      </c>
      <c r="AY200" s="24">
        <v>0</v>
      </c>
      <c r="BA200" s="24">
        <v>0</v>
      </c>
      <c r="BB200" s="24">
        <v>800</v>
      </c>
      <c r="BC200" s="24">
        <v>800</v>
      </c>
      <c r="BD200" s="24">
        <v>0</v>
      </c>
      <c r="BE200" s="24">
        <v>200</v>
      </c>
      <c r="BF200" s="24">
        <v>1</v>
      </c>
      <c r="BG200" s="25">
        <v>17</v>
      </c>
      <c r="BH200" s="24">
        <v>1</v>
      </c>
      <c r="BI200" s="24">
        <v>0</v>
      </c>
      <c r="BJ200" s="24">
        <v>0</v>
      </c>
      <c r="BK200" s="24">
        <v>0</v>
      </c>
      <c r="BL200" s="25">
        <v>126</v>
      </c>
      <c r="BM200" s="24">
        <v>0</v>
      </c>
      <c r="BO200" s="25">
        <v>16</v>
      </c>
      <c r="BP200" s="24">
        <v>20</v>
      </c>
      <c r="BQ200" s="24">
        <v>0</v>
      </c>
      <c r="BR200" s="24">
        <v>2</v>
      </c>
      <c r="BS200" s="24">
        <v>20</v>
      </c>
      <c r="BT200" s="24">
        <v>0</v>
      </c>
      <c r="BU200" s="24">
        <v>0</v>
      </c>
      <c r="BV200" s="24">
        <v>6</v>
      </c>
      <c r="BW200" s="24">
        <v>0</v>
      </c>
      <c r="BX200" s="24">
        <v>1</v>
      </c>
      <c r="BZ200" s="24">
        <v>15305</v>
      </c>
      <c r="CA200" s="24">
        <v>0</v>
      </c>
      <c r="CB200" s="24">
        <v>3</v>
      </c>
      <c r="CC200" s="24">
        <v>1</v>
      </c>
      <c r="CD200" s="24">
        <v>0</v>
      </c>
      <c r="CE200" s="24">
        <v>0</v>
      </c>
      <c r="CG200" s="24">
        <v>-1</v>
      </c>
      <c r="CH200" s="24">
        <v>0</v>
      </c>
      <c r="CI200" s="24">
        <v>0</v>
      </c>
      <c r="CJ200" s="24">
        <v>0</v>
      </c>
      <c r="CK200" s="24">
        <v>0</v>
      </c>
      <c r="CL200" s="24">
        <v>0</v>
      </c>
      <c r="CM200" s="24">
        <v>0</v>
      </c>
      <c r="CN200" s="24">
        <v>0</v>
      </c>
      <c r="CO200" s="24">
        <v>0</v>
      </c>
      <c r="CQ200" s="24">
        <v>0</v>
      </c>
      <c r="CR200" s="24">
        <v>0</v>
      </c>
      <c r="CS200" s="24">
        <v>0</v>
      </c>
      <c r="CT200" s="24">
        <v>0</v>
      </c>
      <c r="CV200" s="24">
        <v>110404</v>
      </c>
      <c r="CW200" s="24">
        <v>5</v>
      </c>
      <c r="CX200" s="24">
        <v>104004</v>
      </c>
      <c r="CY200" s="26">
        <v>1</v>
      </c>
      <c r="CZ200" s="24">
        <v>2</v>
      </c>
      <c r="DA200" s="24">
        <v>0</v>
      </c>
      <c r="DC200" s="24">
        <v>3</v>
      </c>
      <c r="DD200" s="24">
        <v>0</v>
      </c>
      <c r="DE200" s="24">
        <v>0</v>
      </c>
      <c r="DF200" s="24">
        <v>0</v>
      </c>
      <c r="DG200" s="24">
        <v>-1</v>
      </c>
      <c r="DI200" s="24">
        <v>0</v>
      </c>
      <c r="DJ200" s="24">
        <v>0</v>
      </c>
      <c r="DL200" s="24">
        <v>0</v>
      </c>
      <c r="DM200" s="24">
        <v>0</v>
      </c>
      <c r="DO200" s="24">
        <v>1</v>
      </c>
      <c r="DP200" s="24">
        <v>1</v>
      </c>
      <c r="DQ200" s="24">
        <v>15305</v>
      </c>
      <c r="DR200" s="24">
        <v>15306</v>
      </c>
      <c r="DS200" s="24">
        <v>3000</v>
      </c>
      <c r="DT200" s="24">
        <v>0</v>
      </c>
      <c r="DV200" s="24">
        <v>0</v>
      </c>
      <c r="DW200" s="24">
        <v>0</v>
      </c>
      <c r="DX200" s="24">
        <v>0</v>
      </c>
      <c r="DY200" s="24">
        <v>0</v>
      </c>
      <c r="DZ200" s="24">
        <v>0</v>
      </c>
    </row>
    <row r="201" spans="1:130">
      <c r="A201" s="24" t="s">
        <v>143</v>
      </c>
      <c r="B201" s="24" t="s">
        <v>143</v>
      </c>
      <c r="C201" s="24" t="s">
        <v>143</v>
      </c>
      <c r="D201" s="24" t="s">
        <v>143</v>
      </c>
      <c r="E201" s="24">
        <v>15306</v>
      </c>
      <c r="F201" s="24" t="s">
        <v>350</v>
      </c>
      <c r="G201" s="24">
        <v>0</v>
      </c>
      <c r="H201" s="24">
        <f t="shared" si="0"/>
        <v>515306</v>
      </c>
      <c r="I201" s="24" t="s">
        <v>350</v>
      </c>
      <c r="J201" s="24" t="s">
        <v>350</v>
      </c>
      <c r="K201" s="24" t="s">
        <v>473</v>
      </c>
      <c r="M201" s="24">
        <v>102</v>
      </c>
      <c r="N201" s="24">
        <v>0</v>
      </c>
      <c r="P201" s="25">
        <v>2</v>
      </c>
      <c r="Q201" s="25">
        <v>524292</v>
      </c>
      <c r="R201" s="24">
        <v>15305</v>
      </c>
      <c r="S201" s="25">
        <v>0</v>
      </c>
      <c r="T201" s="24"/>
      <c r="U201" s="24">
        <v>0</v>
      </c>
      <c r="V201" s="25">
        <v>0</v>
      </c>
      <c r="W201" s="24">
        <v>0</v>
      </c>
      <c r="X201" s="24">
        <v>0</v>
      </c>
      <c r="Y201" s="24">
        <v>0</v>
      </c>
      <c r="Z201" s="24">
        <v>0</v>
      </c>
      <c r="AB201" s="24">
        <v>10007</v>
      </c>
      <c r="AC201" s="24">
        <v>0</v>
      </c>
      <c r="AD201" s="24">
        <v>15305</v>
      </c>
      <c r="AE201" s="24">
        <v>-1</v>
      </c>
      <c r="AG201" s="24">
        <v>1</v>
      </c>
      <c r="AH201" s="24">
        <v>0</v>
      </c>
      <c r="AI201" s="24">
        <v>0</v>
      </c>
      <c r="AJ201" s="24">
        <v>0</v>
      </c>
      <c r="AK201" s="24">
        <v>0</v>
      </c>
      <c r="AL201" s="24">
        <v>0</v>
      </c>
      <c r="AM201" s="24">
        <v>0</v>
      </c>
      <c r="AN201" s="24">
        <v>0</v>
      </c>
      <c r="AO201" s="24">
        <v>0</v>
      </c>
      <c r="AP201" s="24">
        <v>0</v>
      </c>
      <c r="AQ201" s="24">
        <v>0</v>
      </c>
      <c r="AR201" s="24">
        <v>0</v>
      </c>
      <c r="AS201" s="24">
        <v>0</v>
      </c>
      <c r="AT201" s="24">
        <v>0</v>
      </c>
      <c r="AU201" s="24">
        <v>0</v>
      </c>
      <c r="AV201" s="24">
        <v>0</v>
      </c>
      <c r="AW201" s="24">
        <v>0</v>
      </c>
      <c r="AX201" s="24">
        <v>0</v>
      </c>
      <c r="AY201" s="24">
        <v>0</v>
      </c>
      <c r="BA201" s="24">
        <v>0</v>
      </c>
      <c r="BB201" s="24">
        <v>800</v>
      </c>
      <c r="BC201" s="24">
        <v>1100</v>
      </c>
      <c r="BD201" s="24">
        <v>0</v>
      </c>
      <c r="BE201" s="24">
        <v>200</v>
      </c>
      <c r="BF201" s="24">
        <v>1</v>
      </c>
      <c r="BG201" s="25">
        <v>17</v>
      </c>
      <c r="BH201" s="24">
        <v>0</v>
      </c>
      <c r="BI201" s="24">
        <v>0</v>
      </c>
      <c r="BJ201" s="24">
        <v>0</v>
      </c>
      <c r="BK201" s="24">
        <v>0</v>
      </c>
      <c r="BL201" s="25">
        <v>126</v>
      </c>
      <c r="BM201" s="24">
        <v>0</v>
      </c>
      <c r="BO201" s="25">
        <v>16</v>
      </c>
      <c r="BP201" s="24">
        <v>20</v>
      </c>
      <c r="BQ201" s="24">
        <v>0</v>
      </c>
      <c r="BR201" s="24">
        <v>1</v>
      </c>
      <c r="BS201" s="24">
        <v>0</v>
      </c>
      <c r="BT201" s="24">
        <v>30</v>
      </c>
      <c r="BU201" s="24">
        <v>10</v>
      </c>
      <c r="BV201" s="24">
        <v>0</v>
      </c>
      <c r="BW201" s="24">
        <v>0</v>
      </c>
      <c r="BX201" s="24">
        <v>1</v>
      </c>
      <c r="BZ201" s="24">
        <v>-1</v>
      </c>
      <c r="CA201" s="24">
        <v>0</v>
      </c>
      <c r="CB201" s="24">
        <v>0</v>
      </c>
      <c r="CC201" s="24">
        <v>0</v>
      </c>
      <c r="CD201" s="24">
        <v>0</v>
      </c>
      <c r="CE201" s="24">
        <v>0</v>
      </c>
      <c r="CG201" s="24">
        <v>-1</v>
      </c>
      <c r="CH201" s="24">
        <v>0</v>
      </c>
      <c r="CI201" s="24">
        <v>0</v>
      </c>
      <c r="CJ201" s="24">
        <v>0</v>
      </c>
      <c r="CK201" s="24">
        <v>0</v>
      </c>
      <c r="CL201" s="24">
        <v>0</v>
      </c>
      <c r="CM201" s="24">
        <v>0</v>
      </c>
      <c r="CN201" s="24">
        <v>0</v>
      </c>
      <c r="CO201" s="24">
        <v>0</v>
      </c>
      <c r="CQ201" s="24">
        <v>0</v>
      </c>
      <c r="CR201" s="24">
        <v>0</v>
      </c>
      <c r="CS201" s="24">
        <v>0</v>
      </c>
      <c r="CT201" s="24">
        <v>0</v>
      </c>
      <c r="CV201" s="24">
        <v>110411</v>
      </c>
      <c r="CW201" s="24">
        <v>0</v>
      </c>
      <c r="CX201" s="24">
        <v>-1</v>
      </c>
      <c r="CY201" s="26">
        <v>0</v>
      </c>
      <c r="CZ201" s="24">
        <v>2</v>
      </c>
      <c r="DA201" s="24">
        <v>0</v>
      </c>
      <c r="DC201" s="24">
        <v>4</v>
      </c>
      <c r="DD201" s="24">
        <v>3</v>
      </c>
      <c r="DE201" s="24">
        <v>0</v>
      </c>
      <c r="DF201" s="24">
        <v>0</v>
      </c>
      <c r="DG201" s="24">
        <v>-1</v>
      </c>
      <c r="DI201" s="24">
        <v>0</v>
      </c>
      <c r="DJ201" s="24">
        <v>0</v>
      </c>
      <c r="DL201" s="24">
        <v>0</v>
      </c>
      <c r="DM201" s="24">
        <v>0</v>
      </c>
      <c r="DO201" s="24">
        <v>1</v>
      </c>
      <c r="DP201" s="24">
        <v>1</v>
      </c>
      <c r="DQ201" s="24">
        <v>15306</v>
      </c>
      <c r="DR201" s="24">
        <v>15305</v>
      </c>
      <c r="DS201" s="24">
        <v>0</v>
      </c>
      <c r="DT201" s="24">
        <v>0</v>
      </c>
      <c r="DV201" s="24">
        <v>7002</v>
      </c>
      <c r="DW201" s="24">
        <v>7001</v>
      </c>
      <c r="DX201" s="24">
        <v>0</v>
      </c>
      <c r="DY201" s="24">
        <v>0</v>
      </c>
      <c r="DZ201" s="24">
        <v>0</v>
      </c>
    </row>
    <row r="202" spans="1:130">
      <c r="A202" s="24" t="s">
        <v>143</v>
      </c>
      <c r="B202" s="24" t="s">
        <v>143</v>
      </c>
      <c r="C202" s="24" t="s">
        <v>143</v>
      </c>
      <c r="D202" s="24" t="s">
        <v>143</v>
      </c>
      <c r="E202" s="24">
        <v>15307</v>
      </c>
      <c r="F202" s="24" t="s">
        <v>360</v>
      </c>
      <c r="G202" s="24">
        <v>0</v>
      </c>
      <c r="H202" s="24">
        <f t="shared" si="0"/>
        <v>515307</v>
      </c>
      <c r="I202" s="24" t="s">
        <v>360</v>
      </c>
      <c r="J202" s="24" t="s">
        <v>360</v>
      </c>
      <c r="K202" s="24" t="s">
        <v>653</v>
      </c>
      <c r="M202" s="24">
        <v>102</v>
      </c>
      <c r="N202" s="24">
        <v>0</v>
      </c>
      <c r="P202" s="25">
        <v>2</v>
      </c>
      <c r="Q202" s="25">
        <v>546048</v>
      </c>
      <c r="R202" s="24">
        <v>0</v>
      </c>
      <c r="S202" s="25">
        <v>8192</v>
      </c>
      <c r="T202" s="24"/>
      <c r="U202" s="24">
        <v>0</v>
      </c>
      <c r="V202" s="25">
        <v>0</v>
      </c>
      <c r="W202" s="24">
        <v>0</v>
      </c>
      <c r="X202" s="24">
        <v>0</v>
      </c>
      <c r="Y202" s="24">
        <v>0</v>
      </c>
      <c r="Z202" s="24">
        <v>0</v>
      </c>
      <c r="AB202" s="24">
        <v>10001</v>
      </c>
      <c r="AC202" s="24">
        <v>-1</v>
      </c>
      <c r="AD202" s="24">
        <v>-1</v>
      </c>
      <c r="AE202" s="24">
        <v>-1</v>
      </c>
      <c r="AG202" s="24">
        <v>2</v>
      </c>
      <c r="AH202" s="24">
        <v>0</v>
      </c>
      <c r="AI202" s="24">
        <v>0</v>
      </c>
      <c r="AJ202" s="24">
        <v>0</v>
      </c>
      <c r="AK202" s="24">
        <v>1</v>
      </c>
      <c r="AL202" s="24">
        <v>1</v>
      </c>
      <c r="AM202" s="24">
        <v>0</v>
      </c>
      <c r="AN202" s="24">
        <v>0</v>
      </c>
      <c r="AO202" s="24">
        <v>0</v>
      </c>
      <c r="AP202" s="24">
        <v>1000</v>
      </c>
      <c r="AQ202" s="24">
        <v>20</v>
      </c>
      <c r="AR202" s="24">
        <v>400</v>
      </c>
      <c r="AS202" s="24">
        <v>400</v>
      </c>
      <c r="AT202" s="24">
        <v>1</v>
      </c>
      <c r="AU202" s="24">
        <v>4005</v>
      </c>
      <c r="AV202" s="24">
        <v>0</v>
      </c>
      <c r="AW202" s="24">
        <v>0</v>
      </c>
      <c r="AX202" s="24">
        <v>0</v>
      </c>
      <c r="AY202" s="24">
        <v>0</v>
      </c>
      <c r="BA202" s="24">
        <v>0</v>
      </c>
      <c r="BB202" s="24">
        <v>800</v>
      </c>
      <c r="BC202" s="24">
        <v>867</v>
      </c>
      <c r="BD202" s="24">
        <v>0</v>
      </c>
      <c r="BE202" s="24">
        <v>200</v>
      </c>
      <c r="BF202" s="24">
        <v>1</v>
      </c>
      <c r="BG202" s="25">
        <v>17</v>
      </c>
      <c r="BH202" s="24">
        <v>1</v>
      </c>
      <c r="BI202" s="24">
        <v>0</v>
      </c>
      <c r="BJ202" s="24">
        <v>0</v>
      </c>
      <c r="BK202" s="24">
        <v>0</v>
      </c>
      <c r="BL202" s="25">
        <v>126</v>
      </c>
      <c r="BM202" s="24">
        <v>0</v>
      </c>
      <c r="BO202" s="25">
        <v>4</v>
      </c>
      <c r="BP202" s="24">
        <v>20</v>
      </c>
      <c r="BQ202" s="24">
        <v>0</v>
      </c>
      <c r="BR202" s="24">
        <v>1</v>
      </c>
      <c r="BS202" s="24">
        <v>0</v>
      </c>
      <c r="BT202" s="24">
        <v>0</v>
      </c>
      <c r="BU202" s="24">
        <v>0</v>
      </c>
      <c r="BV202" s="24">
        <v>6</v>
      </c>
      <c r="BW202" s="24">
        <v>0</v>
      </c>
      <c r="BX202" s="24">
        <v>1</v>
      </c>
      <c r="BZ202" s="24">
        <v>15307</v>
      </c>
      <c r="CA202" s="24">
        <v>0</v>
      </c>
      <c r="CB202" s="24">
        <v>3</v>
      </c>
      <c r="CC202" s="24">
        <v>1</v>
      </c>
      <c r="CD202" s="24">
        <v>0</v>
      </c>
      <c r="CE202" s="24">
        <v>0</v>
      </c>
      <c r="CG202" s="24">
        <v>-1</v>
      </c>
      <c r="CH202" s="24">
        <v>0</v>
      </c>
      <c r="CI202" s="24">
        <v>0</v>
      </c>
      <c r="CJ202" s="24">
        <v>0</v>
      </c>
      <c r="CK202" s="24">
        <v>0</v>
      </c>
      <c r="CL202" s="24">
        <v>0</v>
      </c>
      <c r="CM202" s="24">
        <v>0</v>
      </c>
      <c r="CN202" s="24">
        <v>0</v>
      </c>
      <c r="CO202" s="24">
        <v>0</v>
      </c>
      <c r="CQ202" s="24">
        <v>0</v>
      </c>
      <c r="CR202" s="24">
        <v>0</v>
      </c>
      <c r="CS202" s="24">
        <v>0</v>
      </c>
      <c r="CT202" s="24">
        <v>0</v>
      </c>
      <c r="CV202" s="24">
        <v>110405</v>
      </c>
      <c r="CW202" s="24">
        <v>5</v>
      </c>
      <c r="CX202" s="24">
        <v>104005</v>
      </c>
      <c r="CY202" s="26">
        <v>1</v>
      </c>
      <c r="CZ202" s="24">
        <v>2</v>
      </c>
      <c r="DA202" s="24">
        <v>0</v>
      </c>
      <c r="DC202" s="24">
        <v>2</v>
      </c>
      <c r="DD202" s="24">
        <v>1</v>
      </c>
      <c r="DE202" s="24">
        <v>0</v>
      </c>
      <c r="DF202" s="24">
        <v>0</v>
      </c>
      <c r="DG202" s="24">
        <v>-1</v>
      </c>
      <c r="DI202" s="24">
        <v>0</v>
      </c>
      <c r="DJ202" s="24">
        <v>0</v>
      </c>
      <c r="DL202" s="24">
        <v>0</v>
      </c>
      <c r="DM202" s="24">
        <v>0</v>
      </c>
      <c r="DO202" s="24">
        <v>0</v>
      </c>
      <c r="DP202" s="24">
        <v>0</v>
      </c>
      <c r="DQ202" s="24">
        <v>0</v>
      </c>
      <c r="DR202" s="24">
        <v>0</v>
      </c>
      <c r="DS202" s="24">
        <v>0</v>
      </c>
      <c r="DT202" s="24">
        <v>0</v>
      </c>
      <c r="DV202" s="24">
        <v>0</v>
      </c>
      <c r="DW202" s="24">
        <v>0</v>
      </c>
      <c r="DX202" s="24">
        <v>0</v>
      </c>
      <c r="DY202" s="24">
        <v>0</v>
      </c>
      <c r="DZ202" s="24">
        <v>0</v>
      </c>
    </row>
    <row r="203" spans="1:130">
      <c r="A203" s="24" t="s">
        <v>143</v>
      </c>
      <c r="B203" s="24" t="s">
        <v>143</v>
      </c>
      <c r="C203" s="24" t="s">
        <v>143</v>
      </c>
      <c r="D203" s="24" t="s">
        <v>143</v>
      </c>
      <c r="E203" s="24">
        <v>15308</v>
      </c>
      <c r="F203" s="24" t="s">
        <v>423</v>
      </c>
      <c r="G203" s="24">
        <v>0</v>
      </c>
      <c r="H203" s="24">
        <f t="shared" si="0"/>
        <v>515308</v>
      </c>
      <c r="I203" s="24" t="s">
        <v>423</v>
      </c>
      <c r="J203" s="24" t="s">
        <v>423</v>
      </c>
      <c r="K203" s="24" t="s">
        <v>473</v>
      </c>
      <c r="M203" s="24">
        <v>0</v>
      </c>
      <c r="N203" s="24">
        <v>0</v>
      </c>
      <c r="P203" s="25">
        <v>12</v>
      </c>
      <c r="Q203" s="25">
        <v>0</v>
      </c>
      <c r="R203" s="24">
        <v>0</v>
      </c>
      <c r="S203" s="25">
        <v>0</v>
      </c>
      <c r="T203" s="24"/>
      <c r="U203" s="24">
        <v>11</v>
      </c>
      <c r="V203" s="25">
        <v>2050</v>
      </c>
      <c r="W203" s="24">
        <v>2</v>
      </c>
      <c r="X203" s="24">
        <v>15307</v>
      </c>
      <c r="Y203" s="24">
        <v>0</v>
      </c>
      <c r="Z203" s="24">
        <v>1000</v>
      </c>
      <c r="AB203" s="24">
        <v>30006</v>
      </c>
      <c r="AC203" s="24">
        <v>15309</v>
      </c>
      <c r="AD203" s="24">
        <v>-1</v>
      </c>
      <c r="AE203" s="24">
        <v>-1</v>
      </c>
      <c r="AG203" s="24">
        <v>1</v>
      </c>
      <c r="AH203" s="24">
        <v>0</v>
      </c>
      <c r="AI203" s="24">
        <v>0</v>
      </c>
      <c r="AJ203" s="24">
        <v>0</v>
      </c>
      <c r="AK203" s="24">
        <v>0</v>
      </c>
      <c r="AL203" s="24">
        <v>0</v>
      </c>
      <c r="AM203" s="24">
        <v>0</v>
      </c>
      <c r="AN203" s="24">
        <v>0</v>
      </c>
      <c r="AO203" s="24">
        <v>0</v>
      </c>
      <c r="AP203" s="24">
        <v>0</v>
      </c>
      <c r="AQ203" s="24">
        <v>0</v>
      </c>
      <c r="AR203" s="24">
        <v>0</v>
      </c>
      <c r="AS203" s="24">
        <v>0</v>
      </c>
      <c r="AT203" s="24">
        <v>0</v>
      </c>
      <c r="AU203" s="24">
        <v>0</v>
      </c>
      <c r="AV203" s="24">
        <v>0</v>
      </c>
      <c r="AW203" s="24">
        <v>0</v>
      </c>
      <c r="AX203" s="24">
        <v>0</v>
      </c>
      <c r="AY203" s="24">
        <v>0</v>
      </c>
      <c r="BA203" s="24">
        <v>0</v>
      </c>
      <c r="BB203" s="24">
        <v>800</v>
      </c>
      <c r="BC203" s="24">
        <v>800</v>
      </c>
      <c r="BD203" s="24">
        <v>0</v>
      </c>
      <c r="BE203" s="24">
        <v>0</v>
      </c>
      <c r="BF203" s="24">
        <v>1</v>
      </c>
      <c r="BG203" s="25">
        <v>1</v>
      </c>
      <c r="BH203" s="24">
        <v>0</v>
      </c>
      <c r="BI203" s="24">
        <v>0</v>
      </c>
      <c r="BJ203" s="24">
        <v>0</v>
      </c>
      <c r="BK203" s="24">
        <v>0</v>
      </c>
      <c r="BL203" s="25">
        <v>126</v>
      </c>
      <c r="BM203" s="24">
        <v>0</v>
      </c>
      <c r="BO203" s="25">
        <v>4</v>
      </c>
      <c r="BP203" s="24">
        <v>20</v>
      </c>
      <c r="BQ203" s="24">
        <v>0</v>
      </c>
      <c r="BR203" s="24">
        <v>1</v>
      </c>
      <c r="BS203" s="24">
        <v>0</v>
      </c>
      <c r="BT203" s="24">
        <v>0</v>
      </c>
      <c r="BU203" s="24">
        <v>0</v>
      </c>
      <c r="BV203" s="24">
        <v>0</v>
      </c>
      <c r="BW203" s="24">
        <v>0</v>
      </c>
      <c r="BX203" s="24">
        <v>1</v>
      </c>
      <c r="BZ203" s="24">
        <v>-1</v>
      </c>
      <c r="CA203" s="24">
        <v>0</v>
      </c>
      <c r="CB203" s="24">
        <v>0</v>
      </c>
      <c r="CC203" s="24">
        <v>0</v>
      </c>
      <c r="CD203" s="24">
        <v>0</v>
      </c>
      <c r="CE203" s="24">
        <v>0</v>
      </c>
      <c r="CG203" s="24">
        <v>1</v>
      </c>
      <c r="CH203" s="24">
        <v>0</v>
      </c>
      <c r="CI203" s="24">
        <v>0</v>
      </c>
      <c r="CJ203" s="24">
        <v>0</v>
      </c>
      <c r="CK203" s="24">
        <v>0</v>
      </c>
      <c r="CL203" s="24">
        <v>0</v>
      </c>
      <c r="CM203" s="24">
        <v>0</v>
      </c>
      <c r="CN203" s="24">
        <v>0</v>
      </c>
      <c r="CO203" s="24">
        <v>0</v>
      </c>
      <c r="CQ203" s="24">
        <v>10</v>
      </c>
      <c r="CR203" s="24">
        <v>0</v>
      </c>
      <c r="CS203" s="24">
        <v>0</v>
      </c>
      <c r="CT203" s="24">
        <v>0</v>
      </c>
      <c r="CV203" s="24">
        <v>0</v>
      </c>
      <c r="CW203" s="24">
        <v>0</v>
      </c>
      <c r="CX203" s="24">
        <v>-1</v>
      </c>
      <c r="CY203" s="26">
        <v>0</v>
      </c>
      <c r="CZ203" s="24">
        <v>0</v>
      </c>
      <c r="DA203" s="24">
        <v>0</v>
      </c>
      <c r="DC203" s="24">
        <v>1</v>
      </c>
      <c r="DD203" s="24">
        <v>1</v>
      </c>
      <c r="DE203" s="24">
        <v>0</v>
      </c>
      <c r="DF203" s="24">
        <v>0</v>
      </c>
      <c r="DG203" s="24">
        <v>-1</v>
      </c>
      <c r="DI203" s="24">
        <v>0</v>
      </c>
      <c r="DJ203" s="24">
        <v>0</v>
      </c>
      <c r="DL203" s="24">
        <v>0</v>
      </c>
      <c r="DM203" s="24">
        <v>0</v>
      </c>
      <c r="DO203" s="24">
        <v>0</v>
      </c>
      <c r="DP203" s="24">
        <v>0</v>
      </c>
      <c r="DQ203" s="24">
        <v>0</v>
      </c>
      <c r="DR203" s="24">
        <v>0</v>
      </c>
      <c r="DS203" s="24">
        <v>0</v>
      </c>
      <c r="DT203" s="24">
        <v>0</v>
      </c>
      <c r="DV203" s="24">
        <v>0</v>
      </c>
      <c r="DW203" s="24">
        <v>0</v>
      </c>
      <c r="DX203" s="24">
        <v>0</v>
      </c>
      <c r="DY203" s="24">
        <v>0</v>
      </c>
      <c r="DZ203" s="24">
        <v>0</v>
      </c>
    </row>
    <row r="204" spans="1:130">
      <c r="A204" s="24" t="s">
        <v>143</v>
      </c>
      <c r="B204" s="24" t="s">
        <v>143</v>
      </c>
      <c r="C204" s="24" t="s">
        <v>143</v>
      </c>
      <c r="D204" s="24" t="s">
        <v>143</v>
      </c>
      <c r="E204" s="24">
        <v>15309</v>
      </c>
      <c r="F204" s="24" t="s">
        <v>417</v>
      </c>
      <c r="G204" s="24">
        <v>0</v>
      </c>
      <c r="H204" s="24">
        <f t="shared" ref="H204:H208" si="1">500000+E204</f>
        <v>515309</v>
      </c>
      <c r="I204" s="24" t="s">
        <v>417</v>
      </c>
      <c r="J204" s="24" t="s">
        <v>417</v>
      </c>
      <c r="K204" s="24" t="s">
        <v>473</v>
      </c>
      <c r="M204" s="24">
        <v>102</v>
      </c>
      <c r="N204" s="24">
        <v>0</v>
      </c>
      <c r="P204" s="25">
        <v>34</v>
      </c>
      <c r="Q204" s="25">
        <v>671744</v>
      </c>
      <c r="R204" s="24">
        <v>0</v>
      </c>
      <c r="S204" s="25">
        <v>8192</v>
      </c>
      <c r="T204" s="24"/>
      <c r="U204" s="24">
        <v>0</v>
      </c>
      <c r="V204" s="25">
        <v>0</v>
      </c>
      <c r="W204" s="24">
        <v>0</v>
      </c>
      <c r="X204" s="24">
        <v>0</v>
      </c>
      <c r="Y204" s="24">
        <v>0</v>
      </c>
      <c r="Z204" s="24">
        <v>0</v>
      </c>
      <c r="AB204" s="24">
        <v>10007</v>
      </c>
      <c r="AC204" s="24">
        <v>-1</v>
      </c>
      <c r="AD204" s="24">
        <v>-1</v>
      </c>
      <c r="AE204" s="24">
        <v>-1</v>
      </c>
      <c r="AG204" s="24">
        <v>1</v>
      </c>
      <c r="AH204" s="24">
        <v>0</v>
      </c>
      <c r="AI204" s="24">
        <v>0</v>
      </c>
      <c r="AJ204" s="24">
        <v>0</v>
      </c>
      <c r="AK204" s="24">
        <v>0</v>
      </c>
      <c r="AL204" s="24">
        <v>0</v>
      </c>
      <c r="AM204" s="24">
        <v>0</v>
      </c>
      <c r="AN204" s="24">
        <v>0</v>
      </c>
      <c r="AO204" s="24">
        <v>0</v>
      </c>
      <c r="AP204" s="24">
        <v>0</v>
      </c>
      <c r="AQ204" s="24">
        <v>0</v>
      </c>
      <c r="AR204" s="24">
        <v>0</v>
      </c>
      <c r="AS204" s="24">
        <v>0</v>
      </c>
      <c r="AT204" s="24">
        <v>0</v>
      </c>
      <c r="AU204" s="24">
        <v>0</v>
      </c>
      <c r="AV204" s="24">
        <v>0</v>
      </c>
      <c r="AW204" s="24">
        <v>0</v>
      </c>
      <c r="AX204" s="24">
        <v>0</v>
      </c>
      <c r="AY204" s="24">
        <v>0</v>
      </c>
      <c r="BA204" s="24">
        <v>0</v>
      </c>
      <c r="BB204" s="24">
        <v>400</v>
      </c>
      <c r="BC204" s="24">
        <v>700</v>
      </c>
      <c r="BD204" s="24">
        <v>0</v>
      </c>
      <c r="BE204" s="24">
        <v>100</v>
      </c>
      <c r="BF204" s="24">
        <v>1</v>
      </c>
      <c r="BG204" s="25">
        <v>1</v>
      </c>
      <c r="BH204" s="24">
        <v>1</v>
      </c>
      <c r="BI204" s="24">
        <v>0</v>
      </c>
      <c r="BJ204" s="24">
        <v>0</v>
      </c>
      <c r="BK204" s="24">
        <v>0</v>
      </c>
      <c r="BL204" s="25">
        <v>126</v>
      </c>
      <c r="BM204" s="24">
        <v>0</v>
      </c>
      <c r="BO204" s="25">
        <v>4</v>
      </c>
      <c r="BP204" s="24">
        <v>20</v>
      </c>
      <c r="BQ204" s="24">
        <v>0</v>
      </c>
      <c r="BR204" s="24">
        <v>1</v>
      </c>
      <c r="BS204" s="24">
        <v>0</v>
      </c>
      <c r="BT204" s="24">
        <v>0</v>
      </c>
      <c r="BU204" s="24">
        <v>0</v>
      </c>
      <c r="BV204" s="24">
        <v>6</v>
      </c>
      <c r="BW204" s="24">
        <v>0</v>
      </c>
      <c r="BX204" s="24">
        <v>1</v>
      </c>
      <c r="BZ204" s="24">
        <v>-1</v>
      </c>
      <c r="CA204" s="24">
        <v>0</v>
      </c>
      <c r="CB204" s="24">
        <v>0</v>
      </c>
      <c r="CC204" s="24">
        <v>0</v>
      </c>
      <c r="CD204" s="24">
        <v>0</v>
      </c>
      <c r="CE204" s="24">
        <v>0</v>
      </c>
      <c r="CG204" s="24">
        <v>1</v>
      </c>
      <c r="CH204" s="24">
        <v>0</v>
      </c>
      <c r="CI204" s="24">
        <v>0</v>
      </c>
      <c r="CJ204" s="24">
        <v>0</v>
      </c>
      <c r="CK204" s="24">
        <v>0</v>
      </c>
      <c r="CL204" s="24">
        <v>0</v>
      </c>
      <c r="CM204" s="24">
        <v>0</v>
      </c>
      <c r="CN204" s="24">
        <v>0</v>
      </c>
      <c r="CO204" s="24">
        <v>0</v>
      </c>
      <c r="CQ204" s="24">
        <v>10</v>
      </c>
      <c r="CR204" s="24">
        <v>0</v>
      </c>
      <c r="CS204" s="24">
        <v>0</v>
      </c>
      <c r="CT204" s="24">
        <v>0</v>
      </c>
      <c r="CV204" s="24">
        <v>110406</v>
      </c>
      <c r="CW204" s="24">
        <v>0</v>
      </c>
      <c r="CX204" s="24">
        <v>101</v>
      </c>
      <c r="CY204" s="26">
        <v>1</v>
      </c>
      <c r="CZ204" s="24">
        <v>2</v>
      </c>
      <c r="DA204" s="24">
        <v>0</v>
      </c>
      <c r="DC204" s="24">
        <v>1</v>
      </c>
      <c r="DD204" s="24">
        <v>1</v>
      </c>
      <c r="DE204" s="24">
        <v>0</v>
      </c>
      <c r="DF204" s="24">
        <v>0</v>
      </c>
      <c r="DG204" s="24">
        <v>-1</v>
      </c>
      <c r="DI204" s="24">
        <v>0</v>
      </c>
      <c r="DJ204" s="24">
        <v>0</v>
      </c>
      <c r="DL204" s="24">
        <v>15309</v>
      </c>
      <c r="DM204" s="24">
        <v>1</v>
      </c>
      <c r="DO204" s="24">
        <v>1</v>
      </c>
      <c r="DP204" s="24">
        <v>0</v>
      </c>
      <c r="DQ204" s="24">
        <v>0</v>
      </c>
      <c r="DR204" s="24">
        <v>0</v>
      </c>
      <c r="DS204" s="24">
        <v>0</v>
      </c>
      <c r="DT204" s="24">
        <v>0</v>
      </c>
      <c r="DV204" s="24">
        <v>7002</v>
      </c>
      <c r="DW204" s="24">
        <v>0</v>
      </c>
      <c r="DX204" s="24">
        <v>0</v>
      </c>
      <c r="DY204" s="24">
        <v>0</v>
      </c>
      <c r="DZ204" s="24">
        <v>0</v>
      </c>
    </row>
    <row r="205" spans="1:130">
      <c r="A205" s="24" t="s">
        <v>143</v>
      </c>
      <c r="B205" s="24" t="s">
        <v>143</v>
      </c>
      <c r="C205" s="24" t="s">
        <v>143</v>
      </c>
      <c r="D205" s="24" t="s">
        <v>143</v>
      </c>
      <c r="E205" s="24">
        <v>15310</v>
      </c>
      <c r="F205" s="24" t="s">
        <v>418</v>
      </c>
      <c r="G205" s="24">
        <v>0</v>
      </c>
      <c r="H205" s="24">
        <f t="shared" si="1"/>
        <v>515310</v>
      </c>
      <c r="I205" s="24" t="s">
        <v>418</v>
      </c>
      <c r="J205" s="24" t="s">
        <v>418</v>
      </c>
      <c r="K205" s="24" t="s">
        <v>473</v>
      </c>
      <c r="M205" s="24">
        <v>102</v>
      </c>
      <c r="N205" s="24">
        <v>0</v>
      </c>
      <c r="P205" s="25">
        <v>34</v>
      </c>
      <c r="Q205" s="25">
        <v>671744</v>
      </c>
      <c r="R205" s="24">
        <v>15309</v>
      </c>
      <c r="S205" s="25">
        <v>8192</v>
      </c>
      <c r="T205" s="24"/>
      <c r="U205" s="24">
        <v>0</v>
      </c>
      <c r="V205" s="25">
        <v>0</v>
      </c>
      <c r="W205" s="24">
        <v>0</v>
      </c>
      <c r="X205" s="24">
        <v>0</v>
      </c>
      <c r="Y205" s="24">
        <v>0</v>
      </c>
      <c r="Z205" s="24">
        <v>1000</v>
      </c>
      <c r="AB205" s="24">
        <v>10007</v>
      </c>
      <c r="AC205" s="24">
        <v>-1</v>
      </c>
      <c r="AD205" s="24">
        <v>-1</v>
      </c>
      <c r="AE205" s="24">
        <v>-1</v>
      </c>
      <c r="AG205" s="24">
        <v>1</v>
      </c>
      <c r="AH205" s="24">
        <v>0</v>
      </c>
      <c r="AI205" s="24">
        <v>0</v>
      </c>
      <c r="AJ205" s="24">
        <v>0</v>
      </c>
      <c r="AK205" s="24">
        <v>0</v>
      </c>
      <c r="AL205" s="24">
        <v>0</v>
      </c>
      <c r="AM205" s="24">
        <v>0</v>
      </c>
      <c r="AN205" s="24">
        <v>0</v>
      </c>
      <c r="AO205" s="24">
        <v>0</v>
      </c>
      <c r="AP205" s="24">
        <v>0</v>
      </c>
      <c r="AQ205" s="24">
        <v>0</v>
      </c>
      <c r="AR205" s="24">
        <v>0</v>
      </c>
      <c r="AS205" s="24">
        <v>0</v>
      </c>
      <c r="AT205" s="24">
        <v>0</v>
      </c>
      <c r="AU205" s="24">
        <v>0</v>
      </c>
      <c r="AV205" s="24">
        <v>0</v>
      </c>
      <c r="AW205" s="24">
        <v>0</v>
      </c>
      <c r="AX205" s="24">
        <v>0</v>
      </c>
      <c r="AY205" s="24">
        <v>0</v>
      </c>
      <c r="BA205" s="24">
        <v>0</v>
      </c>
      <c r="BB205" s="24">
        <v>700</v>
      </c>
      <c r="BC205" s="24">
        <v>1000</v>
      </c>
      <c r="BD205" s="24">
        <v>0</v>
      </c>
      <c r="BE205" s="24">
        <v>100</v>
      </c>
      <c r="BF205" s="24">
        <v>1</v>
      </c>
      <c r="BG205" s="25">
        <v>1</v>
      </c>
      <c r="BH205" s="24">
        <v>1</v>
      </c>
      <c r="BI205" s="24">
        <v>0</v>
      </c>
      <c r="BJ205" s="24">
        <v>0</v>
      </c>
      <c r="BK205" s="24">
        <v>0</v>
      </c>
      <c r="BL205" s="25">
        <v>126</v>
      </c>
      <c r="BM205" s="24">
        <v>0</v>
      </c>
      <c r="BO205" s="25">
        <v>4</v>
      </c>
      <c r="BP205" s="24">
        <v>15</v>
      </c>
      <c r="BQ205" s="24">
        <v>0</v>
      </c>
      <c r="BR205" s="24">
        <v>1</v>
      </c>
      <c r="BS205" s="24">
        <v>0</v>
      </c>
      <c r="BT205" s="24">
        <v>0</v>
      </c>
      <c r="BU205" s="24">
        <v>0</v>
      </c>
      <c r="BV205" s="24">
        <v>6</v>
      </c>
      <c r="BW205" s="24">
        <v>0</v>
      </c>
      <c r="BX205" s="24">
        <v>1</v>
      </c>
      <c r="BZ205" s="24">
        <v>-1</v>
      </c>
      <c r="CA205" s="24">
        <v>0</v>
      </c>
      <c r="CB205" s="24">
        <v>0</v>
      </c>
      <c r="CC205" s="24">
        <v>0</v>
      </c>
      <c r="CD205" s="24">
        <v>0</v>
      </c>
      <c r="CE205" s="24">
        <v>0</v>
      </c>
      <c r="CG205" s="24">
        <v>1</v>
      </c>
      <c r="CH205" s="24">
        <v>0</v>
      </c>
      <c r="CI205" s="24">
        <v>0</v>
      </c>
      <c r="CJ205" s="24">
        <v>0</v>
      </c>
      <c r="CK205" s="24">
        <v>0</v>
      </c>
      <c r="CL205" s="24">
        <v>0</v>
      </c>
      <c r="CM205" s="24">
        <v>0</v>
      </c>
      <c r="CN205" s="24">
        <v>0</v>
      </c>
      <c r="CO205" s="24">
        <v>0</v>
      </c>
      <c r="CQ205" s="24">
        <v>10</v>
      </c>
      <c r="CR205" s="24">
        <v>0</v>
      </c>
      <c r="CS205" s="24">
        <v>0</v>
      </c>
      <c r="CT205" s="24">
        <v>0</v>
      </c>
      <c r="CV205" s="24">
        <v>110407</v>
      </c>
      <c r="CW205" s="24">
        <v>0</v>
      </c>
      <c r="CX205" s="24">
        <v>101</v>
      </c>
      <c r="CY205" s="26">
        <v>1</v>
      </c>
      <c r="CZ205" s="24">
        <v>2</v>
      </c>
      <c r="DA205" s="24">
        <v>0</v>
      </c>
      <c r="DC205" s="24">
        <v>1</v>
      </c>
      <c r="DD205" s="24">
        <v>1</v>
      </c>
      <c r="DE205" s="24">
        <v>0</v>
      </c>
      <c r="DF205" s="24">
        <v>0</v>
      </c>
      <c r="DG205" s="24">
        <v>-1</v>
      </c>
      <c r="DI205" s="24">
        <v>0</v>
      </c>
      <c r="DJ205" s="24">
        <v>0</v>
      </c>
      <c r="DL205" s="24">
        <v>15309</v>
      </c>
      <c r="DM205" s="24">
        <v>2</v>
      </c>
      <c r="DO205" s="24">
        <v>1</v>
      </c>
      <c r="DP205" s="24">
        <v>0</v>
      </c>
      <c r="DQ205" s="24">
        <v>0</v>
      </c>
      <c r="DR205" s="24">
        <v>0</v>
      </c>
      <c r="DS205" s="24">
        <v>0</v>
      </c>
      <c r="DT205" s="24">
        <v>0</v>
      </c>
      <c r="DV205" s="24">
        <v>0</v>
      </c>
      <c r="DW205" s="24">
        <v>0</v>
      </c>
      <c r="DX205" s="24">
        <v>0</v>
      </c>
      <c r="DY205" s="24">
        <v>0</v>
      </c>
      <c r="DZ205" s="24">
        <v>0</v>
      </c>
    </row>
    <row r="206" spans="1:130">
      <c r="A206" s="24" t="s">
        <v>143</v>
      </c>
      <c r="B206" s="24" t="s">
        <v>143</v>
      </c>
      <c r="C206" s="24" t="s">
        <v>143</v>
      </c>
      <c r="D206" s="24" t="s">
        <v>143</v>
      </c>
      <c r="E206" s="24">
        <v>15311</v>
      </c>
      <c r="F206" s="24" t="s">
        <v>419</v>
      </c>
      <c r="G206" s="24">
        <v>0</v>
      </c>
      <c r="H206" s="24">
        <f t="shared" si="1"/>
        <v>515311</v>
      </c>
      <c r="I206" s="24" t="s">
        <v>419</v>
      </c>
      <c r="J206" s="24" t="s">
        <v>419</v>
      </c>
      <c r="K206" s="24" t="s">
        <v>473</v>
      </c>
      <c r="M206" s="24">
        <v>102</v>
      </c>
      <c r="N206" s="24">
        <v>0</v>
      </c>
      <c r="P206" s="25">
        <v>34</v>
      </c>
      <c r="Q206" s="25">
        <v>671744</v>
      </c>
      <c r="R206" s="24">
        <v>15309</v>
      </c>
      <c r="S206" s="25">
        <v>8192</v>
      </c>
      <c r="T206" s="24"/>
      <c r="U206" s="24">
        <v>0</v>
      </c>
      <c r="V206" s="25">
        <v>0</v>
      </c>
      <c r="W206" s="24">
        <v>0</v>
      </c>
      <c r="X206" s="24">
        <v>0</v>
      </c>
      <c r="Y206" s="24">
        <v>0</v>
      </c>
      <c r="Z206" s="24">
        <v>1000</v>
      </c>
      <c r="AB206" s="24">
        <v>10007</v>
      </c>
      <c r="AC206" s="24">
        <v>-1</v>
      </c>
      <c r="AD206" s="24">
        <v>-1</v>
      </c>
      <c r="AE206" s="24">
        <v>-1</v>
      </c>
      <c r="AG206" s="24">
        <v>1</v>
      </c>
      <c r="AH206" s="24">
        <v>0</v>
      </c>
      <c r="AI206" s="24">
        <v>0</v>
      </c>
      <c r="AJ206" s="24">
        <v>0</v>
      </c>
      <c r="AK206" s="24">
        <v>0</v>
      </c>
      <c r="AL206" s="24">
        <v>0</v>
      </c>
      <c r="AM206" s="24">
        <v>0</v>
      </c>
      <c r="AN206" s="24">
        <v>0</v>
      </c>
      <c r="AO206" s="24">
        <v>0</v>
      </c>
      <c r="AP206" s="24">
        <v>0</v>
      </c>
      <c r="AQ206" s="24">
        <v>0</v>
      </c>
      <c r="AR206" s="24">
        <v>0</v>
      </c>
      <c r="AS206" s="24">
        <v>0</v>
      </c>
      <c r="AT206" s="24">
        <v>0</v>
      </c>
      <c r="AU206" s="24">
        <v>0</v>
      </c>
      <c r="AV206" s="24">
        <v>0</v>
      </c>
      <c r="AW206" s="24">
        <v>0</v>
      </c>
      <c r="AX206" s="24">
        <v>0</v>
      </c>
      <c r="AY206" s="24">
        <v>0</v>
      </c>
      <c r="BA206" s="24">
        <v>0</v>
      </c>
      <c r="BB206" s="24">
        <v>200</v>
      </c>
      <c r="BC206" s="24">
        <v>500</v>
      </c>
      <c r="BD206" s="24">
        <v>0</v>
      </c>
      <c r="BE206" s="24">
        <v>100</v>
      </c>
      <c r="BF206" s="24">
        <v>1</v>
      </c>
      <c r="BG206" s="25">
        <v>1</v>
      </c>
      <c r="BH206" s="24">
        <v>1</v>
      </c>
      <c r="BI206" s="24">
        <v>0</v>
      </c>
      <c r="BJ206" s="24">
        <v>0</v>
      </c>
      <c r="BK206" s="24">
        <v>0</v>
      </c>
      <c r="BL206" s="25">
        <v>126</v>
      </c>
      <c r="BM206" s="24">
        <v>0</v>
      </c>
      <c r="BO206" s="25">
        <v>4</v>
      </c>
      <c r="BP206" s="24">
        <v>15</v>
      </c>
      <c r="BQ206" s="24">
        <v>0</v>
      </c>
      <c r="BR206" s="24">
        <v>1</v>
      </c>
      <c r="BS206" s="24">
        <v>0</v>
      </c>
      <c r="BT206" s="24">
        <v>0</v>
      </c>
      <c r="BU206" s="24">
        <v>0</v>
      </c>
      <c r="BV206" s="24">
        <v>6</v>
      </c>
      <c r="BW206" s="24">
        <v>0</v>
      </c>
      <c r="BX206" s="24">
        <v>1</v>
      </c>
      <c r="BZ206" s="24">
        <v>-1</v>
      </c>
      <c r="CA206" s="24">
        <v>0</v>
      </c>
      <c r="CB206" s="24">
        <v>0</v>
      </c>
      <c r="CC206" s="24">
        <v>0</v>
      </c>
      <c r="CD206" s="24">
        <v>0</v>
      </c>
      <c r="CE206" s="24">
        <v>0</v>
      </c>
      <c r="CG206" s="24">
        <v>1</v>
      </c>
      <c r="CH206" s="24">
        <v>0</v>
      </c>
      <c r="CI206" s="24">
        <v>0</v>
      </c>
      <c r="CJ206" s="24">
        <v>0</v>
      </c>
      <c r="CK206" s="24">
        <v>0</v>
      </c>
      <c r="CL206" s="24">
        <v>0</v>
      </c>
      <c r="CM206" s="24">
        <v>0</v>
      </c>
      <c r="CN206" s="24">
        <v>0</v>
      </c>
      <c r="CO206" s="24">
        <v>0</v>
      </c>
      <c r="CQ206" s="24">
        <v>10</v>
      </c>
      <c r="CR206" s="24">
        <v>0</v>
      </c>
      <c r="CS206" s="24">
        <v>0</v>
      </c>
      <c r="CT206" s="24">
        <v>0</v>
      </c>
      <c r="CV206" s="24">
        <v>110408</v>
      </c>
      <c r="CW206" s="24">
        <v>0</v>
      </c>
      <c r="CX206" s="24">
        <v>101</v>
      </c>
      <c r="CY206" s="26">
        <v>1</v>
      </c>
      <c r="CZ206" s="24">
        <v>2</v>
      </c>
      <c r="DA206" s="24">
        <v>0</v>
      </c>
      <c r="DC206" s="24">
        <v>1</v>
      </c>
      <c r="DD206" s="24">
        <v>1</v>
      </c>
      <c r="DE206" s="24">
        <v>0</v>
      </c>
      <c r="DF206" s="24">
        <v>0</v>
      </c>
      <c r="DG206" s="24">
        <v>-1</v>
      </c>
      <c r="DI206" s="24">
        <v>0</v>
      </c>
      <c r="DJ206" s="24">
        <v>0</v>
      </c>
      <c r="DL206" s="24">
        <v>15309</v>
      </c>
      <c r="DM206" s="24">
        <v>3</v>
      </c>
      <c r="DO206" s="24">
        <v>1</v>
      </c>
      <c r="DP206" s="24">
        <v>0</v>
      </c>
      <c r="DQ206" s="24">
        <v>0</v>
      </c>
      <c r="DR206" s="24">
        <v>0</v>
      </c>
      <c r="DS206" s="24">
        <v>0</v>
      </c>
      <c r="DT206" s="24">
        <v>0</v>
      </c>
      <c r="DV206" s="24">
        <v>7002</v>
      </c>
      <c r="DW206" s="24">
        <v>0</v>
      </c>
      <c r="DX206" s="24">
        <v>0</v>
      </c>
      <c r="DY206" s="24">
        <v>0</v>
      </c>
      <c r="DZ206" s="24">
        <v>0</v>
      </c>
    </row>
    <row r="207" spans="1:130">
      <c r="A207" s="24" t="s">
        <v>143</v>
      </c>
      <c r="B207" s="24" t="s">
        <v>143</v>
      </c>
      <c r="C207" s="24" t="s">
        <v>143</v>
      </c>
      <c r="D207" s="24" t="s">
        <v>143</v>
      </c>
      <c r="E207" s="24">
        <v>15312</v>
      </c>
      <c r="F207" s="24" t="s">
        <v>420</v>
      </c>
      <c r="G207" s="24">
        <v>0</v>
      </c>
      <c r="H207" s="24">
        <f t="shared" si="1"/>
        <v>515312</v>
      </c>
      <c r="I207" s="24" t="s">
        <v>420</v>
      </c>
      <c r="J207" s="24" t="s">
        <v>420</v>
      </c>
      <c r="K207" s="24" t="s">
        <v>473</v>
      </c>
      <c r="M207" s="24">
        <v>102</v>
      </c>
      <c r="N207" s="24">
        <v>0</v>
      </c>
      <c r="P207" s="25">
        <v>34</v>
      </c>
      <c r="Q207" s="25">
        <v>671744</v>
      </c>
      <c r="R207" s="24">
        <v>15309</v>
      </c>
      <c r="S207" s="25">
        <v>8192</v>
      </c>
      <c r="T207" s="24"/>
      <c r="U207" s="24">
        <v>0</v>
      </c>
      <c r="V207" s="25">
        <v>0</v>
      </c>
      <c r="W207" s="24">
        <v>0</v>
      </c>
      <c r="X207" s="24">
        <v>0</v>
      </c>
      <c r="Y207" s="24">
        <v>0</v>
      </c>
      <c r="Z207" s="24">
        <v>1000</v>
      </c>
      <c r="AB207" s="24">
        <v>10007</v>
      </c>
      <c r="AC207" s="24">
        <v>-1</v>
      </c>
      <c r="AD207" s="24">
        <v>-1</v>
      </c>
      <c r="AE207" s="24">
        <v>-1</v>
      </c>
      <c r="AG207" s="24">
        <v>1</v>
      </c>
      <c r="AH207" s="24">
        <v>0</v>
      </c>
      <c r="AI207" s="24">
        <v>0</v>
      </c>
      <c r="AJ207" s="24">
        <v>0</v>
      </c>
      <c r="AK207" s="24">
        <v>0</v>
      </c>
      <c r="AL207" s="24">
        <v>0</v>
      </c>
      <c r="AM207" s="24">
        <v>0</v>
      </c>
      <c r="AN207" s="24">
        <v>0</v>
      </c>
      <c r="AO207" s="24">
        <v>0</v>
      </c>
      <c r="AP207" s="24">
        <v>0</v>
      </c>
      <c r="AQ207" s="24">
        <v>0</v>
      </c>
      <c r="AR207" s="24">
        <v>0</v>
      </c>
      <c r="AS207" s="24">
        <v>0</v>
      </c>
      <c r="AT207" s="24">
        <v>0</v>
      </c>
      <c r="AU207" s="24">
        <v>0</v>
      </c>
      <c r="AV207" s="24">
        <v>0</v>
      </c>
      <c r="AW207" s="24">
        <v>0</v>
      </c>
      <c r="AX207" s="24">
        <v>0</v>
      </c>
      <c r="AY207" s="24">
        <v>0</v>
      </c>
      <c r="BA207" s="24">
        <v>0</v>
      </c>
      <c r="BB207" s="24">
        <v>400</v>
      </c>
      <c r="BC207" s="24">
        <v>700</v>
      </c>
      <c r="BD207" s="24">
        <v>0</v>
      </c>
      <c r="BE207" s="24">
        <v>100</v>
      </c>
      <c r="BF207" s="24">
        <v>1</v>
      </c>
      <c r="BG207" s="25">
        <v>1</v>
      </c>
      <c r="BH207" s="24">
        <v>1</v>
      </c>
      <c r="BI207" s="24">
        <v>0</v>
      </c>
      <c r="BJ207" s="24">
        <v>0</v>
      </c>
      <c r="BK207" s="24">
        <v>0</v>
      </c>
      <c r="BL207" s="25">
        <v>126</v>
      </c>
      <c r="BM207" s="24">
        <v>0</v>
      </c>
      <c r="BO207" s="25">
        <v>4</v>
      </c>
      <c r="BP207" s="24">
        <v>15</v>
      </c>
      <c r="BQ207" s="24">
        <v>0</v>
      </c>
      <c r="BR207" s="24">
        <v>1</v>
      </c>
      <c r="BS207" s="24">
        <v>0</v>
      </c>
      <c r="BT207" s="24">
        <v>0</v>
      </c>
      <c r="BU207" s="24">
        <v>0</v>
      </c>
      <c r="BV207" s="24">
        <v>6</v>
      </c>
      <c r="BW207" s="24">
        <v>0</v>
      </c>
      <c r="BX207" s="24">
        <v>1</v>
      </c>
      <c r="BZ207" s="24">
        <v>-1</v>
      </c>
      <c r="CA207" s="24">
        <v>0</v>
      </c>
      <c r="CB207" s="24">
        <v>0</v>
      </c>
      <c r="CC207" s="24">
        <v>0</v>
      </c>
      <c r="CD207" s="24">
        <v>0</v>
      </c>
      <c r="CE207" s="24">
        <v>0</v>
      </c>
      <c r="CG207" s="24">
        <v>1</v>
      </c>
      <c r="CH207" s="24">
        <v>0</v>
      </c>
      <c r="CI207" s="24">
        <v>0</v>
      </c>
      <c r="CJ207" s="24">
        <v>0</v>
      </c>
      <c r="CK207" s="24">
        <v>0</v>
      </c>
      <c r="CL207" s="24">
        <v>0</v>
      </c>
      <c r="CM207" s="24">
        <v>0</v>
      </c>
      <c r="CN207" s="24">
        <v>0</v>
      </c>
      <c r="CO207" s="24">
        <v>0</v>
      </c>
      <c r="CQ207" s="24">
        <v>10</v>
      </c>
      <c r="CR207" s="24">
        <v>0</v>
      </c>
      <c r="CS207" s="24">
        <v>0</v>
      </c>
      <c r="CT207" s="24">
        <v>0</v>
      </c>
      <c r="CV207" s="24">
        <v>110409</v>
      </c>
      <c r="CW207" s="24">
        <v>0</v>
      </c>
      <c r="CX207" s="24">
        <v>101</v>
      </c>
      <c r="CY207" s="26">
        <v>1</v>
      </c>
      <c r="CZ207" s="24">
        <v>2</v>
      </c>
      <c r="DA207" s="24">
        <v>0</v>
      </c>
      <c r="DC207" s="24">
        <v>1</v>
      </c>
      <c r="DD207" s="24">
        <v>1</v>
      </c>
      <c r="DE207" s="24">
        <v>0</v>
      </c>
      <c r="DF207" s="24">
        <v>0</v>
      </c>
      <c r="DG207" s="24">
        <v>-1</v>
      </c>
      <c r="DI207" s="24">
        <v>0</v>
      </c>
      <c r="DJ207" s="24">
        <v>0</v>
      </c>
      <c r="DL207" s="24">
        <v>15309</v>
      </c>
      <c r="DM207" s="24">
        <v>4</v>
      </c>
      <c r="DO207" s="24">
        <v>1</v>
      </c>
      <c r="DP207" s="24">
        <v>0</v>
      </c>
      <c r="DQ207" s="24">
        <v>0</v>
      </c>
      <c r="DR207" s="24">
        <v>0</v>
      </c>
      <c r="DS207" s="24">
        <v>0</v>
      </c>
      <c r="DT207" s="24">
        <v>0</v>
      </c>
      <c r="DV207" s="24">
        <v>7002</v>
      </c>
      <c r="DW207" s="24">
        <v>0</v>
      </c>
      <c r="DX207" s="24">
        <v>0</v>
      </c>
      <c r="DY207" s="24">
        <v>0</v>
      </c>
      <c r="DZ207" s="24">
        <v>0</v>
      </c>
    </row>
    <row r="208" spans="1:130">
      <c r="A208" s="24" t="s">
        <v>143</v>
      </c>
      <c r="B208" s="24" t="s">
        <v>143</v>
      </c>
      <c r="C208" s="24" t="s">
        <v>143</v>
      </c>
      <c r="D208" s="24" t="s">
        <v>143</v>
      </c>
      <c r="E208" s="24">
        <v>15313</v>
      </c>
      <c r="F208" s="24" t="s">
        <v>421</v>
      </c>
      <c r="G208" s="24">
        <v>0</v>
      </c>
      <c r="H208" s="24">
        <f t="shared" si="1"/>
        <v>515313</v>
      </c>
      <c r="I208" s="24" t="s">
        <v>421</v>
      </c>
      <c r="J208" s="24" t="s">
        <v>421</v>
      </c>
      <c r="K208" s="24" t="s">
        <v>473</v>
      </c>
      <c r="M208" s="24">
        <v>102</v>
      </c>
      <c r="N208" s="24">
        <v>0</v>
      </c>
      <c r="P208" s="25">
        <v>34</v>
      </c>
      <c r="Q208" s="25">
        <v>671744</v>
      </c>
      <c r="R208" s="24">
        <v>15309</v>
      </c>
      <c r="S208" s="25">
        <v>8192</v>
      </c>
      <c r="T208" s="24"/>
      <c r="U208" s="24">
        <v>0</v>
      </c>
      <c r="V208" s="25">
        <v>0</v>
      </c>
      <c r="W208" s="24">
        <v>0</v>
      </c>
      <c r="X208" s="24">
        <v>0</v>
      </c>
      <c r="Y208" s="24">
        <v>0</v>
      </c>
      <c r="Z208" s="24">
        <v>1000</v>
      </c>
      <c r="AB208" s="24">
        <v>10007</v>
      </c>
      <c r="AC208" s="24">
        <v>-1</v>
      </c>
      <c r="AD208" s="24">
        <v>-1</v>
      </c>
      <c r="AE208" s="24">
        <v>-1</v>
      </c>
      <c r="AG208" s="24">
        <v>1</v>
      </c>
      <c r="AH208" s="24">
        <v>0</v>
      </c>
      <c r="AI208" s="24">
        <v>0</v>
      </c>
      <c r="AJ208" s="24">
        <v>0</v>
      </c>
      <c r="AK208" s="24">
        <v>0</v>
      </c>
      <c r="AL208" s="24">
        <v>0</v>
      </c>
      <c r="AM208" s="24">
        <v>0</v>
      </c>
      <c r="AN208" s="24">
        <v>0</v>
      </c>
      <c r="AO208" s="24">
        <v>0</v>
      </c>
      <c r="AP208" s="24">
        <v>0</v>
      </c>
      <c r="AQ208" s="24">
        <v>0</v>
      </c>
      <c r="AR208" s="24">
        <v>0</v>
      </c>
      <c r="AS208" s="24">
        <v>0</v>
      </c>
      <c r="AT208" s="24">
        <v>0</v>
      </c>
      <c r="AU208" s="24">
        <v>0</v>
      </c>
      <c r="AV208" s="24">
        <v>0</v>
      </c>
      <c r="AW208" s="24">
        <v>0</v>
      </c>
      <c r="AX208" s="24">
        <v>0</v>
      </c>
      <c r="AY208" s="24">
        <v>0</v>
      </c>
      <c r="BA208" s="24">
        <v>0</v>
      </c>
      <c r="BB208" s="24">
        <v>500</v>
      </c>
      <c r="BC208" s="24">
        <v>1000</v>
      </c>
      <c r="BD208" s="24">
        <v>0</v>
      </c>
      <c r="BE208" s="24">
        <v>100</v>
      </c>
      <c r="BF208" s="24">
        <v>1</v>
      </c>
      <c r="BG208" s="25">
        <v>1</v>
      </c>
      <c r="BH208" s="24">
        <v>1</v>
      </c>
      <c r="BI208" s="24">
        <v>0</v>
      </c>
      <c r="BJ208" s="24">
        <v>0</v>
      </c>
      <c r="BK208" s="24">
        <v>0</v>
      </c>
      <c r="BL208" s="25">
        <v>126</v>
      </c>
      <c r="BM208" s="24">
        <v>0</v>
      </c>
      <c r="BO208" s="25">
        <v>4</v>
      </c>
      <c r="BP208" s="24">
        <v>15</v>
      </c>
      <c r="BQ208" s="24">
        <v>0</v>
      </c>
      <c r="BR208" s="24">
        <v>1</v>
      </c>
      <c r="BS208" s="24">
        <v>0</v>
      </c>
      <c r="BT208" s="24">
        <v>0</v>
      </c>
      <c r="BU208" s="24">
        <v>0</v>
      </c>
      <c r="BV208" s="24">
        <v>6</v>
      </c>
      <c r="BW208" s="24">
        <v>0</v>
      </c>
      <c r="BX208" s="24">
        <v>1</v>
      </c>
      <c r="BZ208" s="24">
        <v>-1</v>
      </c>
      <c r="CA208" s="24">
        <v>0</v>
      </c>
      <c r="CB208" s="24">
        <v>0</v>
      </c>
      <c r="CC208" s="24">
        <v>0</v>
      </c>
      <c r="CD208" s="24">
        <v>0</v>
      </c>
      <c r="CE208" s="24">
        <v>0</v>
      </c>
      <c r="CG208" s="24">
        <v>1</v>
      </c>
      <c r="CH208" s="24">
        <v>0</v>
      </c>
      <c r="CI208" s="24">
        <v>0</v>
      </c>
      <c r="CJ208" s="24">
        <v>0</v>
      </c>
      <c r="CK208" s="24">
        <v>0</v>
      </c>
      <c r="CL208" s="24">
        <v>0</v>
      </c>
      <c r="CM208" s="24">
        <v>0</v>
      </c>
      <c r="CN208" s="24">
        <v>0</v>
      </c>
      <c r="CO208" s="24">
        <v>0</v>
      </c>
      <c r="CQ208" s="24">
        <v>10</v>
      </c>
      <c r="CR208" s="24">
        <v>0</v>
      </c>
      <c r="CS208" s="24">
        <v>0</v>
      </c>
      <c r="CT208" s="24">
        <v>0</v>
      </c>
      <c r="CV208" s="24">
        <v>110410</v>
      </c>
      <c r="CW208" s="24">
        <v>0</v>
      </c>
      <c r="CX208" s="24">
        <v>101</v>
      </c>
      <c r="CY208" s="26">
        <v>1</v>
      </c>
      <c r="CZ208" s="24">
        <v>2</v>
      </c>
      <c r="DA208" s="24">
        <v>0</v>
      </c>
      <c r="DC208" s="24">
        <v>1</v>
      </c>
      <c r="DD208" s="24">
        <v>1</v>
      </c>
      <c r="DE208" s="24">
        <v>0</v>
      </c>
      <c r="DF208" s="24">
        <v>0</v>
      </c>
      <c r="DG208" s="24">
        <v>-1</v>
      </c>
      <c r="DI208" s="24">
        <v>0</v>
      </c>
      <c r="DJ208" s="24">
        <v>0</v>
      </c>
      <c r="DL208" s="24">
        <v>15309</v>
      </c>
      <c r="DM208" s="24">
        <v>5</v>
      </c>
      <c r="DO208" s="24">
        <v>1</v>
      </c>
      <c r="DP208" s="24">
        <v>0</v>
      </c>
      <c r="DQ208" s="24">
        <v>0</v>
      </c>
      <c r="DR208" s="24">
        <v>0</v>
      </c>
      <c r="DS208" s="24">
        <v>0</v>
      </c>
      <c r="DT208" s="24">
        <v>0</v>
      </c>
      <c r="DV208" s="24">
        <v>7002</v>
      </c>
      <c r="DW208" s="24">
        <v>0</v>
      </c>
      <c r="DX208" s="24">
        <v>0</v>
      </c>
      <c r="DY208" s="24">
        <v>0</v>
      </c>
      <c r="DZ208" s="24">
        <v>0</v>
      </c>
    </row>
    <row r="209" spans="1:130">
      <c r="A209" s="24" t="s">
        <v>143</v>
      </c>
      <c r="B209" s="24" t="s">
        <v>143</v>
      </c>
      <c r="C209" s="24" t="s">
        <v>143</v>
      </c>
      <c r="D209" s="24" t="s">
        <v>143</v>
      </c>
      <c r="E209" s="24">
        <v>15314</v>
      </c>
      <c r="F209" s="24" t="s">
        <v>422</v>
      </c>
      <c r="G209" s="24">
        <v>0</v>
      </c>
      <c r="H209" s="24">
        <f t="shared" ref="H209" si="2">500000+E209</f>
        <v>515314</v>
      </c>
      <c r="I209" s="24" t="s">
        <v>422</v>
      </c>
      <c r="J209" s="24" t="s">
        <v>422</v>
      </c>
      <c r="K209" s="24" t="s">
        <v>654</v>
      </c>
      <c r="M209" s="24">
        <v>102</v>
      </c>
      <c r="N209" s="24">
        <v>0</v>
      </c>
      <c r="P209" s="25">
        <v>2</v>
      </c>
      <c r="Q209" s="25">
        <v>2097408</v>
      </c>
      <c r="R209" s="24">
        <v>0</v>
      </c>
      <c r="S209" s="25">
        <v>0</v>
      </c>
      <c r="T209" s="24"/>
      <c r="U209" s="24">
        <v>0</v>
      </c>
      <c r="V209" s="25">
        <v>0</v>
      </c>
      <c r="W209" s="24">
        <v>0</v>
      </c>
      <c r="X209" s="24">
        <v>0</v>
      </c>
      <c r="Y209" s="24">
        <v>0</v>
      </c>
      <c r="Z209" s="24">
        <v>0</v>
      </c>
      <c r="AB209" s="24">
        <v>10001</v>
      </c>
      <c r="AC209" s="24">
        <v>-1</v>
      </c>
      <c r="AD209" s="24">
        <v>-1</v>
      </c>
      <c r="AE209" s="24">
        <v>-1</v>
      </c>
      <c r="AG209" s="24">
        <v>1</v>
      </c>
      <c r="AH209" s="24">
        <v>0</v>
      </c>
      <c r="AI209" s="24">
        <v>0</v>
      </c>
      <c r="AJ209" s="24">
        <v>0</v>
      </c>
      <c r="AK209" s="24">
        <v>0</v>
      </c>
      <c r="AL209" s="24">
        <v>0</v>
      </c>
      <c r="AM209" s="24">
        <v>0</v>
      </c>
      <c r="AN209" s="24">
        <v>0</v>
      </c>
      <c r="AO209" s="24">
        <v>0</v>
      </c>
      <c r="AP209" s="24">
        <v>0</v>
      </c>
      <c r="AQ209" s="24">
        <v>0</v>
      </c>
      <c r="AR209" s="24">
        <v>0</v>
      </c>
      <c r="AS209" s="24">
        <v>0</v>
      </c>
      <c r="AT209" s="24">
        <v>0</v>
      </c>
      <c r="AU209" s="24">
        <v>0</v>
      </c>
      <c r="AV209" s="24">
        <v>0</v>
      </c>
      <c r="AW209" s="24">
        <v>0</v>
      </c>
      <c r="AX209" s="24">
        <v>0</v>
      </c>
      <c r="AY209" s="24">
        <v>0</v>
      </c>
      <c r="BA209" s="24">
        <v>0</v>
      </c>
      <c r="BB209" s="24">
        <v>1800</v>
      </c>
      <c r="BC209" s="24">
        <v>1900</v>
      </c>
      <c r="BD209" s="24">
        <v>0</v>
      </c>
      <c r="BE209" s="24">
        <v>100</v>
      </c>
      <c r="BF209" s="24">
        <v>1</v>
      </c>
      <c r="BG209" s="25">
        <v>512</v>
      </c>
      <c r="BH209" s="24">
        <v>13</v>
      </c>
      <c r="BI209" s="24">
        <v>104</v>
      </c>
      <c r="BJ209" s="24">
        <v>3</v>
      </c>
      <c r="BK209" s="24">
        <v>-1</v>
      </c>
      <c r="BL209" s="25">
        <v>126</v>
      </c>
      <c r="BM209" s="24">
        <v>0</v>
      </c>
      <c r="BO209" s="25">
        <v>1</v>
      </c>
      <c r="BP209" s="24">
        <v>10</v>
      </c>
      <c r="BQ209" s="24">
        <v>0</v>
      </c>
      <c r="BR209" s="24">
        <v>1</v>
      </c>
      <c r="BS209" s="24">
        <v>0</v>
      </c>
      <c r="BT209" s="24">
        <v>0</v>
      </c>
      <c r="BU209" s="24">
        <v>0</v>
      </c>
      <c r="BV209" s="24">
        <v>0</v>
      </c>
      <c r="BW209" s="24">
        <v>0</v>
      </c>
      <c r="BX209" s="24">
        <v>1</v>
      </c>
      <c r="BZ209" s="24">
        <v>15314</v>
      </c>
      <c r="CA209" s="24">
        <v>0</v>
      </c>
      <c r="CB209" s="24">
        <v>0</v>
      </c>
      <c r="CC209" s="24">
        <v>0</v>
      </c>
      <c r="CD209" s="24">
        <v>0</v>
      </c>
      <c r="CE209" s="24">
        <v>0</v>
      </c>
      <c r="CG209" s="24">
        <v>1</v>
      </c>
      <c r="CH209" s="24">
        <v>0</v>
      </c>
      <c r="CI209" s="24">
        <v>0</v>
      </c>
      <c r="CJ209" s="24">
        <v>0</v>
      </c>
      <c r="CK209" s="24">
        <v>0</v>
      </c>
      <c r="CL209" s="24">
        <v>0</v>
      </c>
      <c r="CM209" s="24">
        <v>0</v>
      </c>
      <c r="CN209" s="24">
        <v>0</v>
      </c>
      <c r="CO209" s="24">
        <v>0</v>
      </c>
      <c r="CQ209" s="24">
        <v>10</v>
      </c>
      <c r="CR209" s="24">
        <v>0</v>
      </c>
      <c r="CS209" s="24">
        <v>0</v>
      </c>
      <c r="CT209" s="24">
        <v>0</v>
      </c>
      <c r="CV209" s="24">
        <v>110412</v>
      </c>
      <c r="CW209" s="24">
        <v>5</v>
      </c>
      <c r="CX209" s="24">
        <v>-1</v>
      </c>
      <c r="CY209" s="26">
        <v>0</v>
      </c>
      <c r="CZ209" s="24">
        <v>10</v>
      </c>
      <c r="DA209" s="24">
        <v>0</v>
      </c>
      <c r="DC209" s="24">
        <v>1</v>
      </c>
      <c r="DD209" s="24">
        <v>1</v>
      </c>
      <c r="DE209" s="24">
        <v>0</v>
      </c>
      <c r="DF209" s="24">
        <v>0</v>
      </c>
      <c r="DG209" s="24">
        <v>-1</v>
      </c>
      <c r="DI209" s="24">
        <v>0</v>
      </c>
      <c r="DJ209" s="24">
        <v>0</v>
      </c>
      <c r="DL209" s="24">
        <v>0</v>
      </c>
      <c r="DM209" s="24">
        <v>0</v>
      </c>
      <c r="DO209" s="24">
        <v>0</v>
      </c>
      <c r="DP209" s="24">
        <v>0</v>
      </c>
      <c r="DQ209" s="24">
        <v>0</v>
      </c>
      <c r="DR209" s="24">
        <v>0</v>
      </c>
      <c r="DS209" s="24">
        <v>0</v>
      </c>
      <c r="DT209" s="24">
        <v>0</v>
      </c>
      <c r="DV209" s="24">
        <v>0</v>
      </c>
      <c r="DW209" s="24">
        <v>0</v>
      </c>
      <c r="DX209" s="24">
        <v>0</v>
      </c>
      <c r="DY209" s="24">
        <v>0</v>
      </c>
      <c r="DZ209" s="24">
        <v>0</v>
      </c>
    </row>
    <row r="210" spans="1:130">
      <c r="A210" s="24" t="s">
        <v>143</v>
      </c>
      <c r="B210" s="24" t="s">
        <v>143</v>
      </c>
      <c r="C210" s="24" t="s">
        <v>143</v>
      </c>
      <c r="D210" s="24" t="s">
        <v>143</v>
      </c>
      <c r="E210" s="24">
        <v>15315</v>
      </c>
      <c r="F210" s="24" t="s">
        <v>459</v>
      </c>
      <c r="G210" s="24">
        <v>0</v>
      </c>
      <c r="H210" s="24">
        <f t="shared" ref="H210:H213" si="3">500000+E210</f>
        <v>515315</v>
      </c>
      <c r="I210" s="24" t="s">
        <v>459</v>
      </c>
      <c r="J210" s="24" t="s">
        <v>459</v>
      </c>
      <c r="K210" s="24" t="s">
        <v>473</v>
      </c>
      <c r="M210" s="24">
        <v>0</v>
      </c>
      <c r="N210" s="24">
        <v>0</v>
      </c>
      <c r="P210" s="25">
        <v>12</v>
      </c>
      <c r="Q210" s="25">
        <v>0</v>
      </c>
      <c r="R210" s="24">
        <v>0</v>
      </c>
      <c r="S210" s="25">
        <v>0</v>
      </c>
      <c r="T210" s="24"/>
      <c r="U210" s="24">
        <v>1</v>
      </c>
      <c r="V210" s="25">
        <v>2050</v>
      </c>
      <c r="W210" s="24">
        <v>1</v>
      </c>
      <c r="X210" s="24">
        <v>15314</v>
      </c>
      <c r="Y210" s="24">
        <v>0</v>
      </c>
      <c r="Z210" s="24">
        <v>1000</v>
      </c>
      <c r="AB210" s="24">
        <v>30001</v>
      </c>
      <c r="AC210" s="24">
        <v>-1</v>
      </c>
      <c r="AD210" s="24">
        <v>-1</v>
      </c>
      <c r="AE210" s="24">
        <v>-1</v>
      </c>
      <c r="AG210" s="24">
        <v>1</v>
      </c>
      <c r="AH210" s="24">
        <v>0</v>
      </c>
      <c r="AI210" s="24">
        <v>0</v>
      </c>
      <c r="AJ210" s="24">
        <v>0</v>
      </c>
      <c r="AK210" s="24">
        <v>0</v>
      </c>
      <c r="AL210" s="24">
        <v>0</v>
      </c>
      <c r="AM210" s="24">
        <v>0</v>
      </c>
      <c r="AN210" s="24">
        <v>0</v>
      </c>
      <c r="AO210" s="24">
        <v>0</v>
      </c>
      <c r="AP210" s="24">
        <v>0</v>
      </c>
      <c r="AQ210" s="24">
        <v>0</v>
      </c>
      <c r="AR210" s="24">
        <v>0</v>
      </c>
      <c r="AS210" s="24">
        <v>0</v>
      </c>
      <c r="AT210" s="24">
        <v>0</v>
      </c>
      <c r="AU210" s="24">
        <v>0</v>
      </c>
      <c r="AV210" s="24">
        <v>0</v>
      </c>
      <c r="AW210" s="24">
        <v>0</v>
      </c>
      <c r="AX210" s="24">
        <v>0</v>
      </c>
      <c r="AY210" s="24">
        <v>0</v>
      </c>
      <c r="BA210" s="24">
        <v>0</v>
      </c>
      <c r="BB210" s="24">
        <v>100</v>
      </c>
      <c r="BC210" s="24">
        <v>300</v>
      </c>
      <c r="BD210" s="24">
        <v>0</v>
      </c>
      <c r="BE210" s="24">
        <v>100</v>
      </c>
      <c r="BF210" s="24">
        <v>1</v>
      </c>
      <c r="BG210" s="25">
        <v>512</v>
      </c>
      <c r="BH210" s="24">
        <v>4</v>
      </c>
      <c r="BI210" s="24">
        <v>15315</v>
      </c>
      <c r="BJ210" s="24">
        <v>1</v>
      </c>
      <c r="BK210" s="24">
        <v>3</v>
      </c>
      <c r="BL210" s="25">
        <v>126</v>
      </c>
      <c r="BM210" s="24">
        <v>0</v>
      </c>
      <c r="BO210" s="25">
        <v>1</v>
      </c>
      <c r="BP210" s="24">
        <v>10</v>
      </c>
      <c r="BQ210" s="24">
        <v>0</v>
      </c>
      <c r="BR210" s="24">
        <v>1</v>
      </c>
      <c r="BS210" s="24">
        <v>0</v>
      </c>
      <c r="BT210" s="24">
        <v>0</v>
      </c>
      <c r="BU210" s="24">
        <v>0</v>
      </c>
      <c r="BV210" s="24">
        <v>0</v>
      </c>
      <c r="BW210" s="24">
        <v>0</v>
      </c>
      <c r="BX210" s="24">
        <v>1</v>
      </c>
      <c r="BZ210" s="24">
        <v>-1</v>
      </c>
      <c r="CA210" s="24">
        <v>0</v>
      </c>
      <c r="CB210" s="24">
        <v>0</v>
      </c>
      <c r="CC210" s="24">
        <v>0</v>
      </c>
      <c r="CD210" s="24">
        <v>0</v>
      </c>
      <c r="CE210" s="24">
        <v>0</v>
      </c>
      <c r="CG210" s="24">
        <v>1</v>
      </c>
      <c r="CH210" s="24">
        <v>0</v>
      </c>
      <c r="CI210" s="24">
        <v>0</v>
      </c>
      <c r="CJ210" s="24">
        <v>0</v>
      </c>
      <c r="CK210" s="24">
        <v>0</v>
      </c>
      <c r="CL210" s="24">
        <v>0</v>
      </c>
      <c r="CM210" s="24">
        <v>0</v>
      </c>
      <c r="CN210" s="24">
        <v>0</v>
      </c>
      <c r="CO210" s="24">
        <v>0</v>
      </c>
      <c r="CQ210" s="24">
        <v>10</v>
      </c>
      <c r="CR210" s="24">
        <v>0</v>
      </c>
      <c r="CS210" s="24">
        <v>0</v>
      </c>
      <c r="CT210" s="24">
        <v>0</v>
      </c>
      <c r="CV210" s="24">
        <v>0</v>
      </c>
      <c r="CW210" s="24">
        <v>0</v>
      </c>
      <c r="CX210" s="24">
        <v>-1</v>
      </c>
      <c r="CY210" s="26">
        <v>0</v>
      </c>
      <c r="CZ210" s="24">
        <v>0</v>
      </c>
      <c r="DA210" s="24">
        <v>0</v>
      </c>
      <c r="DC210" s="24">
        <v>1</v>
      </c>
      <c r="DD210" s="24">
        <v>1</v>
      </c>
      <c r="DE210" s="24">
        <v>0</v>
      </c>
      <c r="DF210" s="24">
        <v>0</v>
      </c>
      <c r="DG210" s="24">
        <v>-1</v>
      </c>
      <c r="DI210" s="24">
        <v>0</v>
      </c>
      <c r="DJ210" s="24">
        <v>0</v>
      </c>
      <c r="DL210" s="24">
        <v>0</v>
      </c>
      <c r="DM210" s="24">
        <v>0</v>
      </c>
      <c r="DO210" s="24">
        <v>0</v>
      </c>
      <c r="DP210" s="24">
        <v>0</v>
      </c>
      <c r="DQ210" s="24">
        <v>0</v>
      </c>
      <c r="DR210" s="24">
        <v>0</v>
      </c>
      <c r="DS210" s="24">
        <v>0</v>
      </c>
      <c r="DT210" s="24">
        <v>0</v>
      </c>
      <c r="DV210" s="24">
        <v>0</v>
      </c>
      <c r="DW210" s="24">
        <v>0</v>
      </c>
      <c r="DX210" s="24">
        <v>0</v>
      </c>
      <c r="DY210" s="24">
        <v>0</v>
      </c>
      <c r="DZ210" s="24">
        <v>0</v>
      </c>
    </row>
    <row r="211" spans="1:130">
      <c r="A211" s="24" t="s">
        <v>143</v>
      </c>
      <c r="B211" s="24" t="s">
        <v>143</v>
      </c>
      <c r="C211" s="24" t="s">
        <v>143</v>
      </c>
      <c r="D211" s="24" t="s">
        <v>143</v>
      </c>
      <c r="E211" s="24">
        <v>15316</v>
      </c>
      <c r="F211" s="24" t="s">
        <v>461</v>
      </c>
      <c r="G211" s="24">
        <v>0</v>
      </c>
      <c r="H211" s="24">
        <f t="shared" si="3"/>
        <v>515316</v>
      </c>
      <c r="I211" s="24" t="s">
        <v>461</v>
      </c>
      <c r="J211" s="24" t="s">
        <v>461</v>
      </c>
      <c r="K211" s="24" t="s">
        <v>473</v>
      </c>
      <c r="M211" s="24">
        <v>0</v>
      </c>
      <c r="N211" s="24">
        <v>0</v>
      </c>
      <c r="P211" s="25">
        <v>28</v>
      </c>
      <c r="Q211" s="25">
        <v>64</v>
      </c>
      <c r="R211" s="24">
        <v>0</v>
      </c>
      <c r="S211" s="25">
        <v>0</v>
      </c>
      <c r="T211" s="24"/>
      <c r="U211" s="24">
        <v>1</v>
      </c>
      <c r="V211" s="25">
        <v>2068</v>
      </c>
      <c r="W211" s="24">
        <v>1</v>
      </c>
      <c r="X211" s="24">
        <v>8192</v>
      </c>
      <c r="Y211" s="24">
        <v>0</v>
      </c>
      <c r="Z211" s="24">
        <v>1000</v>
      </c>
      <c r="AB211" s="24">
        <v>30001</v>
      </c>
      <c r="AC211" s="24">
        <v>-1</v>
      </c>
      <c r="AD211" s="24">
        <v>-1</v>
      </c>
      <c r="AE211" s="24">
        <v>-1</v>
      </c>
      <c r="AG211" s="24">
        <v>1</v>
      </c>
      <c r="AH211" s="24">
        <v>0</v>
      </c>
      <c r="AI211" s="24">
        <v>0</v>
      </c>
      <c r="AJ211" s="24">
        <v>0</v>
      </c>
      <c r="AK211" s="24">
        <v>0</v>
      </c>
      <c r="AL211" s="24">
        <v>0</v>
      </c>
      <c r="AM211" s="24">
        <v>0</v>
      </c>
      <c r="AN211" s="24">
        <v>0</v>
      </c>
      <c r="AO211" s="24">
        <v>0</v>
      </c>
      <c r="AP211" s="24">
        <v>0</v>
      </c>
      <c r="AQ211" s="24">
        <v>0</v>
      </c>
      <c r="AR211" s="24">
        <v>0</v>
      </c>
      <c r="AS211" s="24">
        <v>0</v>
      </c>
      <c r="AT211" s="24">
        <v>0</v>
      </c>
      <c r="AU211" s="24">
        <v>0</v>
      </c>
      <c r="AV211" s="24">
        <v>0</v>
      </c>
      <c r="AW211" s="24">
        <v>0</v>
      </c>
      <c r="AX211" s="24">
        <v>0</v>
      </c>
      <c r="AY211" s="24">
        <v>0</v>
      </c>
      <c r="BA211" s="24">
        <v>0</v>
      </c>
      <c r="BB211" s="24">
        <v>0</v>
      </c>
      <c r="BC211" s="24">
        <v>0</v>
      </c>
      <c r="BD211" s="24">
        <v>0</v>
      </c>
      <c r="BE211" s="24">
        <v>0</v>
      </c>
      <c r="BF211" s="24">
        <v>1</v>
      </c>
      <c r="BG211" s="25">
        <v>2048</v>
      </c>
      <c r="BH211" s="24">
        <v>4</v>
      </c>
      <c r="BI211" s="24">
        <v>15316</v>
      </c>
      <c r="BJ211" s="24">
        <v>1</v>
      </c>
      <c r="BK211" s="24">
        <v>0</v>
      </c>
      <c r="BL211" s="25">
        <v>126</v>
      </c>
      <c r="BM211" s="24">
        <v>0</v>
      </c>
      <c r="BO211" s="25">
        <v>1</v>
      </c>
      <c r="BP211" s="24">
        <v>10</v>
      </c>
      <c r="BQ211" s="24">
        <v>0</v>
      </c>
      <c r="BR211" s="24">
        <v>1</v>
      </c>
      <c r="BS211" s="24">
        <v>0</v>
      </c>
      <c r="BT211" s="24">
        <v>0</v>
      </c>
      <c r="BU211" s="24">
        <v>0</v>
      </c>
      <c r="BV211" s="24">
        <v>0</v>
      </c>
      <c r="BW211" s="24">
        <v>0</v>
      </c>
      <c r="BX211" s="24">
        <v>1</v>
      </c>
      <c r="BZ211" s="24">
        <v>-1</v>
      </c>
      <c r="CA211" s="24">
        <v>0</v>
      </c>
      <c r="CB211" s="24">
        <v>0</v>
      </c>
      <c r="CC211" s="24">
        <v>0</v>
      </c>
      <c r="CD211" s="24">
        <v>0</v>
      </c>
      <c r="CE211" s="24">
        <v>0</v>
      </c>
      <c r="CG211" s="24">
        <v>-1</v>
      </c>
      <c r="CH211" s="24">
        <v>0</v>
      </c>
      <c r="CI211" s="24">
        <v>0</v>
      </c>
      <c r="CJ211" s="24">
        <v>0</v>
      </c>
      <c r="CK211" s="24">
        <v>0</v>
      </c>
      <c r="CL211" s="24">
        <v>0</v>
      </c>
      <c r="CM211" s="24">
        <v>0</v>
      </c>
      <c r="CN211" s="24">
        <v>0</v>
      </c>
      <c r="CO211" s="24">
        <v>0</v>
      </c>
      <c r="CQ211" s="24">
        <v>0</v>
      </c>
      <c r="CR211" s="24">
        <v>0</v>
      </c>
      <c r="CS211" s="24">
        <v>0</v>
      </c>
      <c r="CT211" s="24">
        <v>0</v>
      </c>
      <c r="CV211" s="24">
        <v>0</v>
      </c>
      <c r="CW211" s="24">
        <v>0</v>
      </c>
      <c r="CX211" s="24">
        <v>-1</v>
      </c>
      <c r="CY211" s="26">
        <v>0</v>
      </c>
      <c r="CZ211" s="24">
        <v>0</v>
      </c>
      <c r="DA211" s="24">
        <v>0</v>
      </c>
      <c r="DC211" s="24">
        <v>1</v>
      </c>
      <c r="DD211" s="24">
        <v>1</v>
      </c>
      <c r="DE211" s="24">
        <v>0</v>
      </c>
      <c r="DF211" s="24">
        <v>0</v>
      </c>
      <c r="DG211" s="24">
        <v>-1</v>
      </c>
      <c r="DI211" s="24">
        <v>0</v>
      </c>
      <c r="DJ211" s="24">
        <v>0</v>
      </c>
      <c r="DL211" s="24">
        <v>0</v>
      </c>
      <c r="DM211" s="24">
        <v>0</v>
      </c>
      <c r="DO211" s="24">
        <v>0</v>
      </c>
      <c r="DP211" s="24">
        <v>0</v>
      </c>
      <c r="DQ211" s="24">
        <v>0</v>
      </c>
      <c r="DR211" s="24">
        <v>0</v>
      </c>
      <c r="DS211" s="24">
        <v>0</v>
      </c>
      <c r="DT211" s="24">
        <v>0</v>
      </c>
      <c r="DV211" s="24">
        <v>0</v>
      </c>
      <c r="DW211" s="24">
        <v>0</v>
      </c>
      <c r="DX211" s="24">
        <v>0</v>
      </c>
      <c r="DY211" s="24">
        <v>0</v>
      </c>
      <c r="DZ211" s="24">
        <v>0</v>
      </c>
    </row>
    <row r="212" spans="1:130">
      <c r="A212" s="24" t="s">
        <v>143</v>
      </c>
      <c r="B212" s="24" t="s">
        <v>143</v>
      </c>
      <c r="C212" s="24" t="s">
        <v>143</v>
      </c>
      <c r="D212" s="24" t="s">
        <v>143</v>
      </c>
      <c r="E212" s="24">
        <v>15317</v>
      </c>
      <c r="F212" s="24" t="s">
        <v>460</v>
      </c>
      <c r="G212" s="24">
        <v>0</v>
      </c>
      <c r="H212" s="24">
        <f t="shared" si="3"/>
        <v>515317</v>
      </c>
      <c r="I212" s="24" t="s">
        <v>460</v>
      </c>
      <c r="J212" s="24" t="s">
        <v>460</v>
      </c>
      <c r="K212" s="24" t="s">
        <v>473</v>
      </c>
      <c r="M212" s="24">
        <v>8</v>
      </c>
      <c r="N212" s="24">
        <v>0</v>
      </c>
      <c r="P212" s="25">
        <v>12</v>
      </c>
      <c r="Q212" s="25">
        <v>0</v>
      </c>
      <c r="R212" s="24">
        <v>0</v>
      </c>
      <c r="S212" s="25">
        <v>0</v>
      </c>
      <c r="T212" s="24"/>
      <c r="U212" s="24">
        <v>8</v>
      </c>
      <c r="V212" s="25">
        <v>4116</v>
      </c>
      <c r="W212" s="24">
        <v>1</v>
      </c>
      <c r="X212" s="24">
        <v>8192</v>
      </c>
      <c r="Y212" s="24">
        <v>0</v>
      </c>
      <c r="Z212" s="24">
        <v>1000</v>
      </c>
      <c r="AB212" s="24">
        <v>30003</v>
      </c>
      <c r="AC212" s="24">
        <v>-1</v>
      </c>
      <c r="AD212" s="24">
        <v>-1</v>
      </c>
      <c r="AE212" s="24">
        <v>-1</v>
      </c>
      <c r="AG212" s="24">
        <v>1</v>
      </c>
      <c r="AH212" s="24">
        <v>0</v>
      </c>
      <c r="AI212" s="24">
        <v>0</v>
      </c>
      <c r="AJ212" s="24">
        <v>0</v>
      </c>
      <c r="AK212" s="24">
        <v>0</v>
      </c>
      <c r="AL212" s="24">
        <v>0</v>
      </c>
      <c r="AM212" s="24">
        <v>0</v>
      </c>
      <c r="AN212" s="24">
        <v>0</v>
      </c>
      <c r="AO212" s="24">
        <v>0</v>
      </c>
      <c r="AP212" s="24">
        <v>0</v>
      </c>
      <c r="AQ212" s="24">
        <v>0</v>
      </c>
      <c r="AR212" s="24">
        <v>0</v>
      </c>
      <c r="AS212" s="24">
        <v>0</v>
      </c>
      <c r="AT212" s="24">
        <v>0</v>
      </c>
      <c r="AU212" s="24">
        <v>0</v>
      </c>
      <c r="AV212" s="24">
        <v>0</v>
      </c>
      <c r="AW212" s="24">
        <v>0</v>
      </c>
      <c r="AX212" s="24">
        <v>0</v>
      </c>
      <c r="AY212" s="24">
        <v>0</v>
      </c>
      <c r="BA212" s="24">
        <v>0</v>
      </c>
      <c r="BB212" s="24">
        <v>0</v>
      </c>
      <c r="BC212" s="24">
        <v>0</v>
      </c>
      <c r="BD212" s="24">
        <v>0</v>
      </c>
      <c r="BE212" s="24">
        <v>0</v>
      </c>
      <c r="BF212" s="24">
        <v>1</v>
      </c>
      <c r="BG212" s="25">
        <v>512</v>
      </c>
      <c r="BH212" s="24">
        <v>0</v>
      </c>
      <c r="BI212" s="24">
        <v>1</v>
      </c>
      <c r="BJ212" s="24">
        <v>0</v>
      </c>
      <c r="BK212" s="24">
        <v>20</v>
      </c>
      <c r="BL212" s="25">
        <v>126</v>
      </c>
      <c r="BM212" s="24">
        <v>0</v>
      </c>
      <c r="BO212" s="25">
        <v>1</v>
      </c>
      <c r="BP212" s="24">
        <v>10</v>
      </c>
      <c r="BQ212" s="24">
        <v>0</v>
      </c>
      <c r="BR212" s="24">
        <v>1</v>
      </c>
      <c r="BS212" s="24">
        <v>0</v>
      </c>
      <c r="BT212" s="24">
        <v>0</v>
      </c>
      <c r="BU212" s="24">
        <v>0</v>
      </c>
      <c r="BV212" s="24">
        <v>0</v>
      </c>
      <c r="BW212" s="24">
        <v>0</v>
      </c>
      <c r="BX212" s="24">
        <v>1</v>
      </c>
      <c r="BZ212" s="24">
        <v>-1</v>
      </c>
      <c r="CA212" s="24">
        <v>0</v>
      </c>
      <c r="CB212" s="24">
        <v>0</v>
      </c>
      <c r="CC212" s="24">
        <v>0</v>
      </c>
      <c r="CD212" s="24">
        <v>0</v>
      </c>
      <c r="CE212" s="24">
        <v>0</v>
      </c>
      <c r="CG212" s="24">
        <v>-1</v>
      </c>
      <c r="CH212" s="24">
        <v>0</v>
      </c>
      <c r="CI212" s="24">
        <v>0</v>
      </c>
      <c r="CJ212" s="24">
        <v>0</v>
      </c>
      <c r="CK212" s="24">
        <v>0</v>
      </c>
      <c r="CL212" s="24">
        <v>0</v>
      </c>
      <c r="CM212" s="24">
        <v>0</v>
      </c>
      <c r="CN212" s="24">
        <v>0</v>
      </c>
      <c r="CO212" s="24">
        <v>0</v>
      </c>
      <c r="CQ212" s="24">
        <v>0</v>
      </c>
      <c r="CR212" s="24">
        <v>0</v>
      </c>
      <c r="CS212" s="24">
        <v>0</v>
      </c>
      <c r="CT212" s="24">
        <v>0</v>
      </c>
      <c r="CV212" s="24">
        <v>0</v>
      </c>
      <c r="CW212" s="24">
        <v>0</v>
      </c>
      <c r="CX212" s="24">
        <v>-1</v>
      </c>
      <c r="CY212" s="26">
        <v>0</v>
      </c>
      <c r="CZ212" s="24">
        <v>0</v>
      </c>
      <c r="DA212" s="24">
        <v>0</v>
      </c>
      <c r="DC212" s="24">
        <v>1</v>
      </c>
      <c r="DD212" s="24">
        <v>1</v>
      </c>
      <c r="DE212" s="24">
        <v>0</v>
      </c>
      <c r="DF212" s="24">
        <v>0</v>
      </c>
      <c r="DG212" s="24">
        <v>-1</v>
      </c>
      <c r="DI212" s="24">
        <v>0</v>
      </c>
      <c r="DJ212" s="24">
        <v>0</v>
      </c>
      <c r="DL212" s="24">
        <v>0</v>
      </c>
      <c r="DM212" s="24">
        <v>0</v>
      </c>
      <c r="DO212" s="24">
        <v>0</v>
      </c>
      <c r="DP212" s="24">
        <v>0</v>
      </c>
      <c r="DQ212" s="24">
        <v>0</v>
      </c>
      <c r="DR212" s="24">
        <v>0</v>
      </c>
      <c r="DS212" s="24">
        <v>0</v>
      </c>
      <c r="DT212" s="24">
        <v>0</v>
      </c>
      <c r="DV212" s="24">
        <v>0</v>
      </c>
      <c r="DW212" s="24">
        <v>0</v>
      </c>
      <c r="DX212" s="24">
        <v>0</v>
      </c>
      <c r="DY212" s="24">
        <v>0</v>
      </c>
      <c r="DZ212" s="24">
        <v>0</v>
      </c>
    </row>
    <row r="213" spans="1:130">
      <c r="A213" s="24" t="s">
        <v>142</v>
      </c>
      <c r="B213" s="24" t="s">
        <v>142</v>
      </c>
      <c r="C213" s="24" t="s">
        <v>142</v>
      </c>
      <c r="D213" s="24" t="s">
        <v>142</v>
      </c>
      <c r="E213" s="24">
        <v>15318</v>
      </c>
      <c r="F213" s="24" t="s">
        <v>507</v>
      </c>
      <c r="G213" s="24">
        <v>0</v>
      </c>
      <c r="H213" s="24">
        <f t="shared" si="3"/>
        <v>515318</v>
      </c>
      <c r="I213" s="24" t="s">
        <v>507</v>
      </c>
      <c r="J213" s="24" t="s">
        <v>507</v>
      </c>
      <c r="K213" s="24" t="s">
        <v>473</v>
      </c>
      <c r="M213" s="24">
        <v>102</v>
      </c>
      <c r="N213" s="24">
        <v>0</v>
      </c>
      <c r="P213" s="25">
        <v>2</v>
      </c>
      <c r="Q213" s="25">
        <v>524288</v>
      </c>
      <c r="R213" s="24">
        <v>0</v>
      </c>
      <c r="S213" s="25">
        <v>0</v>
      </c>
      <c r="T213" s="24"/>
      <c r="U213" s="24">
        <v>0</v>
      </c>
      <c r="V213" s="25">
        <v>0</v>
      </c>
      <c r="W213" s="24">
        <v>0</v>
      </c>
      <c r="X213" s="24">
        <v>0</v>
      </c>
      <c r="Y213" s="24">
        <v>0</v>
      </c>
      <c r="Z213" s="24">
        <v>0</v>
      </c>
      <c r="AB213" s="24">
        <v>10001</v>
      </c>
      <c r="AC213" s="24">
        <v>-1</v>
      </c>
      <c r="AD213" s="24">
        <v>-1</v>
      </c>
      <c r="AE213" s="24">
        <v>-1</v>
      </c>
      <c r="AG213" s="24">
        <v>1</v>
      </c>
      <c r="AH213" s="24">
        <v>0</v>
      </c>
      <c r="AI213" s="24">
        <v>0</v>
      </c>
      <c r="AJ213" s="24">
        <v>0</v>
      </c>
      <c r="AK213" s="24">
        <v>0</v>
      </c>
      <c r="AL213" s="24">
        <v>0</v>
      </c>
      <c r="AM213" s="24">
        <v>0</v>
      </c>
      <c r="AN213" s="24">
        <v>0</v>
      </c>
      <c r="AO213" s="24">
        <v>0</v>
      </c>
      <c r="AP213" s="24">
        <v>0</v>
      </c>
      <c r="AQ213" s="24">
        <v>0</v>
      </c>
      <c r="AR213" s="24">
        <v>0</v>
      </c>
      <c r="AS213" s="24">
        <v>0</v>
      </c>
      <c r="AT213" s="24">
        <v>0</v>
      </c>
      <c r="AU213" s="24">
        <v>0</v>
      </c>
      <c r="AV213" s="24">
        <v>0</v>
      </c>
      <c r="AW213" s="24">
        <v>0</v>
      </c>
      <c r="AX213" s="24">
        <v>0</v>
      </c>
      <c r="AY213" s="24">
        <v>0</v>
      </c>
      <c r="BA213" s="24">
        <v>0</v>
      </c>
      <c r="BB213" s="24">
        <v>1267</v>
      </c>
      <c r="BC213" s="24">
        <v>1567</v>
      </c>
      <c r="BD213" s="24">
        <v>0</v>
      </c>
      <c r="BE213" s="24">
        <v>300</v>
      </c>
      <c r="BF213" s="24">
        <v>1</v>
      </c>
      <c r="BG213" s="25">
        <v>512</v>
      </c>
      <c r="BH213" s="24">
        <v>4</v>
      </c>
      <c r="BI213" s="24">
        <v>15317</v>
      </c>
      <c r="BJ213" s="24">
        <v>1</v>
      </c>
      <c r="BK213" s="24">
        <v>1</v>
      </c>
      <c r="BL213" s="25">
        <v>126</v>
      </c>
      <c r="BM213" s="24">
        <v>0</v>
      </c>
      <c r="BO213" s="25">
        <v>1</v>
      </c>
      <c r="BP213" s="24">
        <v>10</v>
      </c>
      <c r="BQ213" s="24">
        <v>0</v>
      </c>
      <c r="BR213" s="24">
        <v>2</v>
      </c>
      <c r="BS213" s="24">
        <v>100</v>
      </c>
      <c r="BT213" s="24">
        <v>0</v>
      </c>
      <c r="BU213" s="24">
        <v>0</v>
      </c>
      <c r="BV213" s="24">
        <v>5</v>
      </c>
      <c r="BW213" s="24">
        <v>0</v>
      </c>
      <c r="BX213" s="24">
        <v>4</v>
      </c>
      <c r="BZ213" s="24">
        <v>-1</v>
      </c>
      <c r="CA213" s="24">
        <v>0</v>
      </c>
      <c r="CB213" s="24">
        <v>0</v>
      </c>
      <c r="CC213" s="24">
        <v>0</v>
      </c>
      <c r="CD213" s="24">
        <v>0</v>
      </c>
      <c r="CE213" s="24">
        <v>0</v>
      </c>
      <c r="CG213" s="24">
        <v>-1</v>
      </c>
      <c r="CH213" s="24">
        <v>0</v>
      </c>
      <c r="CI213" s="24">
        <v>0</v>
      </c>
      <c r="CJ213" s="24">
        <v>0</v>
      </c>
      <c r="CK213" s="24">
        <v>0</v>
      </c>
      <c r="CL213" s="24">
        <v>0</v>
      </c>
      <c r="CM213" s="24">
        <v>0</v>
      </c>
      <c r="CN213" s="24">
        <v>0</v>
      </c>
      <c r="CO213" s="24">
        <v>0</v>
      </c>
      <c r="CQ213" s="24">
        <v>0</v>
      </c>
      <c r="CR213" s="24">
        <v>0</v>
      </c>
      <c r="CS213" s="24">
        <v>0</v>
      </c>
      <c r="CT213" s="24">
        <v>0</v>
      </c>
      <c r="CV213" s="24">
        <v>110413</v>
      </c>
      <c r="CW213" s="24">
        <v>5</v>
      </c>
      <c r="CX213" s="24">
        <v>104001</v>
      </c>
      <c r="CY213" s="26">
        <v>1</v>
      </c>
      <c r="CZ213" s="24">
        <v>3</v>
      </c>
      <c r="DA213" s="24">
        <v>0</v>
      </c>
      <c r="DC213" s="24">
        <v>1</v>
      </c>
      <c r="DD213" s="24">
        <v>1</v>
      </c>
      <c r="DE213" s="24">
        <v>0</v>
      </c>
      <c r="DF213" s="24">
        <v>0</v>
      </c>
      <c r="DG213" s="24">
        <v>-1</v>
      </c>
      <c r="DI213" s="24">
        <v>0</v>
      </c>
      <c r="DJ213" s="24">
        <v>0</v>
      </c>
      <c r="DL213" s="24">
        <v>0</v>
      </c>
      <c r="DM213" s="24">
        <v>0</v>
      </c>
      <c r="DO213" s="24">
        <v>0</v>
      </c>
      <c r="DP213" s="24">
        <v>0</v>
      </c>
      <c r="DQ213" s="24">
        <v>0</v>
      </c>
      <c r="DR213" s="24">
        <v>0</v>
      </c>
      <c r="DS213" s="24">
        <v>0</v>
      </c>
      <c r="DT213" s="24">
        <v>0</v>
      </c>
      <c r="DV213" s="24">
        <v>0</v>
      </c>
      <c r="DW213" s="24">
        <v>0</v>
      </c>
      <c r="DX213" s="24">
        <v>0</v>
      </c>
      <c r="DY213" s="24">
        <v>0</v>
      </c>
      <c r="DZ213" s="24">
        <v>0</v>
      </c>
    </row>
    <row r="214" spans="1:130">
      <c r="G214" s="24" t="s">
        <v>639</v>
      </c>
      <c r="K214" s="24" t="s">
        <v>639</v>
      </c>
      <c r="S214" s="25"/>
      <c r="T214" s="24"/>
      <c r="BO214" s="25" t="s">
        <v>639</v>
      </c>
      <c r="CV214" s="24" t="s">
        <v>639</v>
      </c>
      <c r="DC214" s="24" t="s">
        <v>639</v>
      </c>
      <c r="DD214" s="24" t="s">
        <v>639</v>
      </c>
      <c r="DE214" s="24" t="s">
        <v>639</v>
      </c>
      <c r="DF214" s="24" t="s">
        <v>639</v>
      </c>
      <c r="DG214" s="24" t="s">
        <v>639</v>
      </c>
      <c r="DI214" s="24" t="s">
        <v>639</v>
      </c>
      <c r="DJ214" s="24" t="s">
        <v>639</v>
      </c>
      <c r="DL214" s="24" t="s">
        <v>639</v>
      </c>
      <c r="DM214" s="24" t="s">
        <v>639</v>
      </c>
      <c r="DO214" s="24" t="s">
        <v>639</v>
      </c>
      <c r="DP214" s="24" t="s">
        <v>639</v>
      </c>
      <c r="DQ214" s="24" t="s">
        <v>639</v>
      </c>
      <c r="DR214" s="24" t="s">
        <v>639</v>
      </c>
      <c r="DS214" s="24" t="s">
        <v>639</v>
      </c>
      <c r="DT214" s="24" t="s">
        <v>639</v>
      </c>
      <c r="DV214" s="24" t="s">
        <v>639</v>
      </c>
      <c r="DW214" s="24" t="s">
        <v>639</v>
      </c>
      <c r="DX214" s="24" t="s">
        <v>639</v>
      </c>
      <c r="DY214" s="24" t="s">
        <v>639</v>
      </c>
      <c r="DZ214" s="24" t="s">
        <v>639</v>
      </c>
    </row>
    <row r="215" spans="1:130">
      <c r="E215" s="24">
        <v>15500</v>
      </c>
      <c r="F215" s="24" t="s">
        <v>884</v>
      </c>
      <c r="G215" s="24">
        <v>0</v>
      </c>
      <c r="H215" s="24">
        <v>515500</v>
      </c>
      <c r="I215" s="24" t="s">
        <v>884</v>
      </c>
      <c r="J215" s="24" t="s">
        <v>884</v>
      </c>
      <c r="K215" s="24" t="s">
        <v>473</v>
      </c>
      <c r="M215" s="24">
        <v>0</v>
      </c>
      <c r="N215" s="24">
        <v>0</v>
      </c>
      <c r="P215" s="25">
        <v>12</v>
      </c>
      <c r="Q215" s="25">
        <v>0</v>
      </c>
      <c r="R215" s="24">
        <v>0</v>
      </c>
      <c r="S215" s="25">
        <v>16</v>
      </c>
      <c r="T215" s="24"/>
      <c r="U215" s="24">
        <v>1</v>
      </c>
      <c r="V215" s="25">
        <v>2050</v>
      </c>
      <c r="W215" s="24">
        <v>0</v>
      </c>
      <c r="X215" s="24">
        <v>0</v>
      </c>
      <c r="Y215" s="24">
        <v>0</v>
      </c>
      <c r="Z215" s="24">
        <v>1000</v>
      </c>
      <c r="AB215" s="24">
        <v>30001</v>
      </c>
      <c r="AC215" s="24">
        <v>-1</v>
      </c>
      <c r="AD215" s="24">
        <v>-1</v>
      </c>
      <c r="AE215" s="24">
        <v>-1</v>
      </c>
      <c r="BA215" s="24">
        <v>0</v>
      </c>
      <c r="BB215" s="24">
        <v>0</v>
      </c>
      <c r="BC215" s="24">
        <v>0</v>
      </c>
      <c r="BD215" s="24">
        <v>0</v>
      </c>
      <c r="BE215" s="24">
        <v>0</v>
      </c>
      <c r="BF215" s="24">
        <v>1</v>
      </c>
      <c r="BG215" s="25">
        <v>1</v>
      </c>
      <c r="BH215" s="24">
        <v>4</v>
      </c>
      <c r="BI215" s="24">
        <v>15500</v>
      </c>
      <c r="BJ215" s="24">
        <v>0</v>
      </c>
      <c r="BK215" s="24">
        <v>0</v>
      </c>
      <c r="BL215" s="25">
        <v>126</v>
      </c>
      <c r="BM215" s="24">
        <v>0</v>
      </c>
      <c r="BO215" s="25">
        <v>1</v>
      </c>
      <c r="BP215" s="24">
        <v>0</v>
      </c>
      <c r="BQ215" s="24">
        <v>0</v>
      </c>
      <c r="BZ215" s="24">
        <v>-1</v>
      </c>
      <c r="CA215" s="24">
        <v>0</v>
      </c>
      <c r="CB215" s="24">
        <v>0</v>
      </c>
      <c r="CC215" s="24">
        <v>0</v>
      </c>
      <c r="CD215" s="24">
        <v>0</v>
      </c>
      <c r="CE215" s="24">
        <v>0</v>
      </c>
      <c r="CG215" s="24">
        <v>-1</v>
      </c>
      <c r="CH215" s="24">
        <v>0</v>
      </c>
      <c r="CI215" s="24">
        <v>0</v>
      </c>
      <c r="CJ215" s="24">
        <v>0</v>
      </c>
      <c r="CK215" s="24">
        <v>0</v>
      </c>
      <c r="CL215" s="24">
        <v>0</v>
      </c>
      <c r="CM215" s="24">
        <v>0</v>
      </c>
      <c r="CN215" s="24">
        <v>0</v>
      </c>
      <c r="CO215" s="24">
        <v>0</v>
      </c>
      <c r="CQ215" s="24">
        <v>0</v>
      </c>
      <c r="CR215" s="24">
        <v>0</v>
      </c>
      <c r="CS215" s="24">
        <v>0</v>
      </c>
      <c r="CT215" s="24">
        <v>0</v>
      </c>
      <c r="CV215" s="24">
        <v>0</v>
      </c>
      <c r="CW215" s="24">
        <v>0</v>
      </c>
      <c r="CX215" s="24">
        <v>-1</v>
      </c>
      <c r="CY215" s="26">
        <v>0</v>
      </c>
      <c r="CZ215" s="24">
        <v>0</v>
      </c>
      <c r="DA215" s="24">
        <v>0</v>
      </c>
      <c r="DC215" s="24">
        <v>1</v>
      </c>
      <c r="DD215" s="24">
        <v>1</v>
      </c>
      <c r="DE215" s="24">
        <v>0</v>
      </c>
      <c r="DF215" s="24">
        <v>0</v>
      </c>
      <c r="DG215" s="24">
        <v>-1</v>
      </c>
      <c r="DI215" s="24">
        <v>0</v>
      </c>
      <c r="DJ215" s="24">
        <v>0</v>
      </c>
      <c r="DL215" s="24">
        <v>0</v>
      </c>
      <c r="DM215" s="24">
        <v>0</v>
      </c>
      <c r="DO215" s="24">
        <v>0</v>
      </c>
      <c r="DP215" s="24">
        <v>0</v>
      </c>
      <c r="DQ215" s="24">
        <v>0</v>
      </c>
      <c r="DR215" s="24">
        <v>0</v>
      </c>
      <c r="DS215" s="24">
        <v>0</v>
      </c>
      <c r="DT215" s="24">
        <v>0</v>
      </c>
      <c r="DV215" s="24">
        <v>0</v>
      </c>
      <c r="DW215" s="24">
        <v>0</v>
      </c>
      <c r="DX215" s="24">
        <v>0</v>
      </c>
      <c r="DY215" s="24">
        <v>0</v>
      </c>
      <c r="DZ215" s="24">
        <v>0</v>
      </c>
    </row>
    <row r="216" spans="1:130">
      <c r="A216" s="24" t="s">
        <v>142</v>
      </c>
      <c r="B216" s="24" t="s">
        <v>142</v>
      </c>
      <c r="C216" s="24" t="s">
        <v>142</v>
      </c>
      <c r="D216" s="24" t="s">
        <v>142</v>
      </c>
      <c r="E216" s="24">
        <v>15501</v>
      </c>
      <c r="F216" s="24" t="s">
        <v>885</v>
      </c>
      <c r="G216" s="24">
        <v>0</v>
      </c>
      <c r="H216" s="24">
        <v>515501</v>
      </c>
      <c r="I216" s="24" t="s">
        <v>885</v>
      </c>
      <c r="J216" s="24" t="s">
        <v>885</v>
      </c>
      <c r="K216" s="24" t="s">
        <v>813</v>
      </c>
      <c r="M216" s="24">
        <v>0</v>
      </c>
      <c r="N216" s="24">
        <v>0</v>
      </c>
      <c r="P216" s="25">
        <v>2</v>
      </c>
      <c r="Q216" s="25">
        <v>655360</v>
      </c>
      <c r="R216" s="24">
        <v>0</v>
      </c>
      <c r="S216" s="25">
        <v>3</v>
      </c>
      <c r="T216" s="24"/>
      <c r="U216" s="24">
        <v>0</v>
      </c>
      <c r="V216" s="25">
        <v>0</v>
      </c>
      <c r="W216" s="24">
        <v>0</v>
      </c>
      <c r="X216" s="24">
        <v>0</v>
      </c>
      <c r="Y216" s="24">
        <v>0</v>
      </c>
      <c r="Z216" s="24">
        <v>0</v>
      </c>
      <c r="AB216" s="24">
        <v>10001</v>
      </c>
      <c r="AC216" s="24">
        <v>-1</v>
      </c>
      <c r="AD216" s="24">
        <v>-1</v>
      </c>
      <c r="AE216" s="24">
        <v>-1</v>
      </c>
      <c r="AG216" s="24">
        <v>1</v>
      </c>
      <c r="AH216" s="24">
        <v>0</v>
      </c>
      <c r="AI216" s="24">
        <v>0</v>
      </c>
      <c r="AJ216" s="24">
        <v>0</v>
      </c>
      <c r="AK216" s="24">
        <v>0</v>
      </c>
      <c r="AL216" s="24">
        <v>0</v>
      </c>
      <c r="AM216" s="24">
        <v>0</v>
      </c>
      <c r="AN216" s="24">
        <v>0</v>
      </c>
      <c r="AO216" s="24">
        <v>0</v>
      </c>
      <c r="AP216" s="24">
        <v>0</v>
      </c>
      <c r="AQ216" s="24">
        <v>0</v>
      </c>
      <c r="AR216" s="24">
        <v>0</v>
      </c>
      <c r="AS216" s="24">
        <v>0</v>
      </c>
      <c r="AT216" s="24">
        <v>0</v>
      </c>
      <c r="AU216" s="24">
        <v>0</v>
      </c>
      <c r="AV216" s="24">
        <v>0</v>
      </c>
      <c r="AW216" s="24">
        <v>0</v>
      </c>
      <c r="AX216" s="24">
        <v>0</v>
      </c>
      <c r="AY216" s="24">
        <v>0</v>
      </c>
      <c r="BA216" s="24">
        <v>0</v>
      </c>
      <c r="BB216" s="24">
        <v>100</v>
      </c>
      <c r="BC216" s="24">
        <v>400</v>
      </c>
      <c r="BD216" s="24">
        <v>0</v>
      </c>
      <c r="BE216" s="24">
        <v>260</v>
      </c>
      <c r="BF216" s="24">
        <v>1</v>
      </c>
      <c r="BG216" s="25">
        <v>17</v>
      </c>
      <c r="BH216" s="24">
        <v>1</v>
      </c>
      <c r="BI216" s="24">
        <v>0</v>
      </c>
      <c r="BJ216" s="24">
        <v>0</v>
      </c>
      <c r="BK216" s="24">
        <v>0</v>
      </c>
      <c r="BL216" s="25">
        <v>126</v>
      </c>
      <c r="BM216" s="24">
        <v>0</v>
      </c>
      <c r="BO216" s="25">
        <v>16</v>
      </c>
      <c r="BP216" s="24">
        <v>4</v>
      </c>
      <c r="BQ216" s="24">
        <v>2</v>
      </c>
      <c r="BR216" s="24">
        <v>5</v>
      </c>
      <c r="BS216" s="24">
        <v>1</v>
      </c>
      <c r="BT216" s="24">
        <v>40</v>
      </c>
      <c r="BU216" s="24">
        <v>10</v>
      </c>
      <c r="BV216" s="24">
        <v>6</v>
      </c>
      <c r="BW216" s="24">
        <v>0</v>
      </c>
      <c r="BX216" s="24">
        <v>4</v>
      </c>
      <c r="BZ216" s="24">
        <v>-1</v>
      </c>
      <c r="CA216" s="24">
        <v>0</v>
      </c>
      <c r="CB216" s="24">
        <v>0</v>
      </c>
      <c r="CC216" s="24">
        <v>0</v>
      </c>
      <c r="CD216" s="24">
        <v>0</v>
      </c>
      <c r="CE216" s="24">
        <v>0</v>
      </c>
      <c r="CG216" s="24">
        <v>0</v>
      </c>
      <c r="CH216" s="24">
        <v>0</v>
      </c>
      <c r="CI216" s="24">
        <v>0</v>
      </c>
      <c r="CJ216" s="24">
        <v>0</v>
      </c>
      <c r="CK216" s="24">
        <v>1</v>
      </c>
      <c r="CL216" s="24">
        <v>0.5</v>
      </c>
      <c r="CM216" s="24">
        <v>0</v>
      </c>
      <c r="CN216" s="24">
        <v>500</v>
      </c>
      <c r="CO216" s="24">
        <v>500</v>
      </c>
      <c r="CQ216" s="24">
        <v>1</v>
      </c>
      <c r="CR216" s="24">
        <v>0</v>
      </c>
      <c r="CS216" s="24">
        <v>0</v>
      </c>
      <c r="CT216" s="24">
        <v>0</v>
      </c>
      <c r="CV216" s="24">
        <v>110601</v>
      </c>
      <c r="CW216" s="24">
        <v>19</v>
      </c>
      <c r="CX216" s="24">
        <v>-1</v>
      </c>
      <c r="CY216" s="26">
        <v>0</v>
      </c>
      <c r="CZ216" s="24">
        <v>1</v>
      </c>
      <c r="DA216" s="24">
        <v>0</v>
      </c>
      <c r="DC216" s="24">
        <v>1</v>
      </c>
      <c r="DD216" s="24">
        <v>1</v>
      </c>
      <c r="DE216" s="24">
        <v>0</v>
      </c>
      <c r="DF216" s="24">
        <v>0</v>
      </c>
      <c r="DG216" s="24">
        <v>-1</v>
      </c>
      <c r="DI216" s="24">
        <v>0</v>
      </c>
      <c r="DJ216" s="24">
        <v>0</v>
      </c>
      <c r="DL216" s="24">
        <v>15501</v>
      </c>
      <c r="DM216" s="24">
        <v>1</v>
      </c>
      <c r="DO216" s="24">
        <v>0</v>
      </c>
      <c r="DP216" s="24">
        <v>0</v>
      </c>
      <c r="DQ216" s="24">
        <v>0</v>
      </c>
      <c r="DR216" s="24">
        <v>0</v>
      </c>
      <c r="DS216" s="24">
        <v>0</v>
      </c>
      <c r="DT216" s="24">
        <v>0</v>
      </c>
      <c r="DV216" s="24">
        <v>0</v>
      </c>
      <c r="DW216" s="24">
        <v>0</v>
      </c>
      <c r="DX216" s="24">
        <v>0</v>
      </c>
      <c r="DY216" s="24">
        <v>0</v>
      </c>
      <c r="DZ216" s="24">
        <v>0</v>
      </c>
    </row>
    <row r="217" spans="1:130">
      <c r="A217" s="24" t="s">
        <v>142</v>
      </c>
      <c r="B217" s="24" t="s">
        <v>142</v>
      </c>
      <c r="C217" s="24" t="s">
        <v>142</v>
      </c>
      <c r="D217" s="24" t="s">
        <v>142</v>
      </c>
      <c r="E217" s="24">
        <v>15502</v>
      </c>
      <c r="F217" s="24" t="s">
        <v>886</v>
      </c>
      <c r="G217" s="24">
        <v>0</v>
      </c>
      <c r="H217" s="24">
        <v>515502</v>
      </c>
      <c r="I217" s="24" t="s">
        <v>886</v>
      </c>
      <c r="J217" s="24" t="s">
        <v>886</v>
      </c>
      <c r="K217" s="24" t="s">
        <v>473</v>
      </c>
      <c r="M217" s="24">
        <v>0</v>
      </c>
      <c r="N217" s="24">
        <v>0</v>
      </c>
      <c r="P217" s="25">
        <v>2</v>
      </c>
      <c r="Q217" s="25">
        <v>655360</v>
      </c>
      <c r="R217" s="24">
        <v>15501</v>
      </c>
      <c r="S217" s="25">
        <v>3</v>
      </c>
      <c r="T217" s="24"/>
      <c r="U217" s="24">
        <v>0</v>
      </c>
      <c r="V217" s="25">
        <v>0</v>
      </c>
      <c r="W217" s="24">
        <v>0</v>
      </c>
      <c r="X217" s="24">
        <v>0</v>
      </c>
      <c r="Y217" s="24">
        <v>0</v>
      </c>
      <c r="Z217" s="24">
        <v>0</v>
      </c>
      <c r="AB217" s="24">
        <v>10001</v>
      </c>
      <c r="AC217" s="24">
        <v>-1</v>
      </c>
      <c r="AD217" s="24">
        <v>-1</v>
      </c>
      <c r="AE217" s="24">
        <v>-1</v>
      </c>
      <c r="AG217" s="24">
        <v>1</v>
      </c>
      <c r="AH217" s="24">
        <v>0</v>
      </c>
      <c r="AI217" s="24">
        <v>0</v>
      </c>
      <c r="AJ217" s="24">
        <v>0</v>
      </c>
      <c r="AK217" s="24">
        <v>0</v>
      </c>
      <c r="AL217" s="24">
        <v>0</v>
      </c>
      <c r="AM217" s="24">
        <v>0</v>
      </c>
      <c r="AN217" s="24">
        <v>0</v>
      </c>
      <c r="AO217" s="24">
        <v>0</v>
      </c>
      <c r="AP217" s="24">
        <v>0</v>
      </c>
      <c r="AQ217" s="24">
        <v>0</v>
      </c>
      <c r="AR217" s="24">
        <v>0</v>
      </c>
      <c r="AS217" s="24">
        <v>0</v>
      </c>
      <c r="AT217" s="24">
        <v>0</v>
      </c>
      <c r="AU217" s="24">
        <v>0</v>
      </c>
      <c r="AV217" s="24">
        <v>0</v>
      </c>
      <c r="AW217" s="24">
        <v>0</v>
      </c>
      <c r="AX217" s="24">
        <v>0</v>
      </c>
      <c r="AY217" s="24">
        <v>0</v>
      </c>
      <c r="BA217" s="24">
        <v>0</v>
      </c>
      <c r="BB217" s="24">
        <v>300</v>
      </c>
      <c r="BC217" s="24">
        <v>667</v>
      </c>
      <c r="BD217" s="24">
        <v>0</v>
      </c>
      <c r="BE217" s="24">
        <v>413</v>
      </c>
      <c r="BF217" s="24">
        <v>1</v>
      </c>
      <c r="BG217" s="25">
        <v>17</v>
      </c>
      <c r="BH217" s="24">
        <v>1</v>
      </c>
      <c r="BI217" s="24">
        <v>0</v>
      </c>
      <c r="BJ217" s="24">
        <v>0</v>
      </c>
      <c r="BK217" s="24">
        <v>0</v>
      </c>
      <c r="BL217" s="25">
        <v>126</v>
      </c>
      <c r="BM217" s="24">
        <v>0</v>
      </c>
      <c r="BO217" s="25">
        <v>16</v>
      </c>
      <c r="BP217" s="24">
        <v>4</v>
      </c>
      <c r="BQ217" s="24">
        <v>2</v>
      </c>
      <c r="BR217" s="24">
        <v>5</v>
      </c>
      <c r="BS217" s="24">
        <v>1</v>
      </c>
      <c r="BT217" s="24">
        <v>40</v>
      </c>
      <c r="BU217" s="24">
        <v>10</v>
      </c>
      <c r="BV217" s="24">
        <v>6</v>
      </c>
      <c r="BW217" s="24">
        <v>0</v>
      </c>
      <c r="BX217" s="24">
        <v>4</v>
      </c>
      <c r="BZ217" s="24">
        <v>-1</v>
      </c>
      <c r="CA217" s="24">
        <v>0</v>
      </c>
      <c r="CB217" s="24">
        <v>0</v>
      </c>
      <c r="CC217" s="24">
        <v>0</v>
      </c>
      <c r="CD217" s="24">
        <v>0</v>
      </c>
      <c r="CE217" s="24">
        <v>0</v>
      </c>
      <c r="CG217" s="24">
        <v>0</v>
      </c>
      <c r="CH217" s="24">
        <v>0</v>
      </c>
      <c r="CI217" s="24">
        <v>0</v>
      </c>
      <c r="CJ217" s="24">
        <v>0</v>
      </c>
      <c r="CK217" s="24">
        <v>1</v>
      </c>
      <c r="CL217" s="24">
        <v>0.5</v>
      </c>
      <c r="CM217" s="24">
        <v>0</v>
      </c>
      <c r="CN217" s="24">
        <v>500</v>
      </c>
      <c r="CO217" s="24">
        <v>500</v>
      </c>
      <c r="CQ217" s="24">
        <v>1</v>
      </c>
      <c r="CR217" s="24">
        <v>0</v>
      </c>
      <c r="CS217" s="24">
        <v>0</v>
      </c>
      <c r="CT217" s="24">
        <v>0</v>
      </c>
      <c r="CV217" s="24">
        <v>110602</v>
      </c>
      <c r="CW217" s="24">
        <v>19</v>
      </c>
      <c r="CX217" s="24">
        <v>-1</v>
      </c>
      <c r="CY217" s="26">
        <v>0</v>
      </c>
      <c r="CZ217" s="24">
        <v>1</v>
      </c>
      <c r="DA217" s="24">
        <v>0</v>
      </c>
      <c r="DC217" s="24">
        <v>1</v>
      </c>
      <c r="DD217" s="24">
        <v>1</v>
      </c>
      <c r="DE217" s="24">
        <v>0</v>
      </c>
      <c r="DF217" s="24">
        <v>0</v>
      </c>
      <c r="DG217" s="24">
        <v>-1</v>
      </c>
      <c r="DI217" s="24">
        <v>0</v>
      </c>
      <c r="DJ217" s="24">
        <v>0</v>
      </c>
      <c r="DL217" s="24">
        <v>15502</v>
      </c>
      <c r="DM217" s="24">
        <v>1</v>
      </c>
      <c r="DO217" s="24">
        <v>0</v>
      </c>
      <c r="DP217" s="24">
        <v>0</v>
      </c>
      <c r="DQ217" s="24">
        <v>0</v>
      </c>
      <c r="DR217" s="24">
        <v>0</v>
      </c>
      <c r="DS217" s="24">
        <v>0</v>
      </c>
      <c r="DT217" s="24">
        <v>0</v>
      </c>
      <c r="DV217" s="24">
        <v>0</v>
      </c>
      <c r="DW217" s="24">
        <v>0</v>
      </c>
      <c r="DX217" s="24">
        <v>0</v>
      </c>
      <c r="DY217" s="24">
        <v>0</v>
      </c>
      <c r="DZ217" s="24">
        <v>0</v>
      </c>
    </row>
    <row r="218" spans="1:130">
      <c r="A218" s="24" t="s">
        <v>142</v>
      </c>
      <c r="B218" s="24" t="s">
        <v>142</v>
      </c>
      <c r="C218" s="24" t="s">
        <v>142</v>
      </c>
      <c r="D218" s="24" t="s">
        <v>142</v>
      </c>
      <c r="E218" s="24">
        <v>15503</v>
      </c>
      <c r="F218" s="24" t="s">
        <v>887</v>
      </c>
      <c r="G218" s="24">
        <v>0</v>
      </c>
      <c r="H218" s="24">
        <v>515503</v>
      </c>
      <c r="I218" s="24" t="s">
        <v>887</v>
      </c>
      <c r="J218" s="24" t="s">
        <v>887</v>
      </c>
      <c r="K218" s="24" t="s">
        <v>473</v>
      </c>
      <c r="M218" s="24">
        <v>0</v>
      </c>
      <c r="N218" s="24">
        <v>0</v>
      </c>
      <c r="P218" s="25">
        <v>2</v>
      </c>
      <c r="Q218" s="25">
        <v>655360</v>
      </c>
      <c r="R218" s="24">
        <v>15501</v>
      </c>
      <c r="S218" s="25">
        <v>3</v>
      </c>
      <c r="T218" s="24"/>
      <c r="U218" s="24">
        <v>0</v>
      </c>
      <c r="V218" s="25">
        <v>0</v>
      </c>
      <c r="W218" s="24">
        <v>0</v>
      </c>
      <c r="X218" s="24">
        <v>0</v>
      </c>
      <c r="Y218" s="24">
        <v>0</v>
      </c>
      <c r="Z218" s="24">
        <v>0</v>
      </c>
      <c r="AB218" s="24">
        <v>10001</v>
      </c>
      <c r="AC218" s="24">
        <v>-1</v>
      </c>
      <c r="AD218" s="24">
        <v>-1</v>
      </c>
      <c r="AE218" s="24">
        <v>-1</v>
      </c>
      <c r="AG218" s="24">
        <v>1</v>
      </c>
      <c r="AH218" s="24">
        <v>0</v>
      </c>
      <c r="AI218" s="24">
        <v>0</v>
      </c>
      <c r="AJ218" s="24">
        <v>0</v>
      </c>
      <c r="AK218" s="24">
        <v>0</v>
      </c>
      <c r="AL218" s="24">
        <v>0</v>
      </c>
      <c r="AM218" s="24">
        <v>0</v>
      </c>
      <c r="AN218" s="24">
        <v>0</v>
      </c>
      <c r="AO218" s="24">
        <v>0</v>
      </c>
      <c r="AP218" s="24">
        <v>0</v>
      </c>
      <c r="AQ218" s="24">
        <v>0</v>
      </c>
      <c r="AR218" s="24">
        <v>0</v>
      </c>
      <c r="AS218" s="24">
        <v>0</v>
      </c>
      <c r="AT218" s="24">
        <v>0</v>
      </c>
      <c r="AU218" s="24">
        <v>0</v>
      </c>
      <c r="AV218" s="24">
        <v>0</v>
      </c>
      <c r="AW218" s="24">
        <v>0</v>
      </c>
      <c r="AX218" s="24">
        <v>0</v>
      </c>
      <c r="AY218" s="24">
        <v>0</v>
      </c>
      <c r="BA218" s="24">
        <v>0</v>
      </c>
      <c r="BB218" s="24">
        <v>2500</v>
      </c>
      <c r="BC218" s="24">
        <v>2900</v>
      </c>
      <c r="BD218" s="24">
        <v>0</v>
      </c>
      <c r="BE218" s="24">
        <v>609</v>
      </c>
      <c r="BF218" s="24">
        <v>1</v>
      </c>
      <c r="BG218" s="25">
        <v>17</v>
      </c>
      <c r="BH218" s="24">
        <v>1</v>
      </c>
      <c r="BI218" s="24">
        <v>0</v>
      </c>
      <c r="BJ218" s="24">
        <v>0</v>
      </c>
      <c r="BK218" s="24">
        <v>0</v>
      </c>
      <c r="BL218" s="25">
        <v>126</v>
      </c>
      <c r="BM218" s="24">
        <v>0</v>
      </c>
      <c r="BO218" s="25">
        <v>16</v>
      </c>
      <c r="BP218" s="24">
        <v>4</v>
      </c>
      <c r="BQ218" s="24">
        <v>2</v>
      </c>
      <c r="BR218" s="24">
        <v>5</v>
      </c>
      <c r="BS218" s="24">
        <v>1</v>
      </c>
      <c r="BT218" s="24">
        <v>40</v>
      </c>
      <c r="BU218" s="24">
        <v>10</v>
      </c>
      <c r="BV218" s="24">
        <v>6</v>
      </c>
      <c r="BW218" s="24">
        <v>0</v>
      </c>
      <c r="BX218" s="24">
        <v>4</v>
      </c>
      <c r="BZ218" s="24">
        <v>-1</v>
      </c>
      <c r="CA218" s="24">
        <v>0</v>
      </c>
      <c r="CB218" s="24">
        <v>0</v>
      </c>
      <c r="CC218" s="24">
        <v>0</v>
      </c>
      <c r="CD218" s="24">
        <v>0</v>
      </c>
      <c r="CE218" s="24">
        <v>0</v>
      </c>
      <c r="CG218" s="24">
        <v>0</v>
      </c>
      <c r="CH218" s="24">
        <v>0</v>
      </c>
      <c r="CI218" s="24">
        <v>0</v>
      </c>
      <c r="CJ218" s="24">
        <v>0</v>
      </c>
      <c r="CK218" s="24">
        <v>1</v>
      </c>
      <c r="CL218" s="24">
        <v>0.5</v>
      </c>
      <c r="CM218" s="24">
        <v>0</v>
      </c>
      <c r="CN218" s="24">
        <v>500</v>
      </c>
      <c r="CO218" s="24">
        <v>500</v>
      </c>
      <c r="CQ218" s="24">
        <v>1</v>
      </c>
      <c r="CR218" s="24">
        <v>0</v>
      </c>
      <c r="CS218" s="24">
        <v>0</v>
      </c>
      <c r="CT218" s="24">
        <v>0</v>
      </c>
      <c r="CV218" s="24">
        <v>110603</v>
      </c>
      <c r="CW218" s="24">
        <v>19</v>
      </c>
      <c r="CX218" s="24">
        <v>-1</v>
      </c>
      <c r="CY218" s="26">
        <v>0</v>
      </c>
      <c r="CZ218" s="24">
        <v>1</v>
      </c>
      <c r="DA218" s="24">
        <v>0</v>
      </c>
      <c r="DC218" s="24">
        <v>1</v>
      </c>
      <c r="DD218" s="24">
        <v>1</v>
      </c>
      <c r="DE218" s="24">
        <v>0</v>
      </c>
      <c r="DF218" s="24">
        <v>0</v>
      </c>
      <c r="DG218" s="24">
        <v>-1</v>
      </c>
      <c r="DI218" s="24">
        <v>0</v>
      </c>
      <c r="DJ218" s="24">
        <v>0</v>
      </c>
      <c r="DL218" s="24">
        <v>15503</v>
      </c>
      <c r="DM218" s="24">
        <v>1</v>
      </c>
      <c r="DO218" s="24">
        <v>0</v>
      </c>
      <c r="DP218" s="24">
        <v>0</v>
      </c>
      <c r="DQ218" s="24">
        <v>0</v>
      </c>
      <c r="DR218" s="24">
        <v>0</v>
      </c>
      <c r="DS218" s="24">
        <v>0</v>
      </c>
      <c r="DT218" s="24">
        <v>0</v>
      </c>
      <c r="DV218" s="24">
        <v>0</v>
      </c>
      <c r="DW218" s="24">
        <v>0</v>
      </c>
      <c r="DX218" s="24">
        <v>0</v>
      </c>
      <c r="DY218" s="24">
        <v>0</v>
      </c>
      <c r="DZ218" s="24">
        <v>0</v>
      </c>
    </row>
    <row r="219" spans="1:130">
      <c r="A219" s="24" t="s">
        <v>142</v>
      </c>
      <c r="B219" s="24" t="s">
        <v>142</v>
      </c>
      <c r="C219" s="24" t="s">
        <v>142</v>
      </c>
      <c r="D219" s="24" t="s">
        <v>142</v>
      </c>
      <c r="E219" s="24">
        <v>15510</v>
      </c>
      <c r="F219" s="24" t="s">
        <v>888</v>
      </c>
      <c r="G219" s="24">
        <v>0</v>
      </c>
      <c r="H219" s="24">
        <v>515104</v>
      </c>
      <c r="I219" s="24" t="s">
        <v>888</v>
      </c>
      <c r="J219" s="24" t="s">
        <v>888</v>
      </c>
      <c r="K219" s="24" t="s">
        <v>648</v>
      </c>
      <c r="M219" s="24">
        <v>102</v>
      </c>
      <c r="N219" s="24">
        <v>0</v>
      </c>
      <c r="P219" s="25">
        <v>2</v>
      </c>
      <c r="Q219" s="25">
        <v>529408</v>
      </c>
      <c r="R219" s="24">
        <v>0</v>
      </c>
      <c r="S219" s="25">
        <v>0</v>
      </c>
      <c r="T219" s="24"/>
      <c r="U219" s="24">
        <v>0</v>
      </c>
      <c r="V219" s="25">
        <v>0</v>
      </c>
      <c r="W219" s="24">
        <v>0</v>
      </c>
      <c r="X219" s="24">
        <v>0</v>
      </c>
      <c r="Y219" s="24">
        <v>0</v>
      </c>
      <c r="Z219" s="24">
        <v>0</v>
      </c>
      <c r="AB219" s="24">
        <v>10001</v>
      </c>
      <c r="AC219" s="24">
        <v>-1</v>
      </c>
      <c r="AD219" s="24">
        <v>-1</v>
      </c>
      <c r="AE219" s="24">
        <v>-1</v>
      </c>
      <c r="AG219" s="24">
        <v>2</v>
      </c>
      <c r="AH219" s="24">
        <v>0</v>
      </c>
      <c r="AI219" s="24">
        <v>0</v>
      </c>
      <c r="AJ219" s="24">
        <v>0</v>
      </c>
      <c r="AK219" s="24">
        <v>1</v>
      </c>
      <c r="AL219" s="24">
        <v>5</v>
      </c>
      <c r="AM219" s="24">
        <v>0</v>
      </c>
      <c r="AN219" s="24">
        <v>0</v>
      </c>
      <c r="AO219" s="24">
        <v>0</v>
      </c>
      <c r="AP219" s="24">
        <v>1000</v>
      </c>
      <c r="AQ219" s="24">
        <v>10</v>
      </c>
      <c r="AR219" s="24">
        <v>0</v>
      </c>
      <c r="AS219" s="24">
        <v>0</v>
      </c>
      <c r="AT219" s="24">
        <v>1</v>
      </c>
      <c r="AU219" s="24">
        <v>0</v>
      </c>
      <c r="AV219" s="24">
        <v>0</v>
      </c>
      <c r="AW219" s="24">
        <v>0</v>
      </c>
      <c r="AX219" s="24">
        <v>0</v>
      </c>
      <c r="AY219" s="24">
        <v>0</v>
      </c>
      <c r="BA219" s="24">
        <v>0</v>
      </c>
      <c r="BB219" s="24">
        <v>1000</v>
      </c>
      <c r="BC219" s="24">
        <v>2000</v>
      </c>
      <c r="BD219" s="24">
        <v>0</v>
      </c>
      <c r="BE219" s="24">
        <v>100</v>
      </c>
      <c r="BF219" s="24">
        <v>1</v>
      </c>
      <c r="BG219" s="25">
        <v>17</v>
      </c>
      <c r="BH219" s="24">
        <v>1</v>
      </c>
      <c r="BI219" s="24">
        <v>0</v>
      </c>
      <c r="BJ219" s="24">
        <v>0</v>
      </c>
      <c r="BK219" s="24">
        <v>0</v>
      </c>
      <c r="BL219" s="25">
        <v>126</v>
      </c>
      <c r="BM219" s="24">
        <v>0</v>
      </c>
      <c r="BO219" s="25">
        <v>16</v>
      </c>
      <c r="BP219" s="24">
        <v>8</v>
      </c>
      <c r="BQ219" s="24">
        <v>10</v>
      </c>
      <c r="BR219" s="24">
        <v>1</v>
      </c>
      <c r="BS219" s="24">
        <v>0</v>
      </c>
      <c r="BT219" s="24">
        <v>0</v>
      </c>
      <c r="BU219" s="24">
        <v>0</v>
      </c>
      <c r="BV219" s="24">
        <v>6</v>
      </c>
      <c r="BW219" s="24">
        <v>0</v>
      </c>
      <c r="BX219" s="24">
        <v>1</v>
      </c>
      <c r="BZ219" s="24">
        <v>15510</v>
      </c>
      <c r="CA219" s="24">
        <v>500</v>
      </c>
      <c r="CB219" s="24">
        <v>0</v>
      </c>
      <c r="CC219" s="24">
        <v>0</v>
      </c>
      <c r="CD219" s="24">
        <v>0</v>
      </c>
      <c r="CE219" s="24">
        <v>0</v>
      </c>
      <c r="CG219" s="24">
        <v>2</v>
      </c>
      <c r="CH219" s="24">
        <v>0</v>
      </c>
      <c r="CI219" s="24">
        <v>0</v>
      </c>
      <c r="CJ219" s="24">
        <v>0</v>
      </c>
      <c r="CK219" s="24">
        <v>3</v>
      </c>
      <c r="CL219" s="24">
        <v>0</v>
      </c>
      <c r="CM219" s="24">
        <v>0.5</v>
      </c>
      <c r="CN219" s="24">
        <v>500</v>
      </c>
      <c r="CO219" s="24">
        <v>500</v>
      </c>
      <c r="CQ219" s="24">
        <v>0</v>
      </c>
      <c r="CR219" s="24">
        <v>0</v>
      </c>
      <c r="CS219" s="24">
        <v>0</v>
      </c>
      <c r="CT219" s="24">
        <v>0</v>
      </c>
      <c r="CV219" s="24">
        <v>110604</v>
      </c>
      <c r="CW219" s="24">
        <v>19</v>
      </c>
      <c r="CX219" s="24">
        <v>101</v>
      </c>
      <c r="CY219" s="26">
        <v>1</v>
      </c>
      <c r="CZ219" s="24">
        <v>2</v>
      </c>
      <c r="DA219" s="24">
        <v>0</v>
      </c>
      <c r="DC219" s="24">
        <v>3</v>
      </c>
      <c r="DD219" s="24">
        <v>1</v>
      </c>
      <c r="DE219" s="24">
        <v>0</v>
      </c>
      <c r="DF219" s="24">
        <v>0</v>
      </c>
      <c r="DG219" s="24">
        <v>-1</v>
      </c>
      <c r="DI219" s="24">
        <v>0</v>
      </c>
      <c r="DJ219" s="24">
        <v>0</v>
      </c>
      <c r="DL219" s="24">
        <v>0</v>
      </c>
      <c r="DM219" s="24">
        <v>0</v>
      </c>
      <c r="DO219" s="24">
        <v>0</v>
      </c>
      <c r="DP219" s="24">
        <v>0</v>
      </c>
      <c r="DQ219" s="24">
        <v>0</v>
      </c>
      <c r="DR219" s="24">
        <v>0</v>
      </c>
      <c r="DS219" s="24">
        <v>0</v>
      </c>
      <c r="DT219" s="24">
        <v>0</v>
      </c>
      <c r="DV219" s="24">
        <v>0</v>
      </c>
      <c r="DW219" s="24">
        <v>0</v>
      </c>
      <c r="DX219" s="24">
        <v>0</v>
      </c>
      <c r="DY219" s="24">
        <v>0</v>
      </c>
      <c r="DZ219" s="24">
        <v>0</v>
      </c>
    </row>
    <row r="220" spans="1:130">
      <c r="A220" s="24" t="s">
        <v>142</v>
      </c>
      <c r="B220" s="24" t="s">
        <v>142</v>
      </c>
      <c r="C220" s="24" t="s">
        <v>142</v>
      </c>
      <c r="D220" s="24" t="s">
        <v>142</v>
      </c>
      <c r="E220" s="24">
        <v>15511</v>
      </c>
      <c r="F220" s="24" t="s">
        <v>889</v>
      </c>
      <c r="G220" s="24">
        <v>0</v>
      </c>
      <c r="H220" s="24">
        <v>515105</v>
      </c>
      <c r="I220" s="24" t="s">
        <v>889</v>
      </c>
      <c r="J220" s="24" t="s">
        <v>889</v>
      </c>
      <c r="K220" s="24" t="s">
        <v>473</v>
      </c>
      <c r="M220" s="24">
        <v>0</v>
      </c>
      <c r="N220" s="24">
        <v>0</v>
      </c>
      <c r="P220" s="25">
        <v>12</v>
      </c>
      <c r="Q220" s="25">
        <v>0</v>
      </c>
      <c r="R220" s="24">
        <v>0</v>
      </c>
      <c r="S220" s="25">
        <v>0</v>
      </c>
      <c r="T220" s="24"/>
      <c r="U220" s="24">
        <v>11</v>
      </c>
      <c r="V220" s="25">
        <v>2050</v>
      </c>
      <c r="W220" s="24">
        <v>2</v>
      </c>
      <c r="X220" s="24">
        <v>15510</v>
      </c>
      <c r="Y220" s="24">
        <v>0</v>
      </c>
      <c r="Z220" s="24">
        <v>1000</v>
      </c>
      <c r="AB220" s="24">
        <v>30005</v>
      </c>
      <c r="AC220" s="24">
        <v>-1</v>
      </c>
      <c r="AD220" s="24">
        <v>-1</v>
      </c>
      <c r="AE220" s="24">
        <v>-1</v>
      </c>
      <c r="AG220" s="24">
        <v>1</v>
      </c>
      <c r="AH220" s="24">
        <v>0</v>
      </c>
      <c r="AI220" s="24">
        <v>0</v>
      </c>
      <c r="AJ220" s="24">
        <v>0</v>
      </c>
      <c r="AK220" s="24">
        <v>0</v>
      </c>
      <c r="AL220" s="24">
        <v>0</v>
      </c>
      <c r="AM220" s="24">
        <v>0</v>
      </c>
      <c r="AN220" s="24">
        <v>0</v>
      </c>
      <c r="AO220" s="24">
        <v>0</v>
      </c>
      <c r="AP220" s="24">
        <v>0</v>
      </c>
      <c r="AQ220" s="24">
        <v>0</v>
      </c>
      <c r="AR220" s="24">
        <v>0</v>
      </c>
      <c r="AS220" s="24">
        <v>0</v>
      </c>
      <c r="AT220" s="24">
        <v>0</v>
      </c>
      <c r="AU220" s="24">
        <v>0</v>
      </c>
      <c r="AV220" s="24">
        <v>0</v>
      </c>
      <c r="AW220" s="24">
        <v>0</v>
      </c>
      <c r="AX220" s="24">
        <v>0</v>
      </c>
      <c r="AY220" s="24">
        <v>0</v>
      </c>
      <c r="BA220" s="24">
        <v>0</v>
      </c>
      <c r="BB220" s="24">
        <v>0</v>
      </c>
      <c r="BC220" s="24">
        <v>0</v>
      </c>
      <c r="BD220" s="24">
        <v>0</v>
      </c>
      <c r="BE220" s="24">
        <v>0</v>
      </c>
      <c r="BF220" s="24">
        <v>1</v>
      </c>
      <c r="BG220" s="25">
        <v>0</v>
      </c>
      <c r="BH220" s="24">
        <v>0</v>
      </c>
      <c r="BI220" s="24">
        <v>0</v>
      </c>
      <c r="BJ220" s="24">
        <v>0</v>
      </c>
      <c r="BK220" s="24">
        <v>0</v>
      </c>
      <c r="BL220" s="25">
        <v>126</v>
      </c>
      <c r="BM220" s="24">
        <v>0</v>
      </c>
      <c r="BO220" s="25">
        <v>1</v>
      </c>
      <c r="BP220" s="24">
        <v>8</v>
      </c>
      <c r="BQ220" s="24">
        <v>0</v>
      </c>
      <c r="BR220" s="24">
        <v>1</v>
      </c>
      <c r="BS220" s="24">
        <v>0</v>
      </c>
      <c r="BT220" s="24">
        <v>0</v>
      </c>
      <c r="BU220" s="24">
        <v>0</v>
      </c>
      <c r="BV220" s="24">
        <v>0</v>
      </c>
      <c r="BW220" s="24">
        <v>0</v>
      </c>
      <c r="BX220" s="24">
        <v>1</v>
      </c>
      <c r="BZ220" s="24">
        <v>0</v>
      </c>
      <c r="CA220" s="24">
        <v>-1</v>
      </c>
      <c r="CB220" s="24">
        <v>0</v>
      </c>
      <c r="CC220" s="24">
        <v>0</v>
      </c>
      <c r="CD220" s="24">
        <v>0</v>
      </c>
      <c r="CE220" s="24">
        <v>0</v>
      </c>
      <c r="CG220" s="24">
        <v>-1</v>
      </c>
      <c r="CH220" s="24">
        <v>0</v>
      </c>
      <c r="CI220" s="24">
        <v>0</v>
      </c>
      <c r="CJ220" s="24">
        <v>0</v>
      </c>
      <c r="CK220" s="24">
        <v>0</v>
      </c>
      <c r="CL220" s="24">
        <v>0</v>
      </c>
      <c r="CM220" s="24">
        <v>0</v>
      </c>
      <c r="CN220" s="24">
        <v>0</v>
      </c>
      <c r="CO220" s="24">
        <v>0</v>
      </c>
      <c r="CQ220" s="24">
        <v>0</v>
      </c>
      <c r="CR220" s="24">
        <v>0</v>
      </c>
      <c r="CS220" s="24">
        <v>0</v>
      </c>
      <c r="CT220" s="24">
        <v>0</v>
      </c>
      <c r="CV220" s="24">
        <v>0</v>
      </c>
      <c r="CW220" s="24">
        <v>0</v>
      </c>
      <c r="CX220" s="24">
        <v>-1</v>
      </c>
      <c r="CY220" s="26">
        <v>0</v>
      </c>
      <c r="CZ220" s="24">
        <v>0</v>
      </c>
      <c r="DA220" s="24">
        <v>0</v>
      </c>
      <c r="DC220" s="24">
        <v>1</v>
      </c>
      <c r="DD220" s="24">
        <v>1</v>
      </c>
      <c r="DE220" s="24">
        <v>0</v>
      </c>
      <c r="DF220" s="24">
        <v>0</v>
      </c>
      <c r="DG220" s="24">
        <v>-1</v>
      </c>
      <c r="DI220" s="24">
        <v>0</v>
      </c>
      <c r="DJ220" s="24">
        <v>0</v>
      </c>
      <c r="DL220" s="24">
        <v>0</v>
      </c>
      <c r="DM220" s="24">
        <v>0</v>
      </c>
      <c r="DO220" s="24">
        <v>0</v>
      </c>
      <c r="DP220" s="24">
        <v>0</v>
      </c>
      <c r="DQ220" s="24">
        <v>0</v>
      </c>
      <c r="DR220" s="24">
        <v>0</v>
      </c>
      <c r="DS220" s="24">
        <v>0</v>
      </c>
      <c r="DT220" s="24">
        <v>0</v>
      </c>
      <c r="DV220" s="24">
        <v>0</v>
      </c>
      <c r="DW220" s="24">
        <v>0</v>
      </c>
      <c r="DX220" s="24">
        <v>0</v>
      </c>
      <c r="DY220" s="24">
        <v>0</v>
      </c>
      <c r="DZ220" s="24">
        <v>0</v>
      </c>
    </row>
    <row r="221" spans="1:130">
      <c r="A221" s="24" t="s">
        <v>142</v>
      </c>
      <c r="B221" s="24" t="s">
        <v>142</v>
      </c>
      <c r="C221" s="24" t="s">
        <v>142</v>
      </c>
      <c r="D221" s="24" t="s">
        <v>142</v>
      </c>
      <c r="E221" s="24">
        <v>15512</v>
      </c>
      <c r="F221" s="24" t="s">
        <v>890</v>
      </c>
      <c r="G221" s="24">
        <v>0</v>
      </c>
      <c r="H221" s="24">
        <v>515105</v>
      </c>
      <c r="I221" s="24" t="s">
        <v>890</v>
      </c>
      <c r="J221" s="24" t="s">
        <v>890</v>
      </c>
      <c r="K221" s="24" t="s">
        <v>473</v>
      </c>
      <c r="M221" s="24">
        <v>0</v>
      </c>
      <c r="N221" s="24">
        <v>0</v>
      </c>
      <c r="P221" s="25">
        <v>12</v>
      </c>
      <c r="Q221" s="25">
        <v>0</v>
      </c>
      <c r="R221" s="24">
        <v>0</v>
      </c>
      <c r="S221" s="25">
        <v>0</v>
      </c>
      <c r="T221" s="24"/>
      <c r="U221" s="24">
        <v>11</v>
      </c>
      <c r="V221" s="25">
        <v>2050</v>
      </c>
      <c r="W221" s="24">
        <v>16</v>
      </c>
      <c r="X221" s="24">
        <v>15510</v>
      </c>
      <c r="Y221" s="24">
        <v>0</v>
      </c>
      <c r="Z221" s="24">
        <v>1000</v>
      </c>
      <c r="AB221" s="24">
        <v>30005</v>
      </c>
      <c r="AC221" s="24">
        <v>-1</v>
      </c>
      <c r="AD221" s="24">
        <v>-1</v>
      </c>
      <c r="AE221" s="24">
        <v>-1</v>
      </c>
      <c r="AG221" s="24">
        <v>1</v>
      </c>
      <c r="AH221" s="24">
        <v>0</v>
      </c>
      <c r="AI221" s="24">
        <v>0</v>
      </c>
      <c r="AJ221" s="24">
        <v>0</v>
      </c>
      <c r="AK221" s="24">
        <v>0</v>
      </c>
      <c r="AL221" s="24">
        <v>0</v>
      </c>
      <c r="AM221" s="24">
        <v>0</v>
      </c>
      <c r="AN221" s="24">
        <v>0</v>
      </c>
      <c r="AO221" s="24">
        <v>0</v>
      </c>
      <c r="AP221" s="24">
        <v>0</v>
      </c>
      <c r="AQ221" s="24">
        <v>0</v>
      </c>
      <c r="AR221" s="24">
        <v>0</v>
      </c>
      <c r="AS221" s="24">
        <v>0</v>
      </c>
      <c r="AT221" s="24">
        <v>0</v>
      </c>
      <c r="AU221" s="24">
        <v>0</v>
      </c>
      <c r="AV221" s="24">
        <v>0</v>
      </c>
      <c r="AW221" s="24">
        <v>0</v>
      </c>
      <c r="AX221" s="24">
        <v>0</v>
      </c>
      <c r="AY221" s="24">
        <v>0</v>
      </c>
      <c r="BA221" s="24">
        <v>0</v>
      </c>
      <c r="BB221" s="24">
        <v>0</v>
      </c>
      <c r="BC221" s="24">
        <v>0</v>
      </c>
      <c r="BD221" s="24">
        <v>0</v>
      </c>
      <c r="BE221" s="24">
        <v>0</v>
      </c>
      <c r="BF221" s="24">
        <v>1</v>
      </c>
      <c r="BG221" s="25">
        <v>0</v>
      </c>
      <c r="BH221" s="24">
        <v>0</v>
      </c>
      <c r="BI221" s="24">
        <v>0</v>
      </c>
      <c r="BJ221" s="24">
        <v>0</v>
      </c>
      <c r="BK221" s="24">
        <v>0</v>
      </c>
      <c r="BL221" s="25">
        <v>126</v>
      </c>
      <c r="BM221" s="24">
        <v>0</v>
      </c>
      <c r="BO221" s="25">
        <v>1</v>
      </c>
      <c r="BP221" s="24">
        <v>8</v>
      </c>
      <c r="BQ221" s="24">
        <v>0</v>
      </c>
      <c r="BR221" s="24">
        <v>1</v>
      </c>
      <c r="BS221" s="24">
        <v>0</v>
      </c>
      <c r="BT221" s="24">
        <v>0</v>
      </c>
      <c r="BU221" s="24">
        <v>0</v>
      </c>
      <c r="BV221" s="24">
        <v>0</v>
      </c>
      <c r="BW221" s="24">
        <v>0</v>
      </c>
      <c r="BX221" s="24">
        <v>1</v>
      </c>
      <c r="BZ221" s="24">
        <v>0</v>
      </c>
      <c r="CA221" s="24">
        <v>-1</v>
      </c>
      <c r="CB221" s="24">
        <v>0</v>
      </c>
      <c r="CC221" s="24">
        <v>0</v>
      </c>
      <c r="CD221" s="24">
        <v>0</v>
      </c>
      <c r="CE221" s="24">
        <v>0</v>
      </c>
      <c r="CG221" s="24">
        <v>-1</v>
      </c>
      <c r="CH221" s="24">
        <v>0</v>
      </c>
      <c r="CI221" s="24">
        <v>0</v>
      </c>
      <c r="CJ221" s="24">
        <v>0</v>
      </c>
      <c r="CK221" s="24">
        <v>0</v>
      </c>
      <c r="CL221" s="24">
        <v>0</v>
      </c>
      <c r="CM221" s="24">
        <v>0</v>
      </c>
      <c r="CN221" s="24">
        <v>0</v>
      </c>
      <c r="CO221" s="24">
        <v>0</v>
      </c>
      <c r="CQ221" s="24">
        <v>0</v>
      </c>
      <c r="CR221" s="24">
        <v>0</v>
      </c>
      <c r="CS221" s="24">
        <v>0</v>
      </c>
      <c r="CT221" s="24">
        <v>0</v>
      </c>
      <c r="CV221" s="24">
        <v>0</v>
      </c>
      <c r="CW221" s="24">
        <v>0</v>
      </c>
      <c r="CX221" s="24">
        <v>-1</v>
      </c>
      <c r="CY221" s="26">
        <v>0</v>
      </c>
      <c r="CZ221" s="24">
        <v>0</v>
      </c>
      <c r="DA221" s="24">
        <v>0</v>
      </c>
      <c r="DC221" s="24">
        <v>1</v>
      </c>
      <c r="DD221" s="24">
        <v>1</v>
      </c>
      <c r="DE221" s="24">
        <v>0</v>
      </c>
      <c r="DF221" s="24">
        <v>0</v>
      </c>
      <c r="DG221" s="24">
        <v>-1</v>
      </c>
      <c r="DI221" s="24">
        <v>0</v>
      </c>
      <c r="DJ221" s="24">
        <v>0</v>
      </c>
      <c r="DL221" s="24">
        <v>0</v>
      </c>
      <c r="DM221" s="24">
        <v>0</v>
      </c>
      <c r="DO221" s="24">
        <v>0</v>
      </c>
      <c r="DP221" s="24">
        <v>0</v>
      </c>
      <c r="DQ221" s="24">
        <v>0</v>
      </c>
      <c r="DR221" s="24">
        <v>0</v>
      </c>
      <c r="DS221" s="24">
        <v>0</v>
      </c>
      <c r="DT221" s="24">
        <v>0</v>
      </c>
      <c r="DV221" s="24">
        <v>0</v>
      </c>
      <c r="DW221" s="24">
        <v>0</v>
      </c>
      <c r="DX221" s="24">
        <v>0</v>
      </c>
      <c r="DY221" s="24">
        <v>0</v>
      </c>
      <c r="DZ221" s="24">
        <v>0</v>
      </c>
    </row>
    <row r="222" spans="1:130">
      <c r="A222" s="24" t="s">
        <v>142</v>
      </c>
      <c r="B222" s="24" t="s">
        <v>142</v>
      </c>
      <c r="C222" s="24" t="s">
        <v>142</v>
      </c>
      <c r="D222" s="24" t="s">
        <v>142</v>
      </c>
      <c r="E222" s="24">
        <v>15513</v>
      </c>
      <c r="F222" s="24" t="s">
        <v>891</v>
      </c>
      <c r="G222" s="24">
        <v>0</v>
      </c>
      <c r="H222" s="24">
        <v>515105</v>
      </c>
      <c r="I222" s="24" t="s">
        <v>891</v>
      </c>
      <c r="J222" s="24" t="s">
        <v>891</v>
      </c>
      <c r="K222" s="24" t="s">
        <v>473</v>
      </c>
      <c r="M222" s="24">
        <v>0</v>
      </c>
      <c r="N222" s="24">
        <v>0</v>
      </c>
      <c r="P222" s="25">
        <v>34</v>
      </c>
      <c r="Q222" s="25">
        <v>0</v>
      </c>
      <c r="R222" s="24">
        <v>0</v>
      </c>
      <c r="S222" s="25">
        <v>0</v>
      </c>
      <c r="T222" s="24"/>
      <c r="U222" s="24">
        <v>0</v>
      </c>
      <c r="V222" s="25">
        <v>0</v>
      </c>
      <c r="W222" s="24">
        <v>0</v>
      </c>
      <c r="X222" s="24">
        <v>0</v>
      </c>
      <c r="Y222" s="24">
        <v>0</v>
      </c>
      <c r="Z222" s="24">
        <v>0</v>
      </c>
      <c r="AB222" s="24">
        <v>10004</v>
      </c>
      <c r="AC222" s="24">
        <v>8</v>
      </c>
      <c r="AD222" s="24">
        <v>0</v>
      </c>
      <c r="AE222" s="24">
        <v>0</v>
      </c>
      <c r="AG222" s="24">
        <v>1</v>
      </c>
      <c r="AH222" s="24">
        <v>0</v>
      </c>
      <c r="AI222" s="24">
        <v>0</v>
      </c>
      <c r="AJ222" s="24">
        <v>0</v>
      </c>
      <c r="AK222" s="24">
        <v>0</v>
      </c>
      <c r="AL222" s="24">
        <v>0</v>
      </c>
      <c r="AM222" s="24">
        <v>0</v>
      </c>
      <c r="AN222" s="24">
        <v>0</v>
      </c>
      <c r="AO222" s="24">
        <v>0</v>
      </c>
      <c r="AP222" s="24">
        <v>0</v>
      </c>
      <c r="AQ222" s="24">
        <v>0</v>
      </c>
      <c r="AR222" s="24">
        <v>0</v>
      </c>
      <c r="AS222" s="24">
        <v>0</v>
      </c>
      <c r="AT222" s="24">
        <v>0</v>
      </c>
      <c r="AU222" s="24">
        <v>0</v>
      </c>
      <c r="AV222" s="24">
        <v>0</v>
      </c>
      <c r="AW222" s="24">
        <v>0</v>
      </c>
      <c r="AX222" s="24">
        <v>0</v>
      </c>
      <c r="AY222" s="24">
        <v>0</v>
      </c>
      <c r="BA222" s="24">
        <v>0</v>
      </c>
      <c r="BB222" s="24">
        <v>500</v>
      </c>
      <c r="BC222" s="24">
        <v>1000</v>
      </c>
      <c r="BD222" s="24">
        <v>500</v>
      </c>
      <c r="BE222" s="24">
        <v>0</v>
      </c>
      <c r="BF222" s="24">
        <v>1</v>
      </c>
      <c r="BG222" s="25">
        <v>1025</v>
      </c>
      <c r="BH222" s="24">
        <v>1</v>
      </c>
      <c r="BI222" s="24">
        <v>0</v>
      </c>
      <c r="BJ222" s="24">
        <v>0</v>
      </c>
      <c r="BK222" s="24">
        <v>0</v>
      </c>
      <c r="BL222" s="25">
        <v>126</v>
      </c>
      <c r="BM222" s="24">
        <v>0</v>
      </c>
      <c r="BO222" s="25">
        <v>1</v>
      </c>
      <c r="BP222" s="24">
        <v>4</v>
      </c>
      <c r="BQ222" s="24">
        <v>10</v>
      </c>
      <c r="BR222" s="24">
        <v>1</v>
      </c>
      <c r="BS222" s="24">
        <v>0</v>
      </c>
      <c r="BT222" s="24">
        <v>0</v>
      </c>
      <c r="BU222" s="24">
        <v>0</v>
      </c>
      <c r="BV222" s="24">
        <v>0</v>
      </c>
      <c r="BW222" s="24">
        <v>0</v>
      </c>
      <c r="BX222" s="24">
        <v>1</v>
      </c>
      <c r="BZ222" s="24">
        <v>-1</v>
      </c>
      <c r="CA222" s="24">
        <v>-1</v>
      </c>
      <c r="CB222" s="24">
        <v>0</v>
      </c>
      <c r="CC222" s="24">
        <v>0</v>
      </c>
      <c r="CD222" s="24">
        <v>0</v>
      </c>
      <c r="CE222" s="24">
        <v>0</v>
      </c>
      <c r="CG222" s="24">
        <v>-1</v>
      </c>
      <c r="CH222" s="24">
        <v>0</v>
      </c>
      <c r="CI222" s="24">
        <v>0</v>
      </c>
      <c r="CJ222" s="24">
        <v>0</v>
      </c>
      <c r="CK222" s="24">
        <v>0</v>
      </c>
      <c r="CL222" s="24">
        <v>0</v>
      </c>
      <c r="CM222" s="24">
        <v>0</v>
      </c>
      <c r="CN222" s="24">
        <v>0</v>
      </c>
      <c r="CO222" s="24">
        <v>0</v>
      </c>
      <c r="CQ222" s="24">
        <v>0</v>
      </c>
      <c r="CR222" s="24">
        <v>0</v>
      </c>
      <c r="CS222" s="24">
        <v>0</v>
      </c>
      <c r="CT222" s="24">
        <v>0</v>
      </c>
      <c r="CV222" s="24">
        <v>110605</v>
      </c>
      <c r="CW222" s="24">
        <v>19</v>
      </c>
      <c r="CX222" s="24">
        <v>-1</v>
      </c>
      <c r="CY222" s="26">
        <v>0</v>
      </c>
      <c r="CZ222" s="24">
        <v>0</v>
      </c>
      <c r="DA222" s="24">
        <v>0</v>
      </c>
      <c r="DC222" s="24">
        <v>1</v>
      </c>
      <c r="DD222" s="24">
        <v>1</v>
      </c>
      <c r="DE222" s="24">
        <v>0</v>
      </c>
      <c r="DF222" s="24">
        <v>0</v>
      </c>
      <c r="DG222" s="24">
        <v>-1</v>
      </c>
      <c r="DI222" s="24">
        <v>0</v>
      </c>
      <c r="DJ222" s="24">
        <v>0</v>
      </c>
      <c r="DL222" s="24">
        <v>0</v>
      </c>
      <c r="DM222" s="24">
        <v>0</v>
      </c>
      <c r="DO222" s="24">
        <v>2</v>
      </c>
      <c r="DP222" s="24">
        <v>2</v>
      </c>
      <c r="DQ222" s="24">
        <v>15513</v>
      </c>
      <c r="DR222" s="24">
        <v>0</v>
      </c>
      <c r="DS222" s="24">
        <v>0</v>
      </c>
      <c r="DT222" s="24">
        <v>0</v>
      </c>
      <c r="DV222" s="24">
        <v>0</v>
      </c>
      <c r="DW222" s="24">
        <v>0</v>
      </c>
      <c r="DX222" s="24">
        <v>0</v>
      </c>
      <c r="DY222" s="24">
        <v>0</v>
      </c>
      <c r="DZ222" s="24">
        <v>0</v>
      </c>
    </row>
    <row r="223" spans="1:130">
      <c r="A223" s="24" t="s">
        <v>142</v>
      </c>
      <c r="B223" s="24" t="s">
        <v>142</v>
      </c>
      <c r="C223" s="24" t="s">
        <v>142</v>
      </c>
      <c r="D223" s="24" t="s">
        <v>142</v>
      </c>
      <c r="E223" s="24">
        <v>15514</v>
      </c>
      <c r="F223" s="24" t="s">
        <v>892</v>
      </c>
      <c r="G223" s="24">
        <v>0</v>
      </c>
      <c r="H223" s="24">
        <v>515105</v>
      </c>
      <c r="I223" s="24" t="s">
        <v>892</v>
      </c>
      <c r="J223" s="24" t="s">
        <v>892</v>
      </c>
      <c r="K223" s="24" t="s">
        <v>473</v>
      </c>
      <c r="M223" s="24">
        <v>0</v>
      </c>
      <c r="N223" s="24">
        <v>0</v>
      </c>
      <c r="P223" s="25">
        <v>34</v>
      </c>
      <c r="Q223" s="25">
        <v>0</v>
      </c>
      <c r="R223" s="24">
        <v>0</v>
      </c>
      <c r="S223" s="27">
        <v>0</v>
      </c>
      <c r="T223" s="24"/>
      <c r="U223" s="24">
        <v>0</v>
      </c>
      <c r="V223" s="25">
        <v>0</v>
      </c>
      <c r="W223" s="24">
        <v>0</v>
      </c>
      <c r="X223" s="24">
        <v>0</v>
      </c>
      <c r="Y223" s="24">
        <v>0</v>
      </c>
      <c r="Z223" s="24">
        <v>0</v>
      </c>
      <c r="AB223" s="24">
        <v>10004</v>
      </c>
      <c r="AC223" s="24">
        <v>8</v>
      </c>
      <c r="AD223" s="24">
        <v>0</v>
      </c>
      <c r="AE223" s="24">
        <v>0</v>
      </c>
      <c r="AG223" s="24">
        <v>1</v>
      </c>
      <c r="AH223" s="24">
        <v>0</v>
      </c>
      <c r="AI223" s="24">
        <v>0</v>
      </c>
      <c r="AJ223" s="24">
        <v>0</v>
      </c>
      <c r="AK223" s="24">
        <v>0</v>
      </c>
      <c r="AL223" s="24">
        <v>0</v>
      </c>
      <c r="AM223" s="24">
        <v>0</v>
      </c>
      <c r="AN223" s="24">
        <v>0</v>
      </c>
      <c r="AO223" s="24">
        <v>0</v>
      </c>
      <c r="AP223" s="24">
        <v>0</v>
      </c>
      <c r="AQ223" s="24">
        <v>0</v>
      </c>
      <c r="AR223" s="24">
        <v>0</v>
      </c>
      <c r="AS223" s="24">
        <v>0</v>
      </c>
      <c r="AT223" s="24">
        <v>0</v>
      </c>
      <c r="AU223" s="24">
        <v>0</v>
      </c>
      <c r="AV223" s="24">
        <v>0</v>
      </c>
      <c r="AW223" s="24">
        <v>0</v>
      </c>
      <c r="AX223" s="24">
        <v>0</v>
      </c>
      <c r="AY223" s="24">
        <v>0</v>
      </c>
      <c r="BA223" s="24">
        <v>0</v>
      </c>
      <c r="BB223" s="24">
        <v>500</v>
      </c>
      <c r="BC223" s="24">
        <v>1000</v>
      </c>
      <c r="BD223" s="24">
        <v>500</v>
      </c>
      <c r="BE223" s="24">
        <v>0</v>
      </c>
      <c r="BF223" s="24">
        <v>1</v>
      </c>
      <c r="BG223" s="25">
        <v>0</v>
      </c>
      <c r="BH223" s="24">
        <v>0</v>
      </c>
      <c r="BI223" s="24">
        <v>0</v>
      </c>
      <c r="BJ223" s="24">
        <v>0</v>
      </c>
      <c r="BK223" s="24">
        <v>0</v>
      </c>
      <c r="BL223" s="25">
        <v>126</v>
      </c>
      <c r="BM223" s="24">
        <v>0</v>
      </c>
      <c r="BO223" s="25">
        <v>1</v>
      </c>
      <c r="BP223" s="24">
        <v>4</v>
      </c>
      <c r="BQ223" s="24">
        <v>10</v>
      </c>
      <c r="BR223" s="24">
        <v>1</v>
      </c>
      <c r="BS223" s="24">
        <v>0</v>
      </c>
      <c r="BT223" s="24">
        <v>0</v>
      </c>
      <c r="BU223" s="24">
        <v>0</v>
      </c>
      <c r="BV223" s="24">
        <v>0</v>
      </c>
      <c r="BW223" s="24">
        <v>0</v>
      </c>
      <c r="BX223" s="24">
        <v>1</v>
      </c>
      <c r="BZ223" s="24">
        <v>-1</v>
      </c>
      <c r="CA223" s="24">
        <v>-1</v>
      </c>
      <c r="CB223" s="24">
        <v>0</v>
      </c>
      <c r="CC223" s="24">
        <v>0</v>
      </c>
      <c r="CD223" s="24">
        <v>0</v>
      </c>
      <c r="CE223" s="24">
        <v>0</v>
      </c>
      <c r="CG223" s="24">
        <v>-1</v>
      </c>
      <c r="CH223" s="24">
        <v>0</v>
      </c>
      <c r="CI223" s="24">
        <v>0</v>
      </c>
      <c r="CJ223" s="24">
        <v>0</v>
      </c>
      <c r="CK223" s="24">
        <v>0</v>
      </c>
      <c r="CL223" s="24">
        <v>0</v>
      </c>
      <c r="CM223" s="24">
        <v>0</v>
      </c>
      <c r="CN223" s="24">
        <v>0</v>
      </c>
      <c r="CO223" s="24">
        <v>0</v>
      </c>
      <c r="CQ223" s="24">
        <v>0</v>
      </c>
      <c r="CR223" s="24">
        <v>0</v>
      </c>
      <c r="CS223" s="24">
        <v>0</v>
      </c>
      <c r="CT223" s="24">
        <v>0</v>
      </c>
      <c r="CV223" s="24">
        <v>110605</v>
      </c>
      <c r="CW223" s="24">
        <v>19</v>
      </c>
      <c r="CX223" s="24">
        <v>-1</v>
      </c>
      <c r="CY223" s="26">
        <v>0</v>
      </c>
      <c r="CZ223" s="24">
        <v>0</v>
      </c>
      <c r="DA223" s="24">
        <v>0</v>
      </c>
      <c r="DC223" s="24">
        <v>1</v>
      </c>
      <c r="DD223" s="24">
        <v>1</v>
      </c>
      <c r="DE223" s="24">
        <v>0</v>
      </c>
      <c r="DF223" s="24">
        <v>0</v>
      </c>
      <c r="DG223" s="24">
        <v>-1</v>
      </c>
      <c r="DI223" s="24">
        <v>0</v>
      </c>
      <c r="DJ223" s="24">
        <v>0</v>
      </c>
      <c r="DL223" s="24">
        <v>0</v>
      </c>
      <c r="DM223" s="24">
        <v>0</v>
      </c>
      <c r="DO223" s="24">
        <v>2</v>
      </c>
      <c r="DP223" s="24">
        <v>2</v>
      </c>
      <c r="DQ223" s="24">
        <v>15514</v>
      </c>
      <c r="DR223" s="24">
        <v>0</v>
      </c>
      <c r="DS223" s="24">
        <v>0</v>
      </c>
      <c r="DT223" s="24">
        <v>0</v>
      </c>
      <c r="DV223" s="24">
        <v>0</v>
      </c>
      <c r="DW223" s="24">
        <v>0</v>
      </c>
      <c r="DX223" s="24">
        <v>0</v>
      </c>
      <c r="DY223" s="24">
        <v>0</v>
      </c>
      <c r="DZ223" s="24">
        <v>0</v>
      </c>
    </row>
    <row r="224" spans="1:130">
      <c r="A224" s="24" t="s">
        <v>142</v>
      </c>
      <c r="B224" s="24" t="s">
        <v>142</v>
      </c>
      <c r="C224" s="24" t="s">
        <v>142</v>
      </c>
      <c r="D224" s="24" t="s">
        <v>142</v>
      </c>
      <c r="E224" s="24">
        <v>15520</v>
      </c>
      <c r="F224" s="24" t="s">
        <v>893</v>
      </c>
      <c r="G224" s="24">
        <v>0</v>
      </c>
      <c r="H224" s="24">
        <v>0</v>
      </c>
      <c r="I224" s="24" t="s">
        <v>894</v>
      </c>
      <c r="J224" s="24" t="s">
        <v>894</v>
      </c>
      <c r="K224" s="24" t="s">
        <v>644</v>
      </c>
      <c r="M224" s="24">
        <v>102</v>
      </c>
      <c r="N224" s="24">
        <v>0</v>
      </c>
      <c r="P224" s="25">
        <v>2</v>
      </c>
      <c r="Q224" s="25">
        <v>524544</v>
      </c>
      <c r="R224" s="24">
        <v>0</v>
      </c>
      <c r="S224" s="25">
        <v>2</v>
      </c>
      <c r="T224" s="24"/>
      <c r="U224" s="24">
        <v>0</v>
      </c>
      <c r="V224" s="25">
        <v>0</v>
      </c>
      <c r="W224" s="24">
        <v>0</v>
      </c>
      <c r="X224" s="24">
        <v>0</v>
      </c>
      <c r="Y224" s="24">
        <v>0</v>
      </c>
      <c r="Z224" s="24">
        <v>0</v>
      </c>
      <c r="AB224" s="24">
        <v>10001</v>
      </c>
      <c r="AC224" s="24">
        <v>-1</v>
      </c>
      <c r="AD224" s="24">
        <v>-1</v>
      </c>
      <c r="AE224" s="24">
        <v>-1</v>
      </c>
      <c r="AG224" s="24">
        <v>1</v>
      </c>
      <c r="AH224" s="24">
        <v>0</v>
      </c>
      <c r="AI224" s="24">
        <v>0</v>
      </c>
      <c r="AJ224" s="24">
        <v>0</v>
      </c>
      <c r="AK224" s="24">
        <v>0</v>
      </c>
      <c r="AL224" s="24">
        <v>0</v>
      </c>
      <c r="AM224" s="24">
        <v>0</v>
      </c>
      <c r="AN224" s="24">
        <v>0</v>
      </c>
      <c r="AO224" s="24">
        <v>0</v>
      </c>
      <c r="AP224" s="24">
        <v>0</v>
      </c>
      <c r="AQ224" s="24">
        <v>0</v>
      </c>
      <c r="AR224" s="24">
        <v>0</v>
      </c>
      <c r="AS224" s="24">
        <v>0</v>
      </c>
      <c r="AT224" s="24">
        <v>0</v>
      </c>
      <c r="AU224" s="24">
        <v>0</v>
      </c>
      <c r="AV224" s="24">
        <v>0</v>
      </c>
      <c r="AW224" s="24">
        <v>0</v>
      </c>
      <c r="AX224" s="24">
        <v>0</v>
      </c>
      <c r="AY224" s="24">
        <v>0</v>
      </c>
      <c r="BA224" s="24">
        <v>0</v>
      </c>
      <c r="BB224" s="24">
        <v>2067</v>
      </c>
      <c r="BC224" s="24">
        <v>2067</v>
      </c>
      <c r="BD224" s="24">
        <v>0</v>
      </c>
      <c r="BE224" s="24">
        <v>200</v>
      </c>
      <c r="BF224" s="24">
        <v>10</v>
      </c>
      <c r="BG224" s="25">
        <v>17</v>
      </c>
      <c r="BH224" s="24">
        <v>1</v>
      </c>
      <c r="BI224" s="24">
        <v>0</v>
      </c>
      <c r="BJ224" s="24">
        <v>0</v>
      </c>
      <c r="BK224" s="24">
        <v>0</v>
      </c>
      <c r="BL224" s="25">
        <v>126</v>
      </c>
      <c r="BM224" s="24">
        <v>0</v>
      </c>
      <c r="BO224" s="25">
        <v>1</v>
      </c>
      <c r="BP224" s="24">
        <v>20</v>
      </c>
      <c r="BQ224" s="24">
        <v>0</v>
      </c>
      <c r="BR224" s="24">
        <v>2</v>
      </c>
      <c r="BS224" s="24">
        <v>50</v>
      </c>
      <c r="BT224" s="24">
        <v>0</v>
      </c>
      <c r="BU224" s="24">
        <v>0</v>
      </c>
      <c r="BV224" s="24">
        <v>6</v>
      </c>
      <c r="BW224" s="24">
        <v>0</v>
      </c>
      <c r="BX224" s="24">
        <v>4</v>
      </c>
      <c r="BZ224" s="24">
        <v>105220</v>
      </c>
      <c r="CA224" s="24">
        <v>0</v>
      </c>
      <c r="CB224" s="24">
        <v>0</v>
      </c>
      <c r="CC224" s="24">
        <v>0</v>
      </c>
      <c r="CD224" s="24">
        <v>0</v>
      </c>
      <c r="CE224" s="24">
        <v>0</v>
      </c>
      <c r="CG224" s="24">
        <v>-1</v>
      </c>
      <c r="CH224" s="24">
        <v>0</v>
      </c>
      <c r="CI224" s="24">
        <v>0</v>
      </c>
      <c r="CJ224" s="24">
        <v>0</v>
      </c>
      <c r="CK224" s="24">
        <v>0</v>
      </c>
      <c r="CL224" s="24">
        <v>0</v>
      </c>
      <c r="CM224" s="24">
        <v>0</v>
      </c>
      <c r="CN224" s="24">
        <v>0</v>
      </c>
      <c r="CO224" s="24">
        <v>0</v>
      </c>
      <c r="CQ224" s="24">
        <v>0</v>
      </c>
      <c r="CR224" s="24">
        <v>0</v>
      </c>
      <c r="CS224" s="24">
        <v>0</v>
      </c>
      <c r="CT224" s="24">
        <v>0</v>
      </c>
      <c r="CV224" s="24">
        <v>10002</v>
      </c>
      <c r="CW224" s="24">
        <v>19</v>
      </c>
      <c r="CX224" s="24">
        <v>1001012</v>
      </c>
      <c r="CY224" s="26">
        <v>1</v>
      </c>
      <c r="CZ224" s="24">
        <v>2</v>
      </c>
      <c r="DA224" s="24">
        <v>0</v>
      </c>
      <c r="DC224" s="24">
        <v>1</v>
      </c>
      <c r="DD224" s="24">
        <v>1</v>
      </c>
      <c r="DE224" s="24">
        <v>0</v>
      </c>
      <c r="DF224" s="24">
        <v>0</v>
      </c>
      <c r="DG224" s="24">
        <v>25</v>
      </c>
      <c r="DI224" s="24">
        <v>0</v>
      </c>
      <c r="DJ224" s="24">
        <v>0</v>
      </c>
      <c r="DL224" s="24">
        <v>0</v>
      </c>
      <c r="DM224" s="24">
        <v>0</v>
      </c>
      <c r="DO224" s="24">
        <v>0</v>
      </c>
      <c r="DP224" s="24">
        <v>0</v>
      </c>
      <c r="DQ224" s="24">
        <v>0</v>
      </c>
      <c r="DR224" s="24">
        <v>0</v>
      </c>
      <c r="DS224" s="24">
        <v>0</v>
      </c>
      <c r="DT224" s="24">
        <v>0</v>
      </c>
      <c r="DV224" s="24">
        <v>0</v>
      </c>
      <c r="DW224" s="24">
        <v>0</v>
      </c>
      <c r="DX224" s="24">
        <v>0</v>
      </c>
      <c r="DY224" s="24">
        <v>0</v>
      </c>
      <c r="DZ224" s="24">
        <v>0</v>
      </c>
    </row>
    <row r="225" spans="1:130">
      <c r="A225" s="24" t="s">
        <v>142</v>
      </c>
      <c r="B225" s="24" t="s">
        <v>142</v>
      </c>
      <c r="C225" s="24" t="s">
        <v>142</v>
      </c>
      <c r="D225" s="24" t="s">
        <v>142</v>
      </c>
      <c r="E225" s="24">
        <v>15521</v>
      </c>
      <c r="F225" s="24" t="s">
        <v>895</v>
      </c>
      <c r="G225" s="24">
        <v>0</v>
      </c>
      <c r="H225" s="24">
        <v>0</v>
      </c>
      <c r="I225" s="24" t="s">
        <v>896</v>
      </c>
      <c r="J225" s="24" t="s">
        <v>896</v>
      </c>
      <c r="K225" s="24" t="s">
        <v>644</v>
      </c>
      <c r="M225" s="24">
        <v>102</v>
      </c>
      <c r="N225" s="24">
        <v>0</v>
      </c>
      <c r="P225" s="25">
        <v>12</v>
      </c>
      <c r="Q225" s="25">
        <v>0</v>
      </c>
      <c r="R225" s="24">
        <v>0</v>
      </c>
      <c r="S225" s="27">
        <v>0</v>
      </c>
      <c r="U225" s="24">
        <v>3</v>
      </c>
      <c r="V225" s="25">
        <v>2</v>
      </c>
      <c r="W225" s="24">
        <v>0</v>
      </c>
      <c r="X225" s="24">
        <v>15520</v>
      </c>
      <c r="Y225" s="24">
        <v>0</v>
      </c>
      <c r="Z225" s="24">
        <v>1000</v>
      </c>
      <c r="AB225" s="24">
        <v>30001</v>
      </c>
      <c r="AC225" s="24">
        <v>-1</v>
      </c>
      <c r="AD225" s="24">
        <v>-1</v>
      </c>
      <c r="AE225" s="24">
        <v>-1</v>
      </c>
      <c r="AG225" s="24">
        <v>1</v>
      </c>
      <c r="AH225" s="24">
        <v>0</v>
      </c>
      <c r="AI225" s="24">
        <v>0</v>
      </c>
      <c r="AJ225" s="24">
        <v>0</v>
      </c>
      <c r="AK225" s="24">
        <v>0</v>
      </c>
      <c r="AL225" s="24">
        <v>0</v>
      </c>
      <c r="AM225" s="24">
        <v>0</v>
      </c>
      <c r="AN225" s="24">
        <v>0</v>
      </c>
      <c r="AO225" s="24">
        <v>0</v>
      </c>
      <c r="AP225" s="24">
        <v>0</v>
      </c>
      <c r="AQ225" s="24">
        <v>0</v>
      </c>
      <c r="AR225" s="24">
        <v>0</v>
      </c>
      <c r="AS225" s="24">
        <v>0</v>
      </c>
      <c r="AT225" s="24">
        <v>0</v>
      </c>
      <c r="AU225" s="24">
        <v>0</v>
      </c>
      <c r="AV225" s="24">
        <v>0</v>
      </c>
      <c r="AW225" s="24">
        <v>0</v>
      </c>
      <c r="AX225" s="24">
        <v>0</v>
      </c>
      <c r="AY225" s="24">
        <v>0</v>
      </c>
      <c r="BA225" s="24">
        <v>0</v>
      </c>
      <c r="BB225" s="24">
        <v>1680</v>
      </c>
      <c r="BC225" s="24">
        <v>1680</v>
      </c>
      <c r="BD225" s="24">
        <v>0</v>
      </c>
      <c r="BE225" s="24">
        <v>200</v>
      </c>
      <c r="BF225" s="24">
        <v>10</v>
      </c>
      <c r="BG225" s="25">
        <v>1024</v>
      </c>
      <c r="BH225" s="24">
        <v>4</v>
      </c>
      <c r="BI225" s="24">
        <v>15106</v>
      </c>
      <c r="BJ225" s="24">
        <v>1</v>
      </c>
      <c r="BK225" s="24">
        <v>1</v>
      </c>
      <c r="BL225" s="25">
        <v>126</v>
      </c>
      <c r="BM225" s="24">
        <v>0</v>
      </c>
      <c r="BO225" s="25">
        <v>1</v>
      </c>
      <c r="BP225" s="24">
        <v>0</v>
      </c>
      <c r="BQ225" s="24">
        <v>0</v>
      </c>
      <c r="BR225" s="24">
        <v>2</v>
      </c>
      <c r="BS225" s="24">
        <v>50</v>
      </c>
      <c r="BT225" s="24">
        <v>0</v>
      </c>
      <c r="BU225" s="24">
        <v>0</v>
      </c>
      <c r="BV225" s="24">
        <v>6</v>
      </c>
      <c r="BW225" s="24">
        <v>0</v>
      </c>
      <c r="BX225" s="24">
        <v>4</v>
      </c>
      <c r="BZ225" s="24">
        <v>-1</v>
      </c>
      <c r="CA225" s="24">
        <v>0</v>
      </c>
      <c r="CB225" s="24">
        <v>0</v>
      </c>
      <c r="CC225" s="24">
        <v>0</v>
      </c>
      <c r="CD225" s="24">
        <v>0</v>
      </c>
      <c r="CE225" s="24">
        <v>0</v>
      </c>
      <c r="CG225" s="24">
        <v>-1</v>
      </c>
      <c r="CH225" s="24">
        <v>0</v>
      </c>
      <c r="CI225" s="24">
        <v>0</v>
      </c>
      <c r="CJ225" s="24">
        <v>0</v>
      </c>
      <c r="CK225" s="24">
        <v>0</v>
      </c>
      <c r="CL225" s="24">
        <v>0</v>
      </c>
      <c r="CM225" s="24">
        <v>0</v>
      </c>
      <c r="CN225" s="24">
        <v>0</v>
      </c>
      <c r="CO225" s="24">
        <v>0</v>
      </c>
      <c r="CQ225" s="24">
        <v>0</v>
      </c>
      <c r="CR225" s="24">
        <v>0</v>
      </c>
      <c r="CS225" s="24">
        <v>0</v>
      </c>
      <c r="CT225" s="24">
        <v>0</v>
      </c>
      <c r="CV225" s="24">
        <v>0</v>
      </c>
      <c r="CW225" s="24">
        <v>19</v>
      </c>
      <c r="CX225" s="24">
        <v>-1</v>
      </c>
      <c r="CY225" s="26">
        <v>0</v>
      </c>
      <c r="CZ225" s="24">
        <v>0</v>
      </c>
      <c r="DA225" s="24">
        <v>0</v>
      </c>
      <c r="DC225" s="24">
        <v>1</v>
      </c>
      <c r="DD225" s="24">
        <v>1</v>
      </c>
      <c r="DE225" s="24">
        <v>0</v>
      </c>
      <c r="DF225" s="24">
        <v>0</v>
      </c>
      <c r="DG225" s="24">
        <v>25</v>
      </c>
      <c r="DI225" s="24">
        <v>0</v>
      </c>
      <c r="DJ225" s="24">
        <v>0</v>
      </c>
      <c r="DL225" s="24">
        <v>0</v>
      </c>
      <c r="DM225" s="24">
        <v>0</v>
      </c>
      <c r="DO225" s="24">
        <v>0</v>
      </c>
      <c r="DP225" s="24">
        <v>0</v>
      </c>
      <c r="DQ225" s="24">
        <v>0</v>
      </c>
      <c r="DR225" s="24">
        <v>0</v>
      </c>
      <c r="DS225" s="24">
        <v>0</v>
      </c>
      <c r="DT225" s="24">
        <v>0</v>
      </c>
      <c r="DV225" s="24">
        <v>0</v>
      </c>
      <c r="DW225" s="24">
        <v>0</v>
      </c>
      <c r="DX225" s="24">
        <v>0</v>
      </c>
      <c r="DY225" s="24">
        <v>0</v>
      </c>
      <c r="DZ225" s="24">
        <v>0</v>
      </c>
    </row>
    <row r="226" spans="1:130">
      <c r="A226" s="24" t="s">
        <v>142</v>
      </c>
      <c r="B226" s="24" t="s">
        <v>142</v>
      </c>
      <c r="C226" s="24" t="s">
        <v>142</v>
      </c>
      <c r="D226" s="24" t="s">
        <v>142</v>
      </c>
      <c r="E226" s="24">
        <v>15530</v>
      </c>
      <c r="F226" s="24" t="s">
        <v>929</v>
      </c>
      <c r="G226" s="24">
        <v>0</v>
      </c>
      <c r="H226" s="24">
        <v>515201</v>
      </c>
      <c r="I226" s="24" t="s">
        <v>433</v>
      </c>
      <c r="J226" s="24" t="s">
        <v>591</v>
      </c>
      <c r="K226" s="24" t="s">
        <v>819</v>
      </c>
      <c r="M226" s="24">
        <v>102</v>
      </c>
      <c r="N226" s="24">
        <v>0</v>
      </c>
      <c r="P226" s="25">
        <v>2</v>
      </c>
      <c r="Q226" s="25">
        <v>590848</v>
      </c>
      <c r="R226" s="24">
        <v>0</v>
      </c>
      <c r="S226" s="27">
        <v>0</v>
      </c>
      <c r="U226" s="24">
        <v>0</v>
      </c>
      <c r="V226" s="25">
        <v>0</v>
      </c>
      <c r="W226" s="24">
        <v>0</v>
      </c>
      <c r="X226" s="24">
        <v>0</v>
      </c>
      <c r="Y226" s="24">
        <v>0</v>
      </c>
      <c r="Z226" s="24">
        <v>0</v>
      </c>
      <c r="AB226" s="24">
        <v>10001</v>
      </c>
      <c r="AC226" s="24">
        <v>-1</v>
      </c>
      <c r="AD226" s="24">
        <v>-1</v>
      </c>
      <c r="AE226" s="24">
        <v>-1</v>
      </c>
      <c r="AG226" s="24">
        <v>2</v>
      </c>
      <c r="AH226" s="24">
        <v>24</v>
      </c>
      <c r="AI226" s="24">
        <v>0</v>
      </c>
      <c r="AJ226" s="24">
        <v>0</v>
      </c>
      <c r="AK226" s="24">
        <v>1</v>
      </c>
      <c r="AL226" s="24">
        <v>5</v>
      </c>
      <c r="AM226" s="24">
        <v>0</v>
      </c>
      <c r="AN226" s="24">
        <v>0</v>
      </c>
      <c r="AO226" s="24">
        <v>0</v>
      </c>
      <c r="AP226" s="24">
        <v>1000</v>
      </c>
      <c r="AQ226" s="24">
        <v>80</v>
      </c>
      <c r="AR226" s="24">
        <v>0</v>
      </c>
      <c r="AS226" s="24">
        <v>0</v>
      </c>
      <c r="AT226" s="24">
        <v>0</v>
      </c>
      <c r="AU226" s="24">
        <v>2012</v>
      </c>
      <c r="AV226" s="24">
        <v>2013</v>
      </c>
      <c r="AW226" s="24">
        <v>0</v>
      </c>
      <c r="AX226" s="24">
        <v>6007</v>
      </c>
      <c r="AY226" s="24">
        <v>0</v>
      </c>
      <c r="BA226" s="24">
        <v>0</v>
      </c>
      <c r="BB226" s="24">
        <v>1000</v>
      </c>
      <c r="BC226" s="24">
        <v>1200</v>
      </c>
      <c r="BD226" s="24">
        <v>0</v>
      </c>
      <c r="BE226" s="24">
        <v>200</v>
      </c>
      <c r="BF226" s="24">
        <v>5</v>
      </c>
      <c r="BG226" s="25">
        <v>1</v>
      </c>
      <c r="BH226" s="24">
        <v>1</v>
      </c>
      <c r="BI226" s="24">
        <v>0</v>
      </c>
      <c r="BJ226" s="24">
        <v>0</v>
      </c>
      <c r="BK226" s="24">
        <v>0</v>
      </c>
      <c r="BL226" s="25">
        <v>126</v>
      </c>
      <c r="BM226" s="24">
        <v>0</v>
      </c>
      <c r="BO226" s="25">
        <v>8</v>
      </c>
      <c r="BP226" s="24">
        <v>20</v>
      </c>
      <c r="BQ226" s="24">
        <v>0</v>
      </c>
      <c r="BR226" s="24">
        <v>1</v>
      </c>
      <c r="BS226" s="24">
        <v>0</v>
      </c>
      <c r="BT226" s="24">
        <v>0</v>
      </c>
      <c r="BU226" s="24">
        <v>0</v>
      </c>
      <c r="BV226" s="24">
        <v>6</v>
      </c>
      <c r="BW226" s="24">
        <v>0</v>
      </c>
      <c r="BX226" s="24">
        <v>0</v>
      </c>
      <c r="BZ226" s="24">
        <v>-1</v>
      </c>
      <c r="CA226" s="24">
        <v>0</v>
      </c>
      <c r="CB226" s="24">
        <v>0</v>
      </c>
      <c r="CC226" s="24">
        <v>0</v>
      </c>
      <c r="CD226" s="24">
        <v>0</v>
      </c>
      <c r="CE226" s="24">
        <v>0</v>
      </c>
      <c r="CG226" s="24">
        <v>-1</v>
      </c>
      <c r="CH226" s="24">
        <v>0</v>
      </c>
      <c r="CI226" s="24">
        <v>0</v>
      </c>
      <c r="CJ226" s="24">
        <v>0</v>
      </c>
      <c r="CK226" s="24">
        <v>0</v>
      </c>
      <c r="CL226" s="24">
        <v>0</v>
      </c>
      <c r="CM226" s="24">
        <v>0</v>
      </c>
      <c r="CN226" s="24">
        <v>0</v>
      </c>
      <c r="CO226" s="24">
        <v>0</v>
      </c>
      <c r="CQ226" s="24">
        <v>0</v>
      </c>
      <c r="CR226" s="24">
        <v>0</v>
      </c>
      <c r="CS226" s="24">
        <v>0</v>
      </c>
      <c r="CT226" s="24">
        <v>0</v>
      </c>
      <c r="CV226" s="24">
        <v>100301</v>
      </c>
      <c r="CW226" s="24">
        <v>19</v>
      </c>
      <c r="CX226" s="24">
        <v>-1</v>
      </c>
      <c r="CY226" s="26">
        <v>1</v>
      </c>
      <c r="CZ226" s="24">
        <v>2</v>
      </c>
      <c r="DA226" s="24">
        <v>0</v>
      </c>
      <c r="DC226" s="24">
        <v>1</v>
      </c>
      <c r="DD226" s="24">
        <v>1</v>
      </c>
      <c r="DE226" s="24">
        <v>0</v>
      </c>
      <c r="DF226" s="24">
        <v>0</v>
      </c>
      <c r="DG226" s="24">
        <v>-1</v>
      </c>
      <c r="DI226" s="24">
        <v>0</v>
      </c>
      <c r="DJ226" s="24">
        <v>0</v>
      </c>
      <c r="DL226" s="24">
        <v>0</v>
      </c>
      <c r="DM226" s="24">
        <v>0</v>
      </c>
      <c r="DO226" s="24">
        <v>0</v>
      </c>
      <c r="DP226" s="24">
        <v>0</v>
      </c>
      <c r="DQ226" s="24">
        <v>0</v>
      </c>
      <c r="DR226" s="24">
        <v>0</v>
      </c>
      <c r="DS226" s="24">
        <v>0</v>
      </c>
      <c r="DT226" s="24">
        <v>0</v>
      </c>
      <c r="DV226" s="24">
        <v>0</v>
      </c>
      <c r="DW226" s="24">
        <v>0</v>
      </c>
      <c r="DX226" s="24">
        <v>0</v>
      </c>
      <c r="DY226" s="24">
        <v>0</v>
      </c>
      <c r="DZ226" s="24">
        <v>0</v>
      </c>
    </row>
    <row r="227" spans="1:130">
      <c r="A227" s="24" t="s">
        <v>142</v>
      </c>
      <c r="B227" s="24" t="s">
        <v>142</v>
      </c>
      <c r="C227" s="24" t="s">
        <v>142</v>
      </c>
      <c r="D227" s="24" t="s">
        <v>142</v>
      </c>
      <c r="E227" s="24">
        <v>15540</v>
      </c>
      <c r="F227" s="24" t="s">
        <v>929</v>
      </c>
      <c r="G227" s="24">
        <v>0</v>
      </c>
      <c r="H227" s="24">
        <v>515201</v>
      </c>
      <c r="I227" s="24" t="s">
        <v>433</v>
      </c>
      <c r="J227" s="24" t="s">
        <v>591</v>
      </c>
      <c r="K227" s="24" t="s">
        <v>819</v>
      </c>
      <c r="M227" s="24">
        <v>102</v>
      </c>
      <c r="N227" s="24">
        <v>0</v>
      </c>
      <c r="P227" s="25">
        <v>2</v>
      </c>
      <c r="Q227" s="25">
        <v>590848</v>
      </c>
      <c r="R227" s="24">
        <v>0</v>
      </c>
      <c r="S227" s="25">
        <v>0</v>
      </c>
      <c r="T227" s="24"/>
      <c r="U227" s="24">
        <v>0</v>
      </c>
      <c r="V227" s="25">
        <v>0</v>
      </c>
      <c r="W227" s="24">
        <v>0</v>
      </c>
      <c r="X227" s="24">
        <v>0</v>
      </c>
      <c r="Y227" s="24">
        <v>0</v>
      </c>
      <c r="Z227" s="24">
        <v>0</v>
      </c>
      <c r="AB227" s="24">
        <v>10001</v>
      </c>
      <c r="AC227" s="24">
        <v>-1</v>
      </c>
      <c r="AD227" s="24">
        <v>-1</v>
      </c>
      <c r="AE227" s="24">
        <v>-1</v>
      </c>
      <c r="AG227" s="24">
        <v>2</v>
      </c>
      <c r="AH227" s="24">
        <v>24</v>
      </c>
      <c r="AI227" s="24">
        <v>0</v>
      </c>
      <c r="AJ227" s="24">
        <v>0</v>
      </c>
      <c r="AK227" s="24">
        <v>1</v>
      </c>
      <c r="AL227" s="24">
        <v>5</v>
      </c>
      <c r="AM227" s="24">
        <v>0</v>
      </c>
      <c r="AN227" s="24">
        <v>0</v>
      </c>
      <c r="AO227" s="24">
        <v>0</v>
      </c>
      <c r="AP227" s="24">
        <v>1000</v>
      </c>
      <c r="AQ227" s="24">
        <v>80</v>
      </c>
      <c r="AR227" s="24">
        <v>0</v>
      </c>
      <c r="AS227" s="24">
        <v>0</v>
      </c>
      <c r="AT227" s="24">
        <v>0</v>
      </c>
      <c r="AU227" s="24">
        <v>2012</v>
      </c>
      <c r="AV227" s="24">
        <v>2013</v>
      </c>
      <c r="AW227" s="24">
        <v>0</v>
      </c>
      <c r="AX227" s="24">
        <v>6007</v>
      </c>
      <c r="AY227" s="24">
        <v>0</v>
      </c>
      <c r="BA227" s="24">
        <v>0</v>
      </c>
      <c r="BB227" s="24">
        <v>1000</v>
      </c>
      <c r="BC227" s="24">
        <v>1200</v>
      </c>
      <c r="BD227" s="24">
        <v>0</v>
      </c>
      <c r="BE227" s="24">
        <v>200</v>
      </c>
      <c r="BF227" s="24">
        <v>5</v>
      </c>
      <c r="BG227" s="25">
        <v>1</v>
      </c>
      <c r="BH227" s="24">
        <v>1</v>
      </c>
      <c r="BI227" s="24">
        <v>0</v>
      </c>
      <c r="BJ227" s="24">
        <v>0</v>
      </c>
      <c r="BK227" s="24">
        <v>0</v>
      </c>
      <c r="BL227" s="25">
        <v>126</v>
      </c>
      <c r="BM227" s="24">
        <v>0</v>
      </c>
      <c r="BO227" s="25">
        <v>8</v>
      </c>
      <c r="BP227" s="24">
        <v>20</v>
      </c>
      <c r="BQ227" s="24">
        <v>0</v>
      </c>
      <c r="BR227" s="24">
        <v>1</v>
      </c>
      <c r="BS227" s="24">
        <v>0</v>
      </c>
      <c r="BT227" s="24">
        <v>0</v>
      </c>
      <c r="BU227" s="24">
        <v>0</v>
      </c>
      <c r="BV227" s="24">
        <v>6</v>
      </c>
      <c r="BW227" s="24">
        <v>0</v>
      </c>
      <c r="BX227" s="24">
        <v>0</v>
      </c>
      <c r="BZ227" s="24">
        <v>-1</v>
      </c>
      <c r="CA227" s="24">
        <v>0</v>
      </c>
      <c r="CB227" s="24">
        <v>0</v>
      </c>
      <c r="CC227" s="24">
        <v>0</v>
      </c>
      <c r="CD227" s="24">
        <v>0</v>
      </c>
      <c r="CE227" s="24">
        <v>0</v>
      </c>
      <c r="CG227" s="24">
        <v>-1</v>
      </c>
      <c r="CH227" s="24">
        <v>0</v>
      </c>
      <c r="CI227" s="24">
        <v>0</v>
      </c>
      <c r="CJ227" s="24">
        <v>0</v>
      </c>
      <c r="CK227" s="24">
        <v>0</v>
      </c>
      <c r="CL227" s="24">
        <v>0</v>
      </c>
      <c r="CM227" s="24">
        <v>0</v>
      </c>
      <c r="CN227" s="24">
        <v>0</v>
      </c>
      <c r="CO227" s="24">
        <v>0</v>
      </c>
      <c r="CQ227" s="24">
        <v>0</v>
      </c>
      <c r="CR227" s="24">
        <v>0</v>
      </c>
      <c r="CS227" s="24">
        <v>0</v>
      </c>
      <c r="CT227" s="24">
        <v>0</v>
      </c>
      <c r="CV227" s="24">
        <v>100301</v>
      </c>
      <c r="CW227" s="24">
        <v>19</v>
      </c>
      <c r="CX227" s="24">
        <v>-1</v>
      </c>
      <c r="CY227" s="26">
        <v>1</v>
      </c>
      <c r="CZ227" s="24">
        <v>2</v>
      </c>
      <c r="DA227" s="24">
        <v>0</v>
      </c>
      <c r="DC227" s="24">
        <v>1</v>
      </c>
      <c r="DD227" s="24">
        <v>1</v>
      </c>
      <c r="DE227" s="24">
        <v>0</v>
      </c>
      <c r="DF227" s="24">
        <v>0</v>
      </c>
      <c r="DG227" s="24">
        <v>-1</v>
      </c>
      <c r="DI227" s="24">
        <v>0</v>
      </c>
      <c r="DJ227" s="24">
        <v>0</v>
      </c>
      <c r="DL227" s="24">
        <v>0</v>
      </c>
      <c r="DM227" s="24">
        <v>0</v>
      </c>
      <c r="DO227" s="24">
        <v>0</v>
      </c>
      <c r="DP227" s="24">
        <v>0</v>
      </c>
      <c r="DQ227" s="24">
        <v>0</v>
      </c>
      <c r="DR227" s="24">
        <v>0</v>
      </c>
      <c r="DS227" s="24">
        <v>0</v>
      </c>
      <c r="DT227" s="24">
        <v>0</v>
      </c>
      <c r="DV227" s="24">
        <v>0</v>
      </c>
      <c r="DW227" s="24">
        <v>0</v>
      </c>
      <c r="DX227" s="24">
        <v>0</v>
      </c>
      <c r="DY227" s="24">
        <v>0</v>
      </c>
      <c r="DZ227" s="24">
        <v>0</v>
      </c>
    </row>
    <row r="228" spans="1:130">
      <c r="E228" s="24">
        <v>15535</v>
      </c>
      <c r="F228" s="24" t="s">
        <v>897</v>
      </c>
      <c r="G228" s="24">
        <v>0</v>
      </c>
      <c r="H228" s="24">
        <v>515530</v>
      </c>
      <c r="I228" s="24" t="s">
        <v>897</v>
      </c>
      <c r="J228" s="24" t="s">
        <v>897</v>
      </c>
      <c r="K228" s="24" t="s">
        <v>814</v>
      </c>
      <c r="M228" s="24">
        <v>0</v>
      </c>
      <c r="N228" s="24">
        <v>0</v>
      </c>
      <c r="P228" s="25">
        <v>2</v>
      </c>
      <c r="Q228" s="25">
        <v>594176</v>
      </c>
      <c r="R228" s="24">
        <v>0</v>
      </c>
      <c r="S228" s="27">
        <v>2</v>
      </c>
      <c r="U228" s="24">
        <v>0</v>
      </c>
      <c r="V228" s="25">
        <v>0</v>
      </c>
      <c r="W228" s="24">
        <v>0</v>
      </c>
      <c r="X228" s="24">
        <v>0</v>
      </c>
      <c r="Y228" s="24">
        <v>0</v>
      </c>
      <c r="Z228" s="24">
        <v>1000</v>
      </c>
      <c r="AB228" s="24">
        <v>30001</v>
      </c>
      <c r="AC228" s="24">
        <v>-1</v>
      </c>
      <c r="AD228" s="24">
        <v>-1</v>
      </c>
      <c r="AE228" s="24">
        <v>-1</v>
      </c>
      <c r="AG228" s="24">
        <v>1</v>
      </c>
      <c r="AH228" s="24">
        <v>0</v>
      </c>
      <c r="AI228" s="24">
        <v>0</v>
      </c>
      <c r="AJ228" s="24">
        <v>0</v>
      </c>
      <c r="AK228" s="24">
        <v>0</v>
      </c>
      <c r="AL228" s="24">
        <v>0</v>
      </c>
      <c r="AM228" s="24">
        <v>0</v>
      </c>
      <c r="AN228" s="24">
        <v>0</v>
      </c>
      <c r="AO228" s="24">
        <v>0</v>
      </c>
      <c r="AP228" s="24">
        <v>0</v>
      </c>
      <c r="AQ228" s="24">
        <v>0</v>
      </c>
      <c r="AR228" s="24">
        <v>0</v>
      </c>
      <c r="AS228" s="24">
        <v>0</v>
      </c>
      <c r="AT228" s="24">
        <v>0</v>
      </c>
      <c r="AU228" s="24">
        <v>0</v>
      </c>
      <c r="AV228" s="24">
        <v>0</v>
      </c>
      <c r="AW228" s="24">
        <v>0</v>
      </c>
      <c r="AX228" s="24">
        <v>0</v>
      </c>
      <c r="AY228" s="24">
        <v>0</v>
      </c>
      <c r="BA228" s="24">
        <v>0</v>
      </c>
      <c r="BB228" s="24">
        <v>2000</v>
      </c>
      <c r="BC228" s="24">
        <v>2000</v>
      </c>
      <c r="BD228" s="24">
        <v>0</v>
      </c>
      <c r="BE228" s="24">
        <v>1000</v>
      </c>
      <c r="BF228" s="24">
        <v>1</v>
      </c>
      <c r="BG228" s="25">
        <v>1025</v>
      </c>
      <c r="BH228" s="24">
        <v>3</v>
      </c>
      <c r="BI228" s="24">
        <v>0</v>
      </c>
      <c r="BJ228" s="24">
        <v>0</v>
      </c>
      <c r="BK228" s="24">
        <v>0</v>
      </c>
      <c r="BL228" s="25">
        <v>126</v>
      </c>
      <c r="BM228" s="24">
        <v>0</v>
      </c>
      <c r="BO228" s="25">
        <v>16</v>
      </c>
      <c r="BP228" s="24">
        <v>5</v>
      </c>
      <c r="BQ228" s="24">
        <v>0</v>
      </c>
      <c r="BZ228" s="24">
        <v>15530</v>
      </c>
      <c r="CA228" s="24">
        <v>0</v>
      </c>
      <c r="CB228" s="24">
        <v>0</v>
      </c>
      <c r="CC228" s="24">
        <v>0</v>
      </c>
      <c r="CD228" s="24">
        <v>0</v>
      </c>
      <c r="CE228" s="24">
        <v>0</v>
      </c>
      <c r="CG228" s="24">
        <v>-1</v>
      </c>
      <c r="CV228" s="24" t="s">
        <v>639</v>
      </c>
      <c r="DC228" s="24">
        <v>1</v>
      </c>
      <c r="DD228" s="24">
        <v>1</v>
      </c>
      <c r="DE228" s="24">
        <v>0</v>
      </c>
      <c r="DF228" s="24">
        <v>0</v>
      </c>
      <c r="DG228" s="24">
        <v>-1</v>
      </c>
      <c r="DI228" s="24">
        <v>0</v>
      </c>
      <c r="DJ228" s="24">
        <v>0</v>
      </c>
      <c r="DL228" s="24">
        <v>0</v>
      </c>
      <c r="DM228" s="24">
        <v>0</v>
      </c>
      <c r="DO228" s="24">
        <v>0</v>
      </c>
      <c r="DP228" s="24">
        <v>0</v>
      </c>
      <c r="DQ228" s="24">
        <v>0</v>
      </c>
      <c r="DR228" s="24">
        <v>0</v>
      </c>
      <c r="DS228" s="24">
        <v>0</v>
      </c>
      <c r="DT228" s="24">
        <v>0</v>
      </c>
      <c r="DV228" s="24">
        <v>0</v>
      </c>
      <c r="DW228" s="24">
        <v>0</v>
      </c>
      <c r="DX228" s="24">
        <v>0</v>
      </c>
      <c r="DY228" s="24">
        <v>0</v>
      </c>
      <c r="DZ228" s="24">
        <v>0</v>
      </c>
    </row>
    <row r="229" spans="1:130">
      <c r="E229" s="24">
        <v>15531</v>
      </c>
      <c r="F229" s="24" t="s">
        <v>898</v>
      </c>
      <c r="G229" s="24">
        <v>0</v>
      </c>
      <c r="H229" s="24">
        <v>515531</v>
      </c>
      <c r="I229" s="24" t="s">
        <v>898</v>
      </c>
      <c r="J229" s="24" t="s">
        <v>898</v>
      </c>
      <c r="K229" s="24" t="s">
        <v>473</v>
      </c>
      <c r="M229" s="24">
        <v>0</v>
      </c>
      <c r="N229" s="24">
        <v>0</v>
      </c>
      <c r="P229" s="25">
        <v>12</v>
      </c>
      <c r="Q229" s="25">
        <v>0</v>
      </c>
      <c r="R229" s="24">
        <v>15530</v>
      </c>
      <c r="S229" s="27">
        <v>768</v>
      </c>
      <c r="U229" s="24">
        <v>11</v>
      </c>
      <c r="V229" s="25">
        <v>2050</v>
      </c>
      <c r="W229" s="24">
        <v>2</v>
      </c>
      <c r="X229" s="24">
        <v>15530</v>
      </c>
      <c r="Y229" s="24">
        <v>0</v>
      </c>
      <c r="Z229" s="24">
        <v>1000</v>
      </c>
      <c r="AB229" s="24">
        <v>30001</v>
      </c>
      <c r="AC229" s="24">
        <v>-1</v>
      </c>
      <c r="AD229" s="24">
        <v>-1</v>
      </c>
      <c r="AE229" s="24">
        <v>-1</v>
      </c>
      <c r="BO229" s="25">
        <v>4</v>
      </c>
      <c r="CV229" s="24" t="s">
        <v>639</v>
      </c>
      <c r="DC229" s="24">
        <v>1</v>
      </c>
      <c r="DD229" s="24">
        <v>1</v>
      </c>
      <c r="DE229" s="24">
        <v>0</v>
      </c>
      <c r="DF229" s="24">
        <v>0</v>
      </c>
      <c r="DG229" s="24">
        <v>-1</v>
      </c>
      <c r="DI229" s="24">
        <v>0</v>
      </c>
      <c r="DJ229" s="24">
        <v>0</v>
      </c>
      <c r="DL229" s="24">
        <v>0</v>
      </c>
      <c r="DM229" s="24">
        <v>0</v>
      </c>
      <c r="DO229" s="24">
        <v>0</v>
      </c>
      <c r="DP229" s="24">
        <v>0</v>
      </c>
      <c r="DQ229" s="24">
        <v>0</v>
      </c>
      <c r="DR229" s="24">
        <v>0</v>
      </c>
      <c r="DS229" s="24">
        <v>0</v>
      </c>
      <c r="DT229" s="24">
        <v>0</v>
      </c>
      <c r="DV229" s="24">
        <v>0</v>
      </c>
      <c r="DW229" s="24">
        <v>0</v>
      </c>
      <c r="DX229" s="24">
        <v>0</v>
      </c>
      <c r="DY229" s="24">
        <v>0</v>
      </c>
      <c r="DZ229" s="24">
        <v>0</v>
      </c>
    </row>
    <row r="230" spans="1:130">
      <c r="E230" s="24">
        <v>15532</v>
      </c>
      <c r="F230" s="24" t="s">
        <v>899</v>
      </c>
      <c r="G230" s="24">
        <v>0</v>
      </c>
      <c r="H230" s="24">
        <v>515532</v>
      </c>
      <c r="I230" s="24" t="s">
        <v>899</v>
      </c>
      <c r="J230" s="24" t="s">
        <v>899</v>
      </c>
      <c r="K230" s="24" t="s">
        <v>473</v>
      </c>
      <c r="M230" s="24">
        <v>0</v>
      </c>
      <c r="N230" s="24">
        <v>0</v>
      </c>
      <c r="P230" s="25">
        <v>12</v>
      </c>
      <c r="Q230" s="25">
        <v>0</v>
      </c>
      <c r="R230" s="24">
        <v>15530</v>
      </c>
      <c r="S230" s="27">
        <v>4352</v>
      </c>
      <c r="BO230" s="25" t="s">
        <v>639</v>
      </c>
      <c r="CV230" s="24" t="s">
        <v>639</v>
      </c>
      <c r="DC230" s="24">
        <v>1</v>
      </c>
      <c r="DD230" s="24">
        <v>1</v>
      </c>
      <c r="DE230" s="24">
        <v>0</v>
      </c>
      <c r="DF230" s="24">
        <v>0</v>
      </c>
      <c r="DG230" s="24">
        <v>-1</v>
      </c>
      <c r="DI230" s="24">
        <v>0</v>
      </c>
      <c r="DJ230" s="24">
        <v>0</v>
      </c>
      <c r="DL230" s="24">
        <v>0</v>
      </c>
      <c r="DM230" s="24">
        <v>0</v>
      </c>
      <c r="DO230" s="24">
        <v>0</v>
      </c>
      <c r="DP230" s="24">
        <v>0</v>
      </c>
      <c r="DQ230" s="24">
        <v>0</v>
      </c>
      <c r="DR230" s="24">
        <v>0</v>
      </c>
      <c r="DS230" s="24">
        <v>0</v>
      </c>
      <c r="DT230" s="24">
        <v>0</v>
      </c>
      <c r="DV230" s="24">
        <v>0</v>
      </c>
      <c r="DW230" s="24">
        <v>0</v>
      </c>
      <c r="DX230" s="24">
        <v>0</v>
      </c>
      <c r="DY230" s="24">
        <v>0</v>
      </c>
      <c r="DZ230" s="24">
        <v>0</v>
      </c>
    </row>
    <row r="231" spans="1:130">
      <c r="E231" s="24">
        <v>15546</v>
      </c>
      <c r="F231" s="24" t="s">
        <v>900</v>
      </c>
      <c r="G231" s="24">
        <v>0</v>
      </c>
      <c r="H231" s="24">
        <v>515540</v>
      </c>
      <c r="I231" s="24" t="s">
        <v>900</v>
      </c>
      <c r="J231" s="24" t="s">
        <v>900</v>
      </c>
      <c r="K231" s="24" t="s">
        <v>473</v>
      </c>
      <c r="M231" s="24">
        <v>0</v>
      </c>
      <c r="N231" s="24">
        <v>0</v>
      </c>
      <c r="BO231" s="25" t="s">
        <v>639</v>
      </c>
      <c r="CV231" s="24" t="s">
        <v>639</v>
      </c>
      <c r="DC231" s="24">
        <v>1</v>
      </c>
      <c r="DD231" s="24">
        <v>1</v>
      </c>
      <c r="DE231" s="24">
        <v>0</v>
      </c>
      <c r="DF231" s="24">
        <v>0</v>
      </c>
      <c r="DG231" s="24">
        <v>-1</v>
      </c>
      <c r="DI231" s="24">
        <v>0</v>
      </c>
      <c r="DJ231" s="24">
        <v>0</v>
      </c>
      <c r="DL231" s="24">
        <v>0</v>
      </c>
      <c r="DM231" s="24">
        <v>0</v>
      </c>
      <c r="DO231" s="24">
        <v>0</v>
      </c>
      <c r="DP231" s="24">
        <v>0</v>
      </c>
      <c r="DQ231" s="24">
        <v>0</v>
      </c>
      <c r="DR231" s="24">
        <v>0</v>
      </c>
      <c r="DS231" s="24">
        <v>0</v>
      </c>
      <c r="DT231" s="24">
        <v>0</v>
      </c>
      <c r="DV231" s="24">
        <v>0</v>
      </c>
      <c r="DW231" s="24">
        <v>0</v>
      </c>
      <c r="DX231" s="24">
        <v>0</v>
      </c>
      <c r="DY231" s="24">
        <v>0</v>
      </c>
      <c r="DZ231" s="24">
        <v>0</v>
      </c>
    </row>
    <row r="232" spans="1:130">
      <c r="BO232" s="25" t="s">
        <v>639</v>
      </c>
    </row>
    <row r="233" spans="1:130">
      <c r="G233" s="24" t="s">
        <v>639</v>
      </c>
      <c r="K233" s="24" t="s">
        <v>639</v>
      </c>
      <c r="BO233" s="25" t="s">
        <v>639</v>
      </c>
      <c r="CV233" s="24" t="s">
        <v>639</v>
      </c>
      <c r="DC233" s="24" t="s">
        <v>639</v>
      </c>
      <c r="DD233" s="24" t="s">
        <v>639</v>
      </c>
      <c r="DE233" s="24" t="s">
        <v>639</v>
      </c>
      <c r="DF233" s="24" t="s">
        <v>639</v>
      </c>
      <c r="DG233" s="24" t="s">
        <v>639</v>
      </c>
      <c r="DI233" s="24" t="s">
        <v>639</v>
      </c>
      <c r="DJ233" s="24" t="s">
        <v>639</v>
      </c>
      <c r="DL233" s="24" t="s">
        <v>639</v>
      </c>
      <c r="DM233" s="24" t="s">
        <v>639</v>
      </c>
      <c r="DO233" s="24" t="s">
        <v>639</v>
      </c>
      <c r="DP233" s="24" t="s">
        <v>639</v>
      </c>
      <c r="DQ233" s="24" t="s">
        <v>639</v>
      </c>
      <c r="DR233" s="24" t="s">
        <v>639</v>
      </c>
      <c r="DS233" s="24" t="s">
        <v>639</v>
      </c>
      <c r="DT233" s="24" t="s">
        <v>639</v>
      </c>
      <c r="DV233" s="24" t="s">
        <v>639</v>
      </c>
      <c r="DW233" s="24" t="s">
        <v>639</v>
      </c>
      <c r="DX233" s="24" t="s">
        <v>639</v>
      </c>
      <c r="DY233" s="24" t="s">
        <v>639</v>
      </c>
      <c r="DZ233" s="24" t="s">
        <v>639</v>
      </c>
    </row>
    <row r="234" spans="1:130">
      <c r="A234" s="24" t="s">
        <v>142</v>
      </c>
      <c r="B234" s="24" t="s">
        <v>142</v>
      </c>
      <c r="C234" s="24" t="s">
        <v>142</v>
      </c>
      <c r="D234" s="24" t="s">
        <v>142</v>
      </c>
      <c r="E234" s="24">
        <v>15600</v>
      </c>
      <c r="F234" s="24" t="s">
        <v>930</v>
      </c>
      <c r="G234" s="24">
        <v>0</v>
      </c>
      <c r="H234" s="24">
        <v>515600</v>
      </c>
      <c r="I234" s="24" t="s">
        <v>930</v>
      </c>
      <c r="J234" s="24" t="s">
        <v>930</v>
      </c>
      <c r="K234" s="24" t="s">
        <v>473</v>
      </c>
      <c r="M234" s="24">
        <v>0</v>
      </c>
      <c r="N234" s="24">
        <v>0</v>
      </c>
      <c r="P234" s="25">
        <v>4</v>
      </c>
      <c r="Q234" s="25">
        <v>0</v>
      </c>
      <c r="R234" s="24">
        <v>0</v>
      </c>
      <c r="S234" s="25">
        <v>0</v>
      </c>
      <c r="T234" s="24"/>
      <c r="U234" s="24">
        <v>0</v>
      </c>
      <c r="V234" s="25">
        <v>0</v>
      </c>
      <c r="W234" s="24">
        <v>0</v>
      </c>
      <c r="X234" s="24">
        <v>0</v>
      </c>
      <c r="Y234" s="24">
        <v>0</v>
      </c>
      <c r="Z234" s="24">
        <v>0</v>
      </c>
      <c r="AB234" s="24">
        <v>10001</v>
      </c>
      <c r="AC234" s="24">
        <v>-1</v>
      </c>
      <c r="AD234" s="24">
        <v>-1</v>
      </c>
      <c r="AE234" s="24">
        <v>-1</v>
      </c>
      <c r="AG234" s="24">
        <v>1</v>
      </c>
      <c r="AH234" s="24">
        <v>0</v>
      </c>
      <c r="AI234" s="24">
        <v>0</v>
      </c>
      <c r="AJ234" s="24">
        <v>0</v>
      </c>
      <c r="AK234" s="24">
        <v>0</v>
      </c>
      <c r="AL234" s="24">
        <v>0</v>
      </c>
      <c r="AM234" s="24">
        <v>0</v>
      </c>
      <c r="AN234" s="24">
        <v>0</v>
      </c>
      <c r="AO234" s="24">
        <v>0</v>
      </c>
      <c r="AP234" s="24">
        <v>0</v>
      </c>
      <c r="AQ234" s="24">
        <v>0</v>
      </c>
      <c r="AR234" s="24">
        <v>0</v>
      </c>
      <c r="AS234" s="24">
        <v>0</v>
      </c>
      <c r="AT234" s="24">
        <v>0</v>
      </c>
      <c r="AU234" s="24">
        <v>0</v>
      </c>
      <c r="AV234" s="24">
        <v>0</v>
      </c>
      <c r="AW234" s="24">
        <v>0</v>
      </c>
      <c r="AX234" s="24">
        <v>0</v>
      </c>
      <c r="AY234" s="24">
        <v>0</v>
      </c>
      <c r="BA234" s="24">
        <v>0</v>
      </c>
      <c r="BB234" s="24">
        <v>0</v>
      </c>
      <c r="BC234" s="24">
        <v>0</v>
      </c>
      <c r="BD234" s="24">
        <v>0</v>
      </c>
      <c r="BE234" s="24">
        <v>0</v>
      </c>
      <c r="BF234" s="24">
        <v>0</v>
      </c>
      <c r="BG234" s="25">
        <v>256</v>
      </c>
      <c r="BH234" s="24">
        <v>4</v>
      </c>
      <c r="BI234" s="24">
        <v>15600</v>
      </c>
      <c r="BJ234" s="24">
        <v>1</v>
      </c>
      <c r="BK234" s="24">
        <v>0</v>
      </c>
      <c r="BL234" s="25">
        <v>126</v>
      </c>
      <c r="BM234" s="24">
        <v>0</v>
      </c>
      <c r="BO234" s="25">
        <v>1</v>
      </c>
      <c r="BP234" s="24">
        <v>0</v>
      </c>
      <c r="BQ234" s="24">
        <v>0</v>
      </c>
      <c r="BR234" s="24">
        <v>1</v>
      </c>
      <c r="BS234" s="24">
        <v>0</v>
      </c>
      <c r="BT234" s="24">
        <v>0</v>
      </c>
      <c r="BU234" s="24">
        <v>0</v>
      </c>
      <c r="BV234" s="24">
        <v>0</v>
      </c>
      <c r="BW234" s="24">
        <v>0</v>
      </c>
      <c r="BX234" s="24">
        <v>1</v>
      </c>
      <c r="BZ234" s="24">
        <v>-1</v>
      </c>
      <c r="CA234" s="24">
        <v>0</v>
      </c>
      <c r="CB234" s="24">
        <v>0</v>
      </c>
      <c r="CC234" s="24">
        <v>0</v>
      </c>
      <c r="CD234" s="24">
        <v>0</v>
      </c>
      <c r="CE234" s="24">
        <v>0</v>
      </c>
      <c r="CG234" s="24">
        <v>-1</v>
      </c>
      <c r="CH234" s="24">
        <v>0</v>
      </c>
      <c r="CI234" s="24">
        <v>0</v>
      </c>
      <c r="CJ234" s="24">
        <v>0</v>
      </c>
      <c r="CK234" s="24">
        <v>0</v>
      </c>
      <c r="CL234" s="24">
        <v>0</v>
      </c>
      <c r="CM234" s="24">
        <v>0</v>
      </c>
      <c r="CN234" s="24">
        <v>0</v>
      </c>
      <c r="CO234" s="24">
        <v>0</v>
      </c>
      <c r="CQ234" s="24">
        <v>0</v>
      </c>
      <c r="CR234" s="24">
        <v>0</v>
      </c>
      <c r="CS234" s="24">
        <v>0</v>
      </c>
      <c r="CT234" s="24">
        <v>0</v>
      </c>
      <c r="CV234" s="24">
        <v>0</v>
      </c>
      <c r="CW234" s="24">
        <v>0</v>
      </c>
      <c r="CX234" s="24">
        <v>-1</v>
      </c>
      <c r="CY234" s="26">
        <v>0</v>
      </c>
      <c r="CZ234" s="24">
        <v>0</v>
      </c>
      <c r="DA234" s="24">
        <v>0</v>
      </c>
      <c r="DC234" s="24">
        <v>1</v>
      </c>
      <c r="DD234" s="24">
        <v>1</v>
      </c>
      <c r="DE234" s="24">
        <v>0</v>
      </c>
      <c r="DF234" s="24">
        <v>0</v>
      </c>
      <c r="DG234" s="24">
        <v>-1</v>
      </c>
      <c r="DI234" s="24">
        <v>0</v>
      </c>
      <c r="DJ234" s="24">
        <v>0</v>
      </c>
      <c r="DL234" s="24">
        <v>0</v>
      </c>
      <c r="DM234" s="24">
        <v>0</v>
      </c>
      <c r="DO234" s="24">
        <v>0</v>
      </c>
      <c r="DP234" s="24">
        <v>0</v>
      </c>
      <c r="DQ234" s="24">
        <v>0</v>
      </c>
      <c r="DR234" s="24">
        <v>0</v>
      </c>
      <c r="DS234" s="24">
        <v>0</v>
      </c>
      <c r="DT234" s="24">
        <v>0</v>
      </c>
      <c r="DV234" s="24">
        <v>0</v>
      </c>
      <c r="DW234" s="24">
        <v>0</v>
      </c>
      <c r="DX234" s="24">
        <v>0</v>
      </c>
      <c r="DY234" s="24">
        <v>0</v>
      </c>
      <c r="DZ234" s="24">
        <v>0</v>
      </c>
    </row>
    <row r="235" spans="1:130">
      <c r="A235" s="24" t="s">
        <v>142</v>
      </c>
      <c r="B235" s="24" t="s">
        <v>142</v>
      </c>
      <c r="C235" s="24" t="s">
        <v>142</v>
      </c>
      <c r="D235" s="24" t="s">
        <v>142</v>
      </c>
      <c r="E235" s="24">
        <v>15601</v>
      </c>
      <c r="F235" s="24" t="s">
        <v>931</v>
      </c>
      <c r="G235" s="24">
        <v>0</v>
      </c>
      <c r="H235" s="24">
        <v>515601</v>
      </c>
      <c r="I235" s="24" t="s">
        <v>931</v>
      </c>
      <c r="J235" s="24" t="s">
        <v>931</v>
      </c>
      <c r="K235" s="24" t="s">
        <v>815</v>
      </c>
      <c r="M235" s="24">
        <v>102</v>
      </c>
      <c r="N235" s="24">
        <v>0</v>
      </c>
      <c r="P235" s="25">
        <v>2</v>
      </c>
      <c r="Q235" s="25">
        <v>524288</v>
      </c>
      <c r="R235" s="24">
        <v>0</v>
      </c>
      <c r="S235" s="25">
        <v>3</v>
      </c>
      <c r="T235" s="24"/>
      <c r="U235" s="24">
        <v>0</v>
      </c>
      <c r="V235" s="25">
        <v>0</v>
      </c>
      <c r="W235" s="24">
        <v>0</v>
      </c>
      <c r="X235" s="24">
        <v>0</v>
      </c>
      <c r="Y235" s="24">
        <v>0</v>
      </c>
      <c r="Z235" s="24">
        <v>0</v>
      </c>
      <c r="AB235" s="24">
        <v>10001</v>
      </c>
      <c r="AC235" s="24">
        <v>-1</v>
      </c>
      <c r="AD235" s="24">
        <v>-1</v>
      </c>
      <c r="AE235" s="24">
        <v>-1</v>
      </c>
      <c r="AG235" s="24">
        <v>1</v>
      </c>
      <c r="AH235" s="24">
        <v>0</v>
      </c>
      <c r="AI235" s="24">
        <v>0</v>
      </c>
      <c r="AJ235" s="24">
        <v>0</v>
      </c>
      <c r="AK235" s="24">
        <v>0</v>
      </c>
      <c r="AL235" s="24">
        <v>0</v>
      </c>
      <c r="AM235" s="24">
        <v>0</v>
      </c>
      <c r="AN235" s="24">
        <v>0</v>
      </c>
      <c r="AO235" s="24">
        <v>0</v>
      </c>
      <c r="AP235" s="24">
        <v>0</v>
      </c>
      <c r="AQ235" s="24">
        <v>0</v>
      </c>
      <c r="AR235" s="24">
        <v>0</v>
      </c>
      <c r="AS235" s="24">
        <v>0</v>
      </c>
      <c r="AT235" s="24">
        <v>0</v>
      </c>
      <c r="AU235" s="24">
        <v>0</v>
      </c>
      <c r="AV235" s="24">
        <v>0</v>
      </c>
      <c r="AW235" s="24">
        <v>0</v>
      </c>
      <c r="AX235" s="24">
        <v>0</v>
      </c>
      <c r="AY235" s="24">
        <v>0</v>
      </c>
      <c r="BA235" s="24">
        <v>0</v>
      </c>
      <c r="BB235" s="24">
        <v>1200</v>
      </c>
      <c r="BC235" s="24">
        <v>1867</v>
      </c>
      <c r="BD235" s="24">
        <v>0</v>
      </c>
      <c r="BE235" s="24">
        <v>746</v>
      </c>
      <c r="BF235" s="24">
        <v>1</v>
      </c>
      <c r="BG235" s="25">
        <v>1</v>
      </c>
      <c r="BH235" s="24">
        <v>1</v>
      </c>
      <c r="BI235" s="24">
        <v>0</v>
      </c>
      <c r="BJ235" s="24">
        <v>0</v>
      </c>
      <c r="BK235" s="24">
        <v>0</v>
      </c>
      <c r="BL235" s="25">
        <v>126</v>
      </c>
      <c r="BM235" s="24">
        <v>0</v>
      </c>
      <c r="BO235" s="25">
        <v>4</v>
      </c>
      <c r="BP235" s="24">
        <v>20</v>
      </c>
      <c r="BQ235" s="24">
        <v>0</v>
      </c>
      <c r="BR235" s="24">
        <v>3</v>
      </c>
      <c r="BS235" s="24">
        <v>10</v>
      </c>
      <c r="BT235" s="24">
        <v>200</v>
      </c>
      <c r="BU235" s="24">
        <v>80</v>
      </c>
      <c r="BV235" s="24">
        <v>6</v>
      </c>
      <c r="BW235" s="24">
        <v>0</v>
      </c>
      <c r="BX235" s="24">
        <v>1</v>
      </c>
      <c r="BZ235" s="24">
        <v>-1</v>
      </c>
      <c r="CA235" s="24">
        <v>0</v>
      </c>
      <c r="CB235" s="24">
        <v>0</v>
      </c>
      <c r="CC235" s="24">
        <v>0</v>
      </c>
      <c r="CD235" s="24">
        <v>0</v>
      </c>
      <c r="CE235" s="24">
        <v>0</v>
      </c>
      <c r="CG235" s="24">
        <v>-1</v>
      </c>
      <c r="CH235" s="24">
        <v>0</v>
      </c>
      <c r="CI235" s="24">
        <v>0</v>
      </c>
      <c r="CJ235" s="24">
        <v>0</v>
      </c>
      <c r="CK235" s="24">
        <v>0</v>
      </c>
      <c r="CL235" s="24">
        <v>0</v>
      </c>
      <c r="CM235" s="24">
        <v>0</v>
      </c>
      <c r="CN235" s="24">
        <v>0</v>
      </c>
      <c r="CO235" s="24">
        <v>0</v>
      </c>
      <c r="CQ235" s="24">
        <v>0</v>
      </c>
      <c r="CR235" s="24">
        <v>0</v>
      </c>
      <c r="CS235" s="24">
        <v>0</v>
      </c>
      <c r="CT235" s="24">
        <v>0</v>
      </c>
      <c r="CV235" s="24">
        <v>110701</v>
      </c>
      <c r="CW235" s="24">
        <v>16</v>
      </c>
      <c r="CX235" s="24">
        <v>1001006</v>
      </c>
      <c r="CY235" s="26">
        <v>3</v>
      </c>
      <c r="CZ235" s="24">
        <v>1</v>
      </c>
      <c r="DA235" s="24">
        <v>0</v>
      </c>
      <c r="DC235" s="24">
        <v>1</v>
      </c>
      <c r="DD235" s="24">
        <v>1</v>
      </c>
      <c r="DE235" s="24">
        <v>0</v>
      </c>
      <c r="DF235" s="24">
        <v>0</v>
      </c>
      <c r="DG235" s="24">
        <v>-1</v>
      </c>
      <c r="DI235" s="24">
        <v>0</v>
      </c>
      <c r="DJ235" s="24">
        <v>0</v>
      </c>
      <c r="DL235" s="24">
        <v>0</v>
      </c>
      <c r="DM235" s="24">
        <v>0</v>
      </c>
      <c r="DO235" s="24">
        <v>0</v>
      </c>
      <c r="DP235" s="24">
        <v>0</v>
      </c>
      <c r="DQ235" s="24">
        <v>0</v>
      </c>
      <c r="DR235" s="24">
        <v>0</v>
      </c>
      <c r="DS235" s="24">
        <v>0</v>
      </c>
      <c r="DT235" s="24">
        <v>0</v>
      </c>
      <c r="DV235" s="24">
        <v>0</v>
      </c>
      <c r="DW235" s="24">
        <v>0</v>
      </c>
      <c r="DX235" s="24">
        <v>0</v>
      </c>
      <c r="DY235" s="24">
        <v>0</v>
      </c>
      <c r="DZ235" s="24">
        <v>0</v>
      </c>
    </row>
    <row r="236" spans="1:130">
      <c r="A236" s="24" t="s">
        <v>142</v>
      </c>
      <c r="B236" s="24" t="s">
        <v>142</v>
      </c>
      <c r="C236" s="24" t="s">
        <v>142</v>
      </c>
      <c r="D236" s="24" t="s">
        <v>142</v>
      </c>
      <c r="E236" s="24">
        <v>15610</v>
      </c>
      <c r="F236" s="24" t="s">
        <v>932</v>
      </c>
      <c r="G236" s="24">
        <v>0</v>
      </c>
      <c r="H236" s="24">
        <v>515610</v>
      </c>
      <c r="I236" s="24" t="s">
        <v>932</v>
      </c>
      <c r="J236" s="24" t="s">
        <v>932</v>
      </c>
      <c r="K236" s="24" t="s">
        <v>816</v>
      </c>
      <c r="M236" s="24">
        <v>102</v>
      </c>
      <c r="N236" s="24">
        <v>0</v>
      </c>
      <c r="P236" s="25">
        <v>2</v>
      </c>
      <c r="Q236" s="25">
        <v>524544</v>
      </c>
      <c r="R236" s="24">
        <v>0</v>
      </c>
      <c r="S236" s="25">
        <v>6</v>
      </c>
      <c r="T236" s="24"/>
      <c r="U236" s="24">
        <v>0</v>
      </c>
      <c r="V236" s="25">
        <v>0</v>
      </c>
      <c r="W236" s="24">
        <v>0</v>
      </c>
      <c r="X236" s="24">
        <v>0</v>
      </c>
      <c r="Y236" s="24">
        <v>0</v>
      </c>
      <c r="Z236" s="24">
        <v>0</v>
      </c>
      <c r="AB236" s="24">
        <v>10001</v>
      </c>
      <c r="AC236" s="24">
        <v>-1</v>
      </c>
      <c r="AD236" s="24">
        <v>-1</v>
      </c>
      <c r="AE236" s="24">
        <v>-1</v>
      </c>
      <c r="AG236" s="24">
        <v>1</v>
      </c>
      <c r="AH236" s="24">
        <v>0</v>
      </c>
      <c r="AI236" s="24">
        <v>0</v>
      </c>
      <c r="AJ236" s="24">
        <v>0</v>
      </c>
      <c r="AK236" s="24">
        <v>0</v>
      </c>
      <c r="AL236" s="24">
        <v>0</v>
      </c>
      <c r="AM236" s="24">
        <v>0</v>
      </c>
      <c r="AN236" s="24">
        <v>0</v>
      </c>
      <c r="AO236" s="24">
        <v>0</v>
      </c>
      <c r="AP236" s="24">
        <v>0</v>
      </c>
      <c r="AQ236" s="24">
        <v>0</v>
      </c>
      <c r="AR236" s="24">
        <v>0</v>
      </c>
      <c r="AS236" s="24">
        <v>0</v>
      </c>
      <c r="AT236" s="24">
        <v>0</v>
      </c>
      <c r="AU236" s="24">
        <v>0</v>
      </c>
      <c r="AV236" s="24">
        <v>0</v>
      </c>
      <c r="AW236" s="24">
        <v>0</v>
      </c>
      <c r="AX236" s="24">
        <v>0</v>
      </c>
      <c r="AY236" s="24">
        <v>0</v>
      </c>
      <c r="BA236" s="24">
        <v>0</v>
      </c>
      <c r="BB236" s="24">
        <v>1500</v>
      </c>
      <c r="BC236" s="24">
        <v>2067</v>
      </c>
      <c r="BD236" s="24">
        <v>400</v>
      </c>
      <c r="BE236" s="24">
        <v>130</v>
      </c>
      <c r="BF236" s="24">
        <v>3</v>
      </c>
      <c r="BG236" s="25">
        <v>1</v>
      </c>
      <c r="BH236" s="24">
        <v>1</v>
      </c>
      <c r="BI236" s="24">
        <v>0</v>
      </c>
      <c r="BJ236" s="24">
        <v>0</v>
      </c>
      <c r="BK236" s="24">
        <v>0</v>
      </c>
      <c r="BL236" s="25">
        <v>126</v>
      </c>
      <c r="BM236" s="24">
        <v>0</v>
      </c>
      <c r="BO236" s="25">
        <v>4</v>
      </c>
      <c r="BP236" s="24">
        <v>20</v>
      </c>
      <c r="BQ236" s="24">
        <v>0</v>
      </c>
      <c r="BR236" s="24">
        <v>3</v>
      </c>
      <c r="BS236" s="24">
        <v>10</v>
      </c>
      <c r="BT236" s="24">
        <v>200</v>
      </c>
      <c r="BU236" s="24">
        <v>80</v>
      </c>
      <c r="BV236" s="24">
        <v>6</v>
      </c>
      <c r="BW236" s="24">
        <v>0</v>
      </c>
      <c r="BX236" s="24">
        <v>1</v>
      </c>
      <c r="BZ236" s="24">
        <v>15610</v>
      </c>
      <c r="CA236" s="24">
        <v>0</v>
      </c>
      <c r="CB236" s="24">
        <v>0</v>
      </c>
      <c r="CC236" s="24">
        <v>0</v>
      </c>
      <c r="CD236" s="24">
        <v>0</v>
      </c>
      <c r="CE236" s="24">
        <v>0</v>
      </c>
      <c r="CG236" s="24">
        <v>-1</v>
      </c>
      <c r="CH236" s="24">
        <v>0</v>
      </c>
      <c r="CI236" s="24">
        <v>0</v>
      </c>
      <c r="CJ236" s="24">
        <v>0</v>
      </c>
      <c r="CK236" s="24">
        <v>0</v>
      </c>
      <c r="CL236" s="24">
        <v>0</v>
      </c>
      <c r="CM236" s="24">
        <v>0</v>
      </c>
      <c r="CN236" s="24">
        <v>0</v>
      </c>
      <c r="CO236" s="24">
        <v>0</v>
      </c>
      <c r="CQ236" s="24">
        <v>0</v>
      </c>
      <c r="CR236" s="24">
        <v>0</v>
      </c>
      <c r="CS236" s="24">
        <v>0</v>
      </c>
      <c r="CT236" s="24">
        <v>0</v>
      </c>
      <c r="CV236" s="24">
        <v>110702</v>
      </c>
      <c r="CW236" s="24">
        <v>16</v>
      </c>
      <c r="CX236" s="24">
        <v>1001006</v>
      </c>
      <c r="CY236" s="26">
        <v>1</v>
      </c>
      <c r="CZ236" s="24">
        <v>1</v>
      </c>
      <c r="DA236" s="24">
        <v>0</v>
      </c>
      <c r="DC236" s="24">
        <v>2</v>
      </c>
      <c r="DD236" s="24">
        <v>1</v>
      </c>
      <c r="DE236" s="24">
        <v>0</v>
      </c>
      <c r="DF236" s="24">
        <v>0</v>
      </c>
      <c r="DG236" s="24">
        <v>-1</v>
      </c>
      <c r="DI236" s="24">
        <v>0</v>
      </c>
      <c r="DJ236" s="24">
        <v>0</v>
      </c>
      <c r="DL236" s="24">
        <v>0</v>
      </c>
      <c r="DM236" s="24">
        <v>0</v>
      </c>
      <c r="DO236" s="24">
        <v>0</v>
      </c>
      <c r="DP236" s="24">
        <v>0</v>
      </c>
      <c r="DQ236" s="24">
        <v>0</v>
      </c>
      <c r="DR236" s="24">
        <v>0</v>
      </c>
      <c r="DS236" s="24">
        <v>0</v>
      </c>
      <c r="DT236" s="24">
        <v>0</v>
      </c>
      <c r="DV236" s="24">
        <v>0</v>
      </c>
      <c r="DW236" s="24">
        <v>0</v>
      </c>
      <c r="DX236" s="24">
        <v>0</v>
      </c>
      <c r="DY236" s="24">
        <v>0</v>
      </c>
      <c r="DZ236" s="24">
        <v>0</v>
      </c>
    </row>
    <row r="237" spans="1:130">
      <c r="A237" s="24" t="s">
        <v>142</v>
      </c>
      <c r="B237" s="24" t="s">
        <v>142</v>
      </c>
      <c r="C237" s="24" t="s">
        <v>142</v>
      </c>
      <c r="D237" s="24" t="s">
        <v>142</v>
      </c>
      <c r="E237" s="24">
        <v>15611</v>
      </c>
      <c r="F237" s="24" t="s">
        <v>933</v>
      </c>
      <c r="G237" s="24">
        <v>0</v>
      </c>
      <c r="H237" s="24">
        <v>515611</v>
      </c>
      <c r="I237" s="24" t="s">
        <v>934</v>
      </c>
      <c r="J237" s="24" t="s">
        <v>934</v>
      </c>
      <c r="K237" s="24" t="s">
        <v>473</v>
      </c>
      <c r="M237" s="24">
        <v>102</v>
      </c>
      <c r="N237" s="24">
        <v>0</v>
      </c>
      <c r="P237" s="25">
        <v>8</v>
      </c>
      <c r="Q237" s="25">
        <v>0</v>
      </c>
      <c r="R237" s="24">
        <v>15610</v>
      </c>
      <c r="S237" s="25">
        <v>4356</v>
      </c>
      <c r="T237" s="24"/>
      <c r="U237" s="24">
        <v>1</v>
      </c>
      <c r="V237" s="25">
        <v>2050</v>
      </c>
      <c r="W237" s="24">
        <v>1</v>
      </c>
      <c r="X237" s="24">
        <v>15610</v>
      </c>
      <c r="Y237" s="24">
        <v>0</v>
      </c>
      <c r="Z237" s="24">
        <v>1000</v>
      </c>
      <c r="AB237" s="24">
        <v>30001</v>
      </c>
      <c r="AC237" s="24">
        <v>-1</v>
      </c>
      <c r="AD237" s="24">
        <v>-1</v>
      </c>
      <c r="AE237" s="24">
        <v>-1</v>
      </c>
      <c r="AG237" s="24">
        <v>1</v>
      </c>
      <c r="AH237" s="24">
        <v>0</v>
      </c>
      <c r="AI237" s="24">
        <v>0</v>
      </c>
      <c r="AJ237" s="24">
        <v>0</v>
      </c>
      <c r="AK237" s="24">
        <v>0</v>
      </c>
      <c r="AL237" s="24">
        <v>0</v>
      </c>
      <c r="AM237" s="24">
        <v>0</v>
      </c>
      <c r="AN237" s="24">
        <v>0</v>
      </c>
      <c r="AO237" s="24">
        <v>0</v>
      </c>
      <c r="AP237" s="24">
        <v>0</v>
      </c>
      <c r="AQ237" s="24">
        <v>0</v>
      </c>
      <c r="AR237" s="24">
        <v>0</v>
      </c>
      <c r="AS237" s="24">
        <v>0</v>
      </c>
      <c r="AT237" s="24">
        <v>0</v>
      </c>
      <c r="AU237" s="24">
        <v>0</v>
      </c>
      <c r="AV237" s="24">
        <v>0</v>
      </c>
      <c r="AW237" s="24">
        <v>0</v>
      </c>
      <c r="AX237" s="24">
        <v>0</v>
      </c>
      <c r="AY237" s="24">
        <v>0</v>
      </c>
      <c r="BA237" s="24">
        <v>0</v>
      </c>
      <c r="BB237" s="24">
        <v>0</v>
      </c>
      <c r="BC237" s="24">
        <v>0</v>
      </c>
      <c r="BD237" s="24">
        <v>0</v>
      </c>
      <c r="BE237" s="24">
        <v>1000</v>
      </c>
      <c r="BF237" s="24">
        <v>1</v>
      </c>
      <c r="BG237" s="25">
        <v>17</v>
      </c>
      <c r="BH237" s="24">
        <v>1</v>
      </c>
      <c r="BI237" s="24">
        <v>0</v>
      </c>
      <c r="BJ237" s="24">
        <v>0</v>
      </c>
      <c r="BK237" s="24">
        <v>0</v>
      </c>
      <c r="BL237" s="25">
        <v>126</v>
      </c>
      <c r="BM237" s="24">
        <v>0</v>
      </c>
      <c r="BO237" s="25">
        <v>4</v>
      </c>
      <c r="BP237" s="24">
        <v>10</v>
      </c>
      <c r="BQ237" s="24">
        <v>0</v>
      </c>
      <c r="BR237" s="24">
        <v>3</v>
      </c>
      <c r="BS237" s="24">
        <v>10</v>
      </c>
      <c r="BT237" s="24">
        <v>100</v>
      </c>
      <c r="BU237" s="24">
        <v>80</v>
      </c>
      <c r="BV237" s="24">
        <v>6</v>
      </c>
      <c r="BW237" s="24">
        <v>0</v>
      </c>
      <c r="BX237" s="24">
        <v>1</v>
      </c>
      <c r="BZ237" s="24">
        <v>-1</v>
      </c>
      <c r="CA237" s="24">
        <v>0</v>
      </c>
      <c r="CB237" s="24">
        <v>0</v>
      </c>
      <c r="CC237" s="24">
        <v>0</v>
      </c>
      <c r="CD237" s="24">
        <v>0</v>
      </c>
      <c r="CE237" s="24">
        <v>0</v>
      </c>
      <c r="CG237" s="24">
        <v>1</v>
      </c>
      <c r="CH237" s="24">
        <v>0</v>
      </c>
      <c r="CI237" s="24">
        <v>0</v>
      </c>
      <c r="CJ237" s="24">
        <v>0</v>
      </c>
      <c r="CK237" s="24">
        <v>1</v>
      </c>
      <c r="CL237" s="24">
        <v>5</v>
      </c>
      <c r="CM237" s="24">
        <v>0</v>
      </c>
      <c r="CN237" s="24">
        <v>1000</v>
      </c>
      <c r="CO237" s="24">
        <v>500</v>
      </c>
      <c r="CQ237" s="24">
        <v>0</v>
      </c>
      <c r="CR237" s="24">
        <v>0</v>
      </c>
      <c r="CS237" s="24">
        <v>0</v>
      </c>
      <c r="CT237" s="24">
        <v>0</v>
      </c>
      <c r="CV237" s="24">
        <v>0</v>
      </c>
      <c r="CW237" s="24">
        <v>16</v>
      </c>
      <c r="CX237" s="24">
        <v>0</v>
      </c>
      <c r="CY237" s="26">
        <v>3</v>
      </c>
      <c r="CZ237" s="24">
        <v>1</v>
      </c>
      <c r="DA237" s="24">
        <v>0</v>
      </c>
      <c r="DC237" s="24">
        <v>0</v>
      </c>
      <c r="DD237" s="24">
        <v>1</v>
      </c>
      <c r="DE237" s="24">
        <v>0</v>
      </c>
      <c r="DF237" s="24">
        <v>0</v>
      </c>
      <c r="DG237" s="24">
        <v>-1</v>
      </c>
      <c r="DI237" s="24">
        <v>0</v>
      </c>
      <c r="DJ237" s="24">
        <v>0</v>
      </c>
      <c r="DL237" s="24">
        <v>0</v>
      </c>
      <c r="DM237" s="24">
        <v>0</v>
      </c>
      <c r="DO237" s="24">
        <v>0</v>
      </c>
      <c r="DP237" s="24">
        <v>0</v>
      </c>
      <c r="DQ237" s="24">
        <v>0</v>
      </c>
      <c r="DR237" s="24">
        <v>0</v>
      </c>
      <c r="DS237" s="24">
        <v>0</v>
      </c>
      <c r="DT237" s="24">
        <v>0</v>
      </c>
      <c r="DV237" s="24">
        <v>0</v>
      </c>
      <c r="DW237" s="24">
        <v>0</v>
      </c>
      <c r="DX237" s="24">
        <v>0</v>
      </c>
      <c r="DY237" s="24">
        <v>0</v>
      </c>
      <c r="DZ237" s="24">
        <v>0</v>
      </c>
    </row>
    <row r="238" spans="1:130">
      <c r="A238" s="24" t="s">
        <v>142</v>
      </c>
      <c r="B238" s="24" t="s">
        <v>142</v>
      </c>
      <c r="C238" s="24" t="s">
        <v>142</v>
      </c>
      <c r="D238" s="24" t="s">
        <v>142</v>
      </c>
      <c r="E238" s="24">
        <v>15620</v>
      </c>
      <c r="F238" s="24" t="s">
        <v>935</v>
      </c>
      <c r="G238" s="24">
        <v>0</v>
      </c>
      <c r="H238" s="24">
        <v>515620</v>
      </c>
      <c r="I238" s="24" t="s">
        <v>935</v>
      </c>
      <c r="J238" s="24" t="s">
        <v>935</v>
      </c>
      <c r="K238" s="24" t="s">
        <v>817</v>
      </c>
      <c r="M238" s="24">
        <v>102</v>
      </c>
      <c r="N238" s="24">
        <v>0</v>
      </c>
      <c r="P238" s="25">
        <v>2</v>
      </c>
      <c r="Q238" s="25">
        <v>524544</v>
      </c>
      <c r="R238" s="24">
        <v>0</v>
      </c>
      <c r="S238" s="25">
        <v>6</v>
      </c>
      <c r="T238" s="24"/>
      <c r="U238" s="24">
        <v>0</v>
      </c>
      <c r="V238" s="25">
        <v>0</v>
      </c>
      <c r="W238" s="24">
        <v>0</v>
      </c>
      <c r="X238" s="24">
        <v>0</v>
      </c>
      <c r="Y238" s="24">
        <v>0</v>
      </c>
      <c r="Z238" s="24">
        <v>0</v>
      </c>
      <c r="AB238" s="24">
        <v>10001</v>
      </c>
      <c r="AC238" s="24">
        <v>-1</v>
      </c>
      <c r="AD238" s="24">
        <v>-1</v>
      </c>
      <c r="AE238" s="24">
        <v>-1</v>
      </c>
      <c r="AG238" s="24">
        <v>1</v>
      </c>
      <c r="AH238" s="24">
        <v>0</v>
      </c>
      <c r="AI238" s="24">
        <v>0</v>
      </c>
      <c r="AJ238" s="24">
        <v>0</v>
      </c>
      <c r="AK238" s="24">
        <v>0</v>
      </c>
      <c r="AL238" s="24">
        <v>0</v>
      </c>
      <c r="AM238" s="24">
        <v>0</v>
      </c>
      <c r="AN238" s="24">
        <v>0</v>
      </c>
      <c r="AO238" s="24">
        <v>0</v>
      </c>
      <c r="AP238" s="24">
        <v>0</v>
      </c>
      <c r="AQ238" s="24">
        <v>0</v>
      </c>
      <c r="AR238" s="24">
        <v>0</v>
      </c>
      <c r="AS238" s="24">
        <v>0</v>
      </c>
      <c r="AT238" s="24">
        <v>0</v>
      </c>
      <c r="AU238" s="24">
        <v>0</v>
      </c>
      <c r="AV238" s="24">
        <v>0</v>
      </c>
      <c r="AW238" s="24">
        <v>0</v>
      </c>
      <c r="AX238" s="24">
        <v>0</v>
      </c>
      <c r="AY238" s="24">
        <v>0</v>
      </c>
      <c r="BA238" s="24">
        <v>0</v>
      </c>
      <c r="BB238" s="24">
        <v>1500</v>
      </c>
      <c r="BC238" s="24">
        <v>2067</v>
      </c>
      <c r="BD238" s="24">
        <v>0</v>
      </c>
      <c r="BE238" s="24">
        <v>300</v>
      </c>
      <c r="BF238" s="24">
        <v>1</v>
      </c>
      <c r="BG238" s="25">
        <v>1</v>
      </c>
      <c r="BH238" s="24">
        <v>6</v>
      </c>
      <c r="BI238" s="24">
        <v>0</v>
      </c>
      <c r="BJ238" s="24">
        <v>0</v>
      </c>
      <c r="BK238" s="24">
        <v>0</v>
      </c>
      <c r="BL238" s="25">
        <v>126</v>
      </c>
      <c r="BM238" s="24">
        <v>0</v>
      </c>
      <c r="BO238" s="25">
        <v>4</v>
      </c>
      <c r="BP238" s="24">
        <v>20</v>
      </c>
      <c r="BQ238" s="24">
        <v>0</v>
      </c>
      <c r="BR238" s="24">
        <v>3</v>
      </c>
      <c r="BS238" s="24">
        <v>10</v>
      </c>
      <c r="BT238" s="24">
        <v>200</v>
      </c>
      <c r="BU238" s="24">
        <v>80</v>
      </c>
      <c r="BV238" s="24">
        <v>6</v>
      </c>
      <c r="BW238" s="24">
        <v>0</v>
      </c>
      <c r="BX238" s="24">
        <v>1</v>
      </c>
      <c r="BZ238" s="24">
        <v>15620</v>
      </c>
      <c r="CA238" s="24">
        <v>0</v>
      </c>
      <c r="CB238" s="24">
        <v>0</v>
      </c>
      <c r="CC238" s="24">
        <v>0</v>
      </c>
      <c r="CD238" s="24">
        <v>0</v>
      </c>
      <c r="CE238" s="24">
        <v>0</v>
      </c>
      <c r="CG238" s="24">
        <v>-1</v>
      </c>
      <c r="CH238" s="24">
        <v>0</v>
      </c>
      <c r="CI238" s="24">
        <v>0</v>
      </c>
      <c r="CJ238" s="24">
        <v>0</v>
      </c>
      <c r="CK238" s="24">
        <v>0</v>
      </c>
      <c r="CL238" s="24">
        <v>0</v>
      </c>
      <c r="CM238" s="24">
        <v>0</v>
      </c>
      <c r="CN238" s="24">
        <v>0</v>
      </c>
      <c r="CO238" s="24">
        <v>0</v>
      </c>
      <c r="CQ238" s="24">
        <v>0</v>
      </c>
      <c r="CR238" s="24">
        <v>0</v>
      </c>
      <c r="CS238" s="24">
        <v>0</v>
      </c>
      <c r="CT238" s="24">
        <v>0</v>
      </c>
      <c r="CV238" s="24">
        <v>110703</v>
      </c>
      <c r="CW238" s="24">
        <v>16</v>
      </c>
      <c r="CX238" s="24">
        <v>1001006</v>
      </c>
      <c r="CY238" s="26">
        <v>1</v>
      </c>
      <c r="CZ238" s="24">
        <v>1</v>
      </c>
      <c r="DA238" s="24">
        <v>0</v>
      </c>
      <c r="DC238" s="24">
        <v>2</v>
      </c>
      <c r="DD238" s="24">
        <v>1</v>
      </c>
      <c r="DE238" s="24">
        <v>0</v>
      </c>
      <c r="DF238" s="24">
        <v>0</v>
      </c>
      <c r="DG238" s="24">
        <v>-1</v>
      </c>
      <c r="DI238" s="24">
        <v>0</v>
      </c>
      <c r="DJ238" s="24">
        <v>0</v>
      </c>
      <c r="DL238" s="24">
        <v>0</v>
      </c>
      <c r="DM238" s="24">
        <v>0</v>
      </c>
      <c r="DO238" s="24">
        <v>0</v>
      </c>
      <c r="DP238" s="24">
        <v>0</v>
      </c>
      <c r="DQ238" s="24">
        <v>0</v>
      </c>
      <c r="DR238" s="24">
        <v>0</v>
      </c>
      <c r="DS238" s="24">
        <v>0</v>
      </c>
      <c r="DT238" s="24">
        <v>0</v>
      </c>
      <c r="DV238" s="24">
        <v>0</v>
      </c>
      <c r="DW238" s="24">
        <v>0</v>
      </c>
      <c r="DX238" s="24">
        <v>0</v>
      </c>
      <c r="DY238" s="24">
        <v>0</v>
      </c>
      <c r="DZ238" s="24">
        <v>0</v>
      </c>
    </row>
    <row r="239" spans="1:130">
      <c r="A239" s="24" t="s">
        <v>142</v>
      </c>
      <c r="B239" s="24" t="s">
        <v>142</v>
      </c>
      <c r="C239" s="24" t="s">
        <v>142</v>
      </c>
      <c r="D239" s="24" t="s">
        <v>142</v>
      </c>
      <c r="E239" s="24">
        <v>15621</v>
      </c>
      <c r="F239" s="24" t="s">
        <v>936</v>
      </c>
      <c r="G239" s="24">
        <v>0</v>
      </c>
      <c r="H239" s="24">
        <v>515621</v>
      </c>
      <c r="I239" s="24" t="s">
        <v>936</v>
      </c>
      <c r="J239" s="24" t="s">
        <v>936</v>
      </c>
      <c r="K239" s="24" t="s">
        <v>473</v>
      </c>
      <c r="M239" s="24">
        <v>0</v>
      </c>
      <c r="N239" s="24">
        <v>0</v>
      </c>
      <c r="P239" s="25">
        <v>12</v>
      </c>
      <c r="Q239" s="25">
        <v>0</v>
      </c>
      <c r="R239" s="24">
        <v>15620</v>
      </c>
      <c r="S239" s="25">
        <v>36</v>
      </c>
      <c r="T239" s="24"/>
      <c r="U239" s="24">
        <v>1</v>
      </c>
      <c r="V239" s="25">
        <v>2050</v>
      </c>
      <c r="W239" s="24">
        <v>1</v>
      </c>
      <c r="X239" s="24">
        <v>15620</v>
      </c>
      <c r="Y239" s="24">
        <v>0</v>
      </c>
      <c r="Z239" s="24">
        <v>1000</v>
      </c>
      <c r="AB239" s="24">
        <v>30001</v>
      </c>
      <c r="AC239" s="24">
        <v>-1</v>
      </c>
      <c r="AD239" s="24">
        <v>-1</v>
      </c>
      <c r="AE239" s="24">
        <v>-1</v>
      </c>
      <c r="AG239" s="24">
        <v>1</v>
      </c>
      <c r="AH239" s="24">
        <v>0</v>
      </c>
      <c r="AI239" s="24">
        <v>0</v>
      </c>
      <c r="AJ239" s="24">
        <v>0</v>
      </c>
      <c r="AK239" s="24">
        <v>0</v>
      </c>
      <c r="AL239" s="24">
        <v>0</v>
      </c>
      <c r="AM239" s="24">
        <v>0</v>
      </c>
      <c r="AN239" s="24">
        <v>0</v>
      </c>
      <c r="AO239" s="24">
        <v>0</v>
      </c>
      <c r="AP239" s="24">
        <v>0</v>
      </c>
      <c r="AQ239" s="24">
        <v>0</v>
      </c>
      <c r="AR239" s="24">
        <v>0</v>
      </c>
      <c r="AS239" s="24">
        <v>0</v>
      </c>
      <c r="AT239" s="24">
        <v>0</v>
      </c>
      <c r="AU239" s="24">
        <v>0</v>
      </c>
      <c r="AV239" s="24">
        <v>0</v>
      </c>
      <c r="AW239" s="24">
        <v>0</v>
      </c>
      <c r="AX239" s="24">
        <v>0</v>
      </c>
      <c r="AY239" s="24">
        <v>0</v>
      </c>
      <c r="BA239" s="24">
        <v>0</v>
      </c>
      <c r="BB239" s="24">
        <v>0</v>
      </c>
      <c r="BC239" s="24">
        <v>0</v>
      </c>
      <c r="BD239" s="24">
        <v>0</v>
      </c>
      <c r="BE239" s="24">
        <v>300</v>
      </c>
      <c r="BF239" s="24">
        <v>1</v>
      </c>
      <c r="BG239" s="25">
        <v>1024</v>
      </c>
      <c r="BH239" s="24">
        <v>4</v>
      </c>
      <c r="BI239" s="24">
        <v>15621</v>
      </c>
      <c r="BJ239" s="24">
        <v>1</v>
      </c>
      <c r="BK239" s="24">
        <v>1</v>
      </c>
      <c r="BL239" s="25">
        <v>126</v>
      </c>
      <c r="BM239" s="24">
        <v>0</v>
      </c>
      <c r="BO239" s="25">
        <v>4</v>
      </c>
      <c r="BP239" s="24">
        <v>20</v>
      </c>
      <c r="BQ239" s="24">
        <v>0</v>
      </c>
      <c r="BR239" s="24">
        <v>3</v>
      </c>
      <c r="BS239" s="24">
        <v>10</v>
      </c>
      <c r="BT239" s="24">
        <v>200</v>
      </c>
      <c r="BU239" s="24">
        <v>80</v>
      </c>
      <c r="BV239" s="24">
        <v>6</v>
      </c>
      <c r="BW239" s="24">
        <v>0</v>
      </c>
      <c r="BX239" s="24">
        <v>1</v>
      </c>
      <c r="BZ239" s="24">
        <v>-1</v>
      </c>
      <c r="CA239" s="24">
        <v>0</v>
      </c>
      <c r="CB239" s="24">
        <v>0</v>
      </c>
      <c r="CC239" s="24">
        <v>0</v>
      </c>
      <c r="CD239" s="24">
        <v>0</v>
      </c>
      <c r="CE239" s="24">
        <v>0</v>
      </c>
      <c r="CG239" s="24">
        <v>-1</v>
      </c>
      <c r="CH239" s="24">
        <v>0</v>
      </c>
      <c r="CI239" s="24">
        <v>0</v>
      </c>
      <c r="CJ239" s="24">
        <v>0</v>
      </c>
      <c r="CK239" s="24">
        <v>0</v>
      </c>
      <c r="CL239" s="24">
        <v>0</v>
      </c>
      <c r="CM239" s="24">
        <v>0</v>
      </c>
      <c r="CN239" s="24">
        <v>0</v>
      </c>
      <c r="CO239" s="24">
        <v>0</v>
      </c>
      <c r="CQ239" s="24">
        <v>0</v>
      </c>
      <c r="CR239" s="24">
        <v>0</v>
      </c>
      <c r="CS239" s="24">
        <v>0</v>
      </c>
      <c r="CT239" s="24">
        <v>0</v>
      </c>
      <c r="CV239" s="24">
        <v>0</v>
      </c>
      <c r="CW239" s="24">
        <v>0</v>
      </c>
      <c r="CX239" s="24">
        <v>0</v>
      </c>
      <c r="CY239" s="26">
        <v>1</v>
      </c>
      <c r="CZ239" s="24">
        <v>1</v>
      </c>
      <c r="DA239" s="24">
        <v>0</v>
      </c>
      <c r="DC239" s="24">
        <v>0</v>
      </c>
      <c r="DD239" s="24">
        <v>1</v>
      </c>
      <c r="DE239" s="24">
        <v>0</v>
      </c>
      <c r="DF239" s="24">
        <v>0</v>
      </c>
      <c r="DG239" s="24">
        <v>-1</v>
      </c>
      <c r="DI239" s="24">
        <v>0</v>
      </c>
      <c r="DJ239" s="24">
        <v>0</v>
      </c>
      <c r="DL239" s="24">
        <v>0</v>
      </c>
      <c r="DM239" s="24">
        <v>0</v>
      </c>
      <c r="DO239" s="24">
        <v>0</v>
      </c>
      <c r="DP239" s="24">
        <v>0</v>
      </c>
      <c r="DQ239" s="24">
        <v>0</v>
      </c>
      <c r="DR239" s="24">
        <v>0</v>
      </c>
      <c r="DS239" s="24">
        <v>0</v>
      </c>
      <c r="DT239" s="24">
        <v>0</v>
      </c>
      <c r="DV239" s="24">
        <v>0</v>
      </c>
      <c r="DW239" s="24">
        <v>0</v>
      </c>
      <c r="DX239" s="24">
        <v>0</v>
      </c>
      <c r="DY239" s="24">
        <v>0</v>
      </c>
      <c r="DZ239" s="24">
        <v>0</v>
      </c>
    </row>
    <row r="240" spans="1:130">
      <c r="A240" s="24" t="s">
        <v>142</v>
      </c>
      <c r="B240" s="24" t="s">
        <v>142</v>
      </c>
      <c r="C240" s="24" t="s">
        <v>142</v>
      </c>
      <c r="D240" s="24" t="s">
        <v>142</v>
      </c>
      <c r="E240" s="24">
        <v>15630</v>
      </c>
      <c r="F240" s="24" t="s">
        <v>937</v>
      </c>
      <c r="G240" s="24">
        <v>0</v>
      </c>
      <c r="H240" s="24">
        <v>515630</v>
      </c>
      <c r="I240" s="24" t="s">
        <v>937</v>
      </c>
      <c r="J240" s="24" t="s">
        <v>937</v>
      </c>
      <c r="K240" s="24" t="s">
        <v>818</v>
      </c>
      <c r="M240" s="24">
        <v>102</v>
      </c>
      <c r="N240" s="24">
        <v>0</v>
      </c>
      <c r="P240" s="25">
        <v>2</v>
      </c>
      <c r="Q240" s="25">
        <v>2097408</v>
      </c>
      <c r="R240" s="24">
        <v>0</v>
      </c>
      <c r="S240" s="25">
        <v>0</v>
      </c>
      <c r="T240" s="24"/>
      <c r="U240" s="24">
        <v>0</v>
      </c>
      <c r="V240" s="25">
        <v>0</v>
      </c>
      <c r="W240" s="24">
        <v>0</v>
      </c>
      <c r="X240" s="24">
        <v>0</v>
      </c>
      <c r="Y240" s="24">
        <v>0</v>
      </c>
      <c r="Z240" s="24">
        <v>0</v>
      </c>
      <c r="AB240" s="24">
        <v>10001</v>
      </c>
      <c r="AC240" s="24">
        <v>-1</v>
      </c>
      <c r="AD240" s="24">
        <v>-1</v>
      </c>
      <c r="AE240" s="24">
        <v>-1</v>
      </c>
      <c r="AG240" s="24">
        <v>1</v>
      </c>
      <c r="AH240" s="24">
        <v>0</v>
      </c>
      <c r="AI240" s="24">
        <v>0</v>
      </c>
      <c r="AJ240" s="24">
        <v>0</v>
      </c>
      <c r="AK240" s="24">
        <v>0</v>
      </c>
      <c r="AL240" s="24">
        <v>0</v>
      </c>
      <c r="AM240" s="24">
        <v>0</v>
      </c>
      <c r="AN240" s="24">
        <v>0</v>
      </c>
      <c r="AO240" s="24">
        <v>0</v>
      </c>
      <c r="AP240" s="24">
        <v>0</v>
      </c>
      <c r="AQ240" s="24">
        <v>0</v>
      </c>
      <c r="AR240" s="24">
        <v>0</v>
      </c>
      <c r="AS240" s="24">
        <v>0</v>
      </c>
      <c r="AT240" s="24">
        <v>0</v>
      </c>
      <c r="AU240" s="24">
        <v>0</v>
      </c>
      <c r="AV240" s="24">
        <v>0</v>
      </c>
      <c r="AW240" s="24">
        <v>0</v>
      </c>
      <c r="AX240" s="24">
        <v>0</v>
      </c>
      <c r="AY240" s="24">
        <v>0</v>
      </c>
      <c r="BA240" s="24">
        <v>0</v>
      </c>
      <c r="BB240" s="24">
        <v>2200</v>
      </c>
      <c r="BC240" s="24">
        <v>2767</v>
      </c>
      <c r="BD240" s="24">
        <v>810</v>
      </c>
      <c r="BE240" s="24">
        <v>100</v>
      </c>
      <c r="BF240" s="24">
        <v>2</v>
      </c>
      <c r="BG240" s="25">
        <v>1</v>
      </c>
      <c r="BH240" s="24">
        <v>3</v>
      </c>
      <c r="BI240" s="24">
        <v>0</v>
      </c>
      <c r="BJ240" s="24">
        <v>0</v>
      </c>
      <c r="BK240" s="24">
        <v>0</v>
      </c>
      <c r="BL240" s="25">
        <v>126</v>
      </c>
      <c r="BM240" s="24">
        <v>0</v>
      </c>
      <c r="BO240" s="25">
        <v>16</v>
      </c>
      <c r="BP240" s="24">
        <v>10</v>
      </c>
      <c r="BQ240" s="24">
        <v>0</v>
      </c>
      <c r="BR240" s="24">
        <v>1</v>
      </c>
      <c r="BS240" s="24">
        <v>0</v>
      </c>
      <c r="BT240" s="24">
        <v>0</v>
      </c>
      <c r="BU240" s="24">
        <v>0</v>
      </c>
      <c r="BV240" s="24">
        <v>0</v>
      </c>
      <c r="BW240" s="24">
        <v>0</v>
      </c>
      <c r="BX240" s="24">
        <v>0</v>
      </c>
      <c r="BZ240" s="24">
        <v>15630</v>
      </c>
      <c r="CA240" s="24">
        <v>0</v>
      </c>
      <c r="CB240" s="24">
        <v>0</v>
      </c>
      <c r="CC240" s="24">
        <v>0</v>
      </c>
      <c r="CD240" s="24">
        <v>0</v>
      </c>
      <c r="CE240" s="24">
        <v>0</v>
      </c>
      <c r="CG240" s="24">
        <v>-1</v>
      </c>
      <c r="CH240" s="24">
        <v>0</v>
      </c>
      <c r="CI240" s="24">
        <v>0</v>
      </c>
      <c r="CJ240" s="24">
        <v>0</v>
      </c>
      <c r="CK240" s="24">
        <v>0</v>
      </c>
      <c r="CL240" s="24">
        <v>0</v>
      </c>
      <c r="CM240" s="24">
        <v>0</v>
      </c>
      <c r="CN240" s="24">
        <v>0</v>
      </c>
      <c r="CO240" s="24">
        <v>0</v>
      </c>
      <c r="CQ240" s="24">
        <v>0</v>
      </c>
      <c r="CR240" s="24">
        <v>0</v>
      </c>
      <c r="CS240" s="24">
        <v>0</v>
      </c>
      <c r="CT240" s="24">
        <v>0</v>
      </c>
      <c r="CV240" s="24">
        <v>110704</v>
      </c>
      <c r="CW240" s="24">
        <v>16</v>
      </c>
      <c r="CX240" s="24">
        <v>1001006</v>
      </c>
      <c r="CY240" s="26">
        <v>0</v>
      </c>
      <c r="CZ240" s="24">
        <v>10</v>
      </c>
      <c r="DA240" s="24">
        <v>0</v>
      </c>
      <c r="DC240" s="24">
        <v>1</v>
      </c>
      <c r="DD240" s="24">
        <v>1</v>
      </c>
      <c r="DE240" s="24">
        <v>0</v>
      </c>
      <c r="DF240" s="24">
        <v>0</v>
      </c>
      <c r="DG240" s="24">
        <v>-1</v>
      </c>
      <c r="DI240" s="24">
        <v>0</v>
      </c>
      <c r="DJ240" s="24">
        <v>0</v>
      </c>
      <c r="DL240" s="24">
        <v>0</v>
      </c>
      <c r="DM240" s="24">
        <v>0</v>
      </c>
      <c r="DO240" s="24">
        <v>0</v>
      </c>
      <c r="DP240" s="24">
        <v>0</v>
      </c>
      <c r="DQ240" s="24">
        <v>0</v>
      </c>
      <c r="DR240" s="24">
        <v>0</v>
      </c>
      <c r="DS240" s="24">
        <v>0</v>
      </c>
      <c r="DT240" s="24">
        <v>0</v>
      </c>
      <c r="DV240" s="24">
        <v>0</v>
      </c>
      <c r="DW240" s="24">
        <v>0</v>
      </c>
      <c r="DX240" s="24">
        <v>0</v>
      </c>
      <c r="DY240" s="24">
        <v>0</v>
      </c>
      <c r="DZ240" s="24">
        <v>0</v>
      </c>
    </row>
    <row r="241" spans="1:130">
      <c r="A241" s="24" t="s">
        <v>142</v>
      </c>
      <c r="B241" s="24" t="s">
        <v>142</v>
      </c>
      <c r="C241" s="24" t="s">
        <v>142</v>
      </c>
      <c r="D241" s="24" t="s">
        <v>142</v>
      </c>
      <c r="E241" s="24">
        <v>15640</v>
      </c>
      <c r="F241" s="24" t="s">
        <v>938</v>
      </c>
      <c r="G241" s="24">
        <v>0</v>
      </c>
      <c r="H241" s="24">
        <v>515640</v>
      </c>
      <c r="I241" s="24" t="s">
        <v>938</v>
      </c>
      <c r="J241" s="24" t="s">
        <v>543</v>
      </c>
      <c r="K241" s="24" t="s">
        <v>473</v>
      </c>
      <c r="M241" s="24">
        <v>102</v>
      </c>
      <c r="N241" s="24">
        <v>0</v>
      </c>
      <c r="P241" s="25">
        <v>2</v>
      </c>
      <c r="Q241" s="25">
        <v>589824</v>
      </c>
      <c r="R241" s="24">
        <v>0</v>
      </c>
      <c r="S241" s="25">
        <v>3</v>
      </c>
      <c r="T241" s="24"/>
      <c r="U241" s="24">
        <v>0</v>
      </c>
      <c r="V241" s="25">
        <v>0</v>
      </c>
      <c r="W241" s="24">
        <v>0</v>
      </c>
      <c r="X241" s="24">
        <v>0</v>
      </c>
      <c r="Y241" s="24">
        <v>0</v>
      </c>
      <c r="Z241" s="24">
        <v>0</v>
      </c>
      <c r="AB241" s="24">
        <v>10001</v>
      </c>
      <c r="AC241" s="24">
        <v>-1</v>
      </c>
      <c r="AD241" s="24">
        <v>-1</v>
      </c>
      <c r="AE241" s="24">
        <v>-1</v>
      </c>
      <c r="AG241" s="24">
        <v>1</v>
      </c>
      <c r="AH241" s="24">
        <v>0</v>
      </c>
      <c r="AI241" s="24">
        <v>0</v>
      </c>
      <c r="AJ241" s="24">
        <v>0</v>
      </c>
      <c r="AK241" s="24">
        <v>0</v>
      </c>
      <c r="AL241" s="24">
        <v>0</v>
      </c>
      <c r="AM241" s="24">
        <v>0</v>
      </c>
      <c r="AN241" s="24">
        <v>0</v>
      </c>
      <c r="AO241" s="24">
        <v>0</v>
      </c>
      <c r="AP241" s="24">
        <v>0</v>
      </c>
      <c r="AQ241" s="24">
        <v>0</v>
      </c>
      <c r="AR241" s="24">
        <v>0</v>
      </c>
      <c r="AS241" s="24">
        <v>0</v>
      </c>
      <c r="AT241" s="24">
        <v>0</v>
      </c>
      <c r="AU241" s="24">
        <v>0</v>
      </c>
      <c r="AV241" s="24">
        <v>0</v>
      </c>
      <c r="AW241" s="24">
        <v>0</v>
      </c>
      <c r="AX241" s="24">
        <v>0</v>
      </c>
      <c r="AY241" s="24">
        <v>0</v>
      </c>
      <c r="BA241" s="24">
        <v>0</v>
      </c>
      <c r="BB241" s="24">
        <v>500</v>
      </c>
      <c r="BC241" s="24">
        <v>1000</v>
      </c>
      <c r="BD241" s="24">
        <v>0</v>
      </c>
      <c r="BE241" s="24">
        <v>250</v>
      </c>
      <c r="BF241" s="24">
        <v>1</v>
      </c>
      <c r="BG241" s="25">
        <v>1</v>
      </c>
      <c r="BH241" s="24">
        <v>1</v>
      </c>
      <c r="BI241" s="24">
        <v>0</v>
      </c>
      <c r="BJ241" s="24">
        <v>0</v>
      </c>
      <c r="BK241" s="24">
        <v>0</v>
      </c>
      <c r="BL241" s="25">
        <v>126</v>
      </c>
      <c r="BM241" s="24">
        <v>0</v>
      </c>
      <c r="BO241" s="25">
        <v>1</v>
      </c>
      <c r="BP241" s="24">
        <v>20</v>
      </c>
      <c r="BQ241" s="24">
        <v>0</v>
      </c>
      <c r="BR241" s="24">
        <v>3</v>
      </c>
      <c r="BS241" s="24">
        <v>10</v>
      </c>
      <c r="BT241" s="24">
        <v>100</v>
      </c>
      <c r="BU241" s="24">
        <v>30</v>
      </c>
      <c r="BV241" s="24">
        <v>6</v>
      </c>
      <c r="BW241" s="24">
        <v>0</v>
      </c>
      <c r="BX241" s="24">
        <v>1</v>
      </c>
      <c r="BZ241" s="24">
        <v>-1</v>
      </c>
      <c r="CA241" s="24">
        <v>0</v>
      </c>
      <c r="CB241" s="24">
        <v>0</v>
      </c>
      <c r="CC241" s="24">
        <v>0</v>
      </c>
      <c r="CD241" s="24">
        <v>0</v>
      </c>
      <c r="CE241" s="24">
        <v>0</v>
      </c>
      <c r="CG241" s="24">
        <v>-1</v>
      </c>
      <c r="CH241" s="24">
        <v>0</v>
      </c>
      <c r="CI241" s="24">
        <v>0</v>
      </c>
      <c r="CJ241" s="24">
        <v>0</v>
      </c>
      <c r="CK241" s="24">
        <v>0</v>
      </c>
      <c r="CL241" s="24">
        <v>0</v>
      </c>
      <c r="CM241" s="24">
        <v>0</v>
      </c>
      <c r="CN241" s="24">
        <v>0</v>
      </c>
      <c r="CO241" s="24">
        <v>0</v>
      </c>
      <c r="CQ241" s="24">
        <v>0</v>
      </c>
      <c r="CR241" s="24">
        <v>0</v>
      </c>
      <c r="CS241" s="24">
        <v>0</v>
      </c>
      <c r="CT241" s="24">
        <v>0</v>
      </c>
      <c r="CV241" s="24">
        <v>110701</v>
      </c>
      <c r="CW241" s="24">
        <v>0</v>
      </c>
      <c r="CX241" s="24">
        <v>1001006</v>
      </c>
      <c r="CY241" s="26">
        <v>3</v>
      </c>
      <c r="CZ241" s="24">
        <v>1</v>
      </c>
      <c r="DA241" s="24">
        <v>0</v>
      </c>
      <c r="DC241" s="24">
        <v>1</v>
      </c>
      <c r="DD241" s="24">
        <v>1</v>
      </c>
      <c r="DE241" s="24">
        <v>0</v>
      </c>
      <c r="DF241" s="24">
        <v>0</v>
      </c>
      <c r="DG241" s="24">
        <v>-1</v>
      </c>
      <c r="DI241" s="24">
        <v>0</v>
      </c>
      <c r="DJ241" s="24">
        <v>0</v>
      </c>
      <c r="DL241" s="24">
        <v>0</v>
      </c>
      <c r="DM241" s="24">
        <v>0</v>
      </c>
      <c r="DO241" s="24">
        <v>0</v>
      </c>
      <c r="DP241" s="24">
        <v>0</v>
      </c>
      <c r="DQ241" s="24">
        <v>0</v>
      </c>
      <c r="DR241" s="24">
        <v>0</v>
      </c>
      <c r="DS241" s="24">
        <v>0</v>
      </c>
      <c r="DT241" s="24">
        <v>0</v>
      </c>
      <c r="DV241" s="24">
        <v>0</v>
      </c>
      <c r="DW241" s="24">
        <v>0</v>
      </c>
      <c r="DX241" s="24">
        <v>0</v>
      </c>
      <c r="DY241" s="24">
        <v>0</v>
      </c>
      <c r="DZ241" s="24">
        <v>0</v>
      </c>
    </row>
    <row r="242" spans="1:130">
      <c r="G242" s="24" t="s">
        <v>639</v>
      </c>
      <c r="K242" s="24" t="s">
        <v>639</v>
      </c>
      <c r="S242" s="25"/>
      <c r="T242" s="24"/>
      <c r="BO242" s="25" t="s">
        <v>639</v>
      </c>
      <c r="CV242" s="24" t="s">
        <v>639</v>
      </c>
      <c r="DC242" s="24" t="s">
        <v>639</v>
      </c>
      <c r="DD242" s="24" t="s">
        <v>639</v>
      </c>
      <c r="DE242" s="24" t="s">
        <v>639</v>
      </c>
      <c r="DF242" s="24" t="s">
        <v>639</v>
      </c>
      <c r="DG242" s="24" t="s">
        <v>639</v>
      </c>
      <c r="DI242" s="24" t="s">
        <v>639</v>
      </c>
      <c r="DJ242" s="24" t="s">
        <v>639</v>
      </c>
      <c r="DL242" s="24" t="s">
        <v>639</v>
      </c>
      <c r="DM242" s="24" t="s">
        <v>639</v>
      </c>
      <c r="DO242" s="24" t="s">
        <v>639</v>
      </c>
      <c r="DP242" s="24" t="s">
        <v>639</v>
      </c>
      <c r="DQ242" s="24" t="s">
        <v>639</v>
      </c>
      <c r="DR242" s="24" t="s">
        <v>639</v>
      </c>
      <c r="DS242" s="24" t="s">
        <v>639</v>
      </c>
      <c r="DT242" s="24" t="s">
        <v>639</v>
      </c>
      <c r="DV242" s="24" t="s">
        <v>639</v>
      </c>
      <c r="DW242" s="24" t="s">
        <v>639</v>
      </c>
      <c r="DX242" s="24" t="s">
        <v>639</v>
      </c>
      <c r="DY242" s="24" t="s">
        <v>639</v>
      </c>
      <c r="DZ242" s="24" t="s">
        <v>639</v>
      </c>
    </row>
    <row r="243" spans="1:130">
      <c r="E243" s="24">
        <v>26701</v>
      </c>
      <c r="F243" s="24" t="s">
        <v>959</v>
      </c>
      <c r="G243" s="24">
        <v>0</v>
      </c>
      <c r="H243" s="24">
        <v>5026701</v>
      </c>
      <c r="I243" s="24" t="s">
        <v>959</v>
      </c>
      <c r="J243" s="24" t="s">
        <v>959</v>
      </c>
      <c r="M243" s="24">
        <v>0</v>
      </c>
      <c r="N243" s="24">
        <v>0</v>
      </c>
      <c r="P243" s="24">
        <v>4</v>
      </c>
      <c r="Q243" s="24">
        <v>0</v>
      </c>
      <c r="R243" s="24">
        <v>0</v>
      </c>
      <c r="S243" s="24">
        <v>0</v>
      </c>
      <c r="T243" s="24"/>
      <c r="U243" s="24">
        <v>0</v>
      </c>
      <c r="V243" s="24">
        <v>0</v>
      </c>
      <c r="W243" s="24">
        <v>0</v>
      </c>
      <c r="X243" s="24">
        <v>0</v>
      </c>
      <c r="Y243" s="24">
        <v>0</v>
      </c>
      <c r="Z243" s="24">
        <v>1000</v>
      </c>
      <c r="AB243" s="24">
        <v>20003</v>
      </c>
      <c r="AC243" s="24">
        <v>0</v>
      </c>
      <c r="AD243" s="24">
        <v>0</v>
      </c>
      <c r="AE243" s="24">
        <v>0</v>
      </c>
      <c r="AF243" s="24">
        <v>0</v>
      </c>
      <c r="AH243" s="24">
        <v>1</v>
      </c>
      <c r="AI243" s="24">
        <v>-1</v>
      </c>
      <c r="AJ243" s="24">
        <v>-1</v>
      </c>
      <c r="AK243" s="24">
        <v>0</v>
      </c>
      <c r="AL243" s="24">
        <v>-1</v>
      </c>
      <c r="AM243" s="24">
        <v>0</v>
      </c>
      <c r="AN243" s="24">
        <v>0</v>
      </c>
      <c r="AO243" s="24">
        <v>0</v>
      </c>
      <c r="AP243" s="24">
        <v>0</v>
      </c>
      <c r="AQ243" s="24">
        <v>0</v>
      </c>
      <c r="AR243" s="24">
        <v>0</v>
      </c>
      <c r="AS243" s="24">
        <v>0</v>
      </c>
      <c r="AT243" s="24">
        <v>0</v>
      </c>
      <c r="AU243" s="24">
        <v>0</v>
      </c>
      <c r="AV243" s="24">
        <v>0</v>
      </c>
      <c r="AW243" s="24">
        <v>0</v>
      </c>
      <c r="AX243" s="24">
        <v>0</v>
      </c>
      <c r="AY243" s="24">
        <v>0</v>
      </c>
      <c r="BB243" s="24">
        <v>0</v>
      </c>
      <c r="BC243" s="24">
        <v>0</v>
      </c>
      <c r="BD243" s="24">
        <v>0</v>
      </c>
      <c r="BE243" s="24">
        <v>1</v>
      </c>
      <c r="BF243" s="24">
        <v>512</v>
      </c>
      <c r="BG243" s="24">
        <v>0</v>
      </c>
      <c r="BH243" s="24">
        <v>0</v>
      </c>
      <c r="BI243" s="24">
        <v>0</v>
      </c>
      <c r="BJ243" s="24">
        <v>0</v>
      </c>
      <c r="BK243" s="24">
        <v>126</v>
      </c>
      <c r="BL243" s="24">
        <v>0</v>
      </c>
      <c r="BN243" s="24">
        <v>-1</v>
      </c>
      <c r="BO243" s="24">
        <v>0</v>
      </c>
      <c r="BP243" s="24">
        <v>1</v>
      </c>
      <c r="BQ243" s="24">
        <v>0</v>
      </c>
      <c r="BR243" s="24">
        <v>1</v>
      </c>
      <c r="BS243" s="24">
        <v>0</v>
      </c>
      <c r="BT243" s="24">
        <v>0</v>
      </c>
      <c r="BU243" s="24">
        <v>0</v>
      </c>
      <c r="BV243" s="24">
        <v>0</v>
      </c>
      <c r="BW243" s="24">
        <v>0</v>
      </c>
      <c r="BX243" s="24">
        <v>1</v>
      </c>
      <c r="CA243" s="24">
        <v>-1</v>
      </c>
      <c r="CB243" s="24">
        <v>0</v>
      </c>
      <c r="CC243" s="24">
        <v>0</v>
      </c>
      <c r="CD243" s="24">
        <v>0</v>
      </c>
      <c r="CE243" s="24">
        <v>0</v>
      </c>
      <c r="CF243" s="24">
        <v>0</v>
      </c>
      <c r="CG243" s="24">
        <v>0</v>
      </c>
      <c r="CH243" s="24">
        <v>0</v>
      </c>
      <c r="CI243" s="24">
        <v>0</v>
      </c>
      <c r="CJ243" s="24">
        <v>0</v>
      </c>
      <c r="CK243" s="24">
        <v>0</v>
      </c>
      <c r="CL243" s="24">
        <v>0</v>
      </c>
      <c r="CM243" s="24">
        <v>0</v>
      </c>
      <c r="CN243" s="24">
        <v>0</v>
      </c>
      <c r="CO243" s="24">
        <v>0</v>
      </c>
      <c r="CQ243" s="24">
        <v>0</v>
      </c>
      <c r="CR243" s="24">
        <v>0</v>
      </c>
      <c r="CS243" s="24">
        <v>0</v>
      </c>
      <c r="CT243" s="24">
        <v>-1</v>
      </c>
      <c r="CV243" s="24">
        <v>0</v>
      </c>
      <c r="CW243" s="24">
        <v>0</v>
      </c>
      <c r="CY243" s="24">
        <v>0</v>
      </c>
      <c r="CZ243" s="24">
        <v>0</v>
      </c>
      <c r="DA243" s="24">
        <v>1</v>
      </c>
      <c r="DB243" s="24">
        <v>1</v>
      </c>
      <c r="DC243" s="24">
        <v>-1</v>
      </c>
      <c r="DD243" s="24">
        <v>0</v>
      </c>
      <c r="DE243" s="24">
        <v>0</v>
      </c>
      <c r="DF243" s="24">
        <v>0</v>
      </c>
      <c r="DG243" s="24">
        <v>0</v>
      </c>
      <c r="DI243" s="24">
        <v>0</v>
      </c>
      <c r="DJ243" s="24">
        <v>0</v>
      </c>
      <c r="DL243" s="24">
        <v>0</v>
      </c>
      <c r="DM243" s="24">
        <v>0</v>
      </c>
      <c r="DO243" s="24">
        <v>0</v>
      </c>
      <c r="DP243" s="24">
        <v>0</v>
      </c>
      <c r="DQ243" s="24">
        <v>0</v>
      </c>
      <c r="DR243" s="24">
        <v>0</v>
      </c>
      <c r="DS243" s="24">
        <v>0</v>
      </c>
      <c r="DT243" s="24">
        <v>0</v>
      </c>
      <c r="DV243" s="24" t="s">
        <v>474</v>
      </c>
    </row>
    <row r="244" spans="1:130">
      <c r="E244" s="24">
        <v>26702</v>
      </c>
      <c r="F244" s="24" t="s">
        <v>960</v>
      </c>
      <c r="G244" s="24">
        <v>0</v>
      </c>
      <c r="H244" s="24">
        <v>5026702</v>
      </c>
      <c r="I244" s="24" t="s">
        <v>960</v>
      </c>
      <c r="J244" s="24" t="s">
        <v>960</v>
      </c>
      <c r="M244" s="24">
        <v>102</v>
      </c>
      <c r="N244" s="24">
        <v>0</v>
      </c>
      <c r="P244" s="24">
        <v>2</v>
      </c>
      <c r="Q244" s="24">
        <v>655360</v>
      </c>
      <c r="R244" s="24">
        <v>0</v>
      </c>
      <c r="S244" s="24">
        <v>0</v>
      </c>
      <c r="T244" s="24"/>
      <c r="U244" s="24">
        <v>0</v>
      </c>
      <c r="V244" s="24">
        <v>0</v>
      </c>
      <c r="W244" s="24">
        <v>0</v>
      </c>
      <c r="X244" s="24">
        <v>0</v>
      </c>
      <c r="Y244" s="24">
        <v>0</v>
      </c>
      <c r="Z244" s="24">
        <v>0</v>
      </c>
      <c r="AB244" s="24">
        <v>10001</v>
      </c>
      <c r="AC244" s="24">
        <v>-1</v>
      </c>
      <c r="AD244" s="24">
        <v>-1</v>
      </c>
      <c r="AE244" s="24">
        <v>-1</v>
      </c>
      <c r="AF244" s="24">
        <v>0</v>
      </c>
      <c r="AH244" s="24">
        <v>1</v>
      </c>
      <c r="AI244" s="24">
        <v>-1</v>
      </c>
      <c r="AJ244" s="24">
        <v>-1</v>
      </c>
      <c r="AK244" s="24">
        <v>0</v>
      </c>
      <c r="AL244" s="24">
        <v>-1</v>
      </c>
      <c r="AM244" s="24">
        <v>0</v>
      </c>
      <c r="AN244" s="24">
        <v>0</v>
      </c>
      <c r="AO244" s="24">
        <v>0</v>
      </c>
      <c r="AP244" s="24">
        <v>0</v>
      </c>
      <c r="AQ244" s="24">
        <v>0</v>
      </c>
      <c r="AR244" s="24">
        <v>0</v>
      </c>
      <c r="AS244" s="24">
        <v>0</v>
      </c>
      <c r="AT244" s="24">
        <v>0</v>
      </c>
      <c r="AU244" s="24">
        <v>0</v>
      </c>
      <c r="AV244" s="24">
        <v>0</v>
      </c>
      <c r="AW244" s="24">
        <v>0</v>
      </c>
      <c r="AX244" s="24">
        <v>0</v>
      </c>
      <c r="AY244" s="24">
        <v>0</v>
      </c>
      <c r="BB244" s="24">
        <v>0</v>
      </c>
      <c r="BC244" s="24">
        <v>400</v>
      </c>
      <c r="BD244" s="24">
        <v>200</v>
      </c>
      <c r="BE244" s="24">
        <v>1</v>
      </c>
      <c r="BF244" s="24">
        <v>1</v>
      </c>
      <c r="BG244" s="24">
        <v>1</v>
      </c>
      <c r="BH244" s="24">
        <v>0</v>
      </c>
      <c r="BI244" s="24">
        <v>0</v>
      </c>
      <c r="BJ244" s="24">
        <v>0</v>
      </c>
      <c r="BK244" s="24">
        <v>126</v>
      </c>
      <c r="BL244" s="24">
        <v>0</v>
      </c>
      <c r="BN244" s="24">
        <v>-1</v>
      </c>
      <c r="BO244" s="24">
        <v>0</v>
      </c>
      <c r="BP244" s="24">
        <v>8</v>
      </c>
      <c r="BQ244" s="24">
        <v>3</v>
      </c>
      <c r="BR244" s="24">
        <v>1</v>
      </c>
      <c r="BS244" s="24">
        <v>1</v>
      </c>
      <c r="BT244" s="24">
        <v>0</v>
      </c>
      <c r="BU244" s="24">
        <v>0</v>
      </c>
      <c r="BV244" s="24">
        <v>6</v>
      </c>
      <c r="BW244" s="24">
        <v>0</v>
      </c>
      <c r="BX244" s="24">
        <v>1</v>
      </c>
      <c r="CA244" s="24">
        <v>-1</v>
      </c>
      <c r="CB244" s="24">
        <v>0</v>
      </c>
      <c r="CC244" s="24">
        <v>0</v>
      </c>
      <c r="CD244" s="24">
        <v>0</v>
      </c>
      <c r="CE244" s="24">
        <v>0</v>
      </c>
      <c r="CF244" s="24">
        <v>0</v>
      </c>
      <c r="CG244" s="24">
        <v>0</v>
      </c>
      <c r="CH244" s="24">
        <v>0</v>
      </c>
      <c r="CI244" s="24">
        <v>0</v>
      </c>
      <c r="CJ244" s="24">
        <v>0</v>
      </c>
      <c r="CK244" s="24">
        <v>0</v>
      </c>
      <c r="CL244" s="24">
        <v>0</v>
      </c>
      <c r="CM244" s="24">
        <v>0</v>
      </c>
      <c r="CN244" s="24">
        <v>0</v>
      </c>
      <c r="CO244" s="24">
        <v>0</v>
      </c>
      <c r="CQ244" s="24">
        <v>0</v>
      </c>
      <c r="CR244" s="24">
        <v>1025</v>
      </c>
      <c r="CS244" s="24">
        <v>6</v>
      </c>
      <c r="CT244" s="24">
        <v>218002</v>
      </c>
      <c r="CV244" s="24">
        <v>1</v>
      </c>
      <c r="CW244" s="24">
        <v>1</v>
      </c>
      <c r="CY244" s="24">
        <v>0</v>
      </c>
      <c r="CZ244" s="24">
        <v>0</v>
      </c>
      <c r="DA244" s="24">
        <v>1</v>
      </c>
      <c r="DB244" s="24">
        <v>1</v>
      </c>
      <c r="DC244" s="24">
        <v>-1</v>
      </c>
      <c r="DD244" s="24">
        <v>2181</v>
      </c>
      <c r="DE244" s="24">
        <v>0</v>
      </c>
      <c r="DF244" s="24">
        <v>0</v>
      </c>
      <c r="DG244" s="24">
        <v>0</v>
      </c>
      <c r="DI244" s="24">
        <v>0</v>
      </c>
      <c r="DJ244" s="24">
        <v>0</v>
      </c>
      <c r="DL244" s="24">
        <v>0</v>
      </c>
      <c r="DM244" s="24">
        <v>0</v>
      </c>
      <c r="DO244" s="24">
        <v>0</v>
      </c>
      <c r="DP244" s="24">
        <v>0</v>
      </c>
      <c r="DQ244" s="24">
        <v>0</v>
      </c>
      <c r="DR244" s="24">
        <v>0</v>
      </c>
      <c r="DS244" s="24">
        <v>0</v>
      </c>
      <c r="DT244" s="24">
        <v>0</v>
      </c>
      <c r="DV244" s="24" t="s">
        <v>961</v>
      </c>
    </row>
    <row r="245" spans="1:130" ht="12.75" customHeight="1">
      <c r="E245" s="24">
        <v>26703</v>
      </c>
      <c r="F245" s="24" t="s">
        <v>962</v>
      </c>
      <c r="G245" s="24">
        <v>0</v>
      </c>
      <c r="H245" s="24">
        <v>5026703</v>
      </c>
      <c r="I245" s="24" t="s">
        <v>962</v>
      </c>
      <c r="J245" s="24" t="s">
        <v>962</v>
      </c>
      <c r="M245" s="24">
        <v>102</v>
      </c>
      <c r="N245" s="24">
        <v>0</v>
      </c>
      <c r="P245" s="24">
        <v>2</v>
      </c>
      <c r="Q245" s="24">
        <v>524544</v>
      </c>
      <c r="R245" s="24">
        <v>0</v>
      </c>
      <c r="S245" s="24">
        <v>0</v>
      </c>
      <c r="T245" s="24"/>
      <c r="U245" s="24">
        <v>0</v>
      </c>
      <c r="V245" s="24">
        <v>0</v>
      </c>
      <c r="W245" s="24">
        <v>0</v>
      </c>
      <c r="X245" s="24">
        <v>0</v>
      </c>
      <c r="Y245" s="24">
        <v>0</v>
      </c>
      <c r="Z245" s="24">
        <v>0</v>
      </c>
      <c r="AB245" s="24">
        <v>10001</v>
      </c>
      <c r="AC245" s="24">
        <v>-1</v>
      </c>
      <c r="AD245" s="24">
        <v>-1</v>
      </c>
      <c r="AE245" s="24">
        <v>-1</v>
      </c>
      <c r="AF245" s="24">
        <v>0</v>
      </c>
      <c r="AH245" s="24">
        <v>1</v>
      </c>
      <c r="AI245" s="24">
        <v>-1</v>
      </c>
      <c r="AJ245" s="24">
        <v>-1</v>
      </c>
      <c r="AK245" s="24">
        <v>0</v>
      </c>
      <c r="AL245" s="24">
        <v>-1</v>
      </c>
      <c r="AM245" s="24">
        <v>0</v>
      </c>
      <c r="AN245" s="24">
        <v>0</v>
      </c>
      <c r="AO245" s="24">
        <v>0</v>
      </c>
      <c r="AP245" s="24">
        <v>0</v>
      </c>
      <c r="AQ245" s="24">
        <v>0</v>
      </c>
      <c r="AR245" s="24">
        <v>0</v>
      </c>
      <c r="AS245" s="24">
        <v>0</v>
      </c>
      <c r="AT245" s="24">
        <v>0</v>
      </c>
      <c r="AU245" s="24">
        <v>0</v>
      </c>
      <c r="AV245" s="24">
        <v>0</v>
      </c>
      <c r="AW245" s="24">
        <v>0</v>
      </c>
      <c r="AX245" s="24">
        <v>0</v>
      </c>
      <c r="AY245" s="24">
        <v>0</v>
      </c>
      <c r="BB245" s="24">
        <v>0</v>
      </c>
      <c r="BC245" s="24">
        <v>500</v>
      </c>
      <c r="BD245" s="24">
        <v>200</v>
      </c>
      <c r="BE245" s="24">
        <v>1</v>
      </c>
      <c r="BF245" s="24">
        <v>1</v>
      </c>
      <c r="BG245" s="24">
        <v>1</v>
      </c>
      <c r="BH245" s="24">
        <v>0</v>
      </c>
      <c r="BI245" s="24">
        <v>0</v>
      </c>
      <c r="BJ245" s="24">
        <v>0</v>
      </c>
      <c r="BK245" s="24">
        <v>126</v>
      </c>
      <c r="BL245" s="24">
        <v>0</v>
      </c>
      <c r="BN245" s="24">
        <v>-1</v>
      </c>
      <c r="BO245" s="24">
        <v>0</v>
      </c>
      <c r="BP245" s="24">
        <v>2</v>
      </c>
      <c r="BQ245" s="24">
        <v>10</v>
      </c>
      <c r="BR245" s="24">
        <v>1</v>
      </c>
      <c r="BS245" s="24">
        <v>50</v>
      </c>
      <c r="BT245" s="24">
        <v>0</v>
      </c>
      <c r="BU245" s="24">
        <v>0</v>
      </c>
      <c r="BV245" s="24">
        <v>6</v>
      </c>
      <c r="BW245" s="24">
        <v>0</v>
      </c>
      <c r="BX245" s="24">
        <v>1</v>
      </c>
      <c r="CA245" s="24">
        <v>6001</v>
      </c>
      <c r="CB245" s="24">
        <v>0</v>
      </c>
      <c r="CC245" s="24">
        <v>0</v>
      </c>
      <c r="CD245" s="24">
        <v>0</v>
      </c>
      <c r="CE245" s="24">
        <v>0</v>
      </c>
      <c r="CF245" s="24">
        <v>0</v>
      </c>
      <c r="CG245" s="24">
        <v>0</v>
      </c>
      <c r="CH245" s="24">
        <v>0</v>
      </c>
      <c r="CI245" s="24">
        <v>0</v>
      </c>
      <c r="CJ245" s="24">
        <v>0</v>
      </c>
      <c r="CK245" s="24">
        <v>0</v>
      </c>
      <c r="CL245" s="24">
        <v>0</v>
      </c>
      <c r="CM245" s="24">
        <v>0</v>
      </c>
      <c r="CN245" s="24">
        <v>0</v>
      </c>
      <c r="CO245" s="24">
        <v>0</v>
      </c>
      <c r="CQ245" s="24">
        <v>0</v>
      </c>
      <c r="CR245" s="24">
        <v>1026</v>
      </c>
      <c r="CS245" s="24">
        <v>6</v>
      </c>
      <c r="CT245" s="24">
        <v>218010</v>
      </c>
      <c r="CV245" s="24">
        <v>1</v>
      </c>
      <c r="CW245" s="24">
        <v>2</v>
      </c>
      <c r="CY245" s="24">
        <v>0</v>
      </c>
      <c r="CZ245" s="24">
        <v>0</v>
      </c>
      <c r="DA245" s="24">
        <v>2</v>
      </c>
      <c r="DB245" s="24">
        <v>1</v>
      </c>
      <c r="DC245" s="24">
        <v>-1</v>
      </c>
      <c r="DD245" s="24">
        <v>0</v>
      </c>
      <c r="DE245" s="24">
        <v>0</v>
      </c>
      <c r="DF245" s="24">
        <v>0</v>
      </c>
      <c r="DG245" s="24">
        <v>0</v>
      </c>
      <c r="DI245" s="24">
        <v>0</v>
      </c>
      <c r="DJ245" s="24">
        <v>0</v>
      </c>
      <c r="DL245" s="24">
        <v>0</v>
      </c>
      <c r="DM245" s="24">
        <v>0</v>
      </c>
      <c r="DO245" s="24">
        <v>0</v>
      </c>
      <c r="DP245" s="24">
        <v>0</v>
      </c>
      <c r="DQ245" s="24">
        <v>0</v>
      </c>
      <c r="DR245" s="24">
        <v>0</v>
      </c>
      <c r="DS245" s="24">
        <v>0</v>
      </c>
      <c r="DT245" s="24">
        <v>0</v>
      </c>
      <c r="DV245" s="24" t="s">
        <v>961</v>
      </c>
    </row>
    <row r="246" spans="1:130">
      <c r="E246" s="24">
        <v>26704</v>
      </c>
      <c r="F246" s="24" t="s">
        <v>963</v>
      </c>
      <c r="G246" s="24">
        <v>0</v>
      </c>
      <c r="H246" s="24">
        <v>5026704</v>
      </c>
      <c r="I246" s="24" t="s">
        <v>963</v>
      </c>
      <c r="J246" s="24" t="s">
        <v>963</v>
      </c>
      <c r="M246" s="24">
        <v>0</v>
      </c>
      <c r="N246" s="24">
        <v>0</v>
      </c>
      <c r="P246" s="24">
        <v>12</v>
      </c>
      <c r="Q246" s="24">
        <v>0</v>
      </c>
      <c r="R246" s="24">
        <v>0</v>
      </c>
      <c r="S246" s="24">
        <v>0</v>
      </c>
      <c r="T246" s="24"/>
      <c r="U246" s="24">
        <v>3</v>
      </c>
      <c r="V246" s="24">
        <v>2</v>
      </c>
      <c r="W246" s="24">
        <v>0</v>
      </c>
      <c r="X246" s="24">
        <v>26703</v>
      </c>
      <c r="Y246" s="24">
        <v>0</v>
      </c>
      <c r="Z246" s="24">
        <v>1000</v>
      </c>
      <c r="AB246" s="24">
        <v>30001</v>
      </c>
      <c r="AC246" s="24">
        <v>-1</v>
      </c>
      <c r="AD246" s="24">
        <v>-1</v>
      </c>
      <c r="AE246" s="24">
        <v>-1</v>
      </c>
      <c r="AF246" s="24">
        <v>0</v>
      </c>
      <c r="AH246" s="24">
        <v>1</v>
      </c>
      <c r="AI246" s="24">
        <v>-1</v>
      </c>
      <c r="AJ246" s="24">
        <v>-1</v>
      </c>
      <c r="AK246" s="24">
        <v>0</v>
      </c>
      <c r="AL246" s="24">
        <v>-1</v>
      </c>
      <c r="AM246" s="24">
        <v>0</v>
      </c>
      <c r="AN246" s="24">
        <v>0</v>
      </c>
      <c r="AO246" s="24">
        <v>0</v>
      </c>
      <c r="AP246" s="24">
        <v>0</v>
      </c>
      <c r="AQ246" s="24">
        <v>0</v>
      </c>
      <c r="AR246" s="24">
        <v>0</v>
      </c>
      <c r="AS246" s="24">
        <v>0</v>
      </c>
      <c r="AT246" s="24">
        <v>0</v>
      </c>
      <c r="AU246" s="24">
        <v>0</v>
      </c>
      <c r="AV246" s="24">
        <v>0</v>
      </c>
      <c r="AW246" s="24">
        <v>0</v>
      </c>
      <c r="AX246" s="24">
        <v>0</v>
      </c>
      <c r="AY246" s="24">
        <v>0</v>
      </c>
      <c r="BB246" s="24">
        <v>0</v>
      </c>
      <c r="BC246" s="24">
        <v>500</v>
      </c>
      <c r="BD246" s="24">
        <v>100</v>
      </c>
      <c r="BE246" s="24">
        <v>1</v>
      </c>
      <c r="BF246" s="24">
        <v>1024</v>
      </c>
      <c r="BG246" s="24">
        <v>4</v>
      </c>
      <c r="BH246" s="24">
        <v>26704</v>
      </c>
      <c r="BI246" s="24">
        <v>1</v>
      </c>
      <c r="BJ246" s="24">
        <v>1</v>
      </c>
      <c r="BK246" s="24">
        <v>126</v>
      </c>
      <c r="BL246" s="24">
        <v>0</v>
      </c>
      <c r="BN246" s="24">
        <v>-1</v>
      </c>
      <c r="BO246" s="24">
        <v>0</v>
      </c>
      <c r="BP246" s="24">
        <v>2</v>
      </c>
      <c r="BQ246" s="24">
        <v>10</v>
      </c>
      <c r="BR246" s="24">
        <v>1</v>
      </c>
      <c r="BS246" s="24">
        <v>50</v>
      </c>
      <c r="BT246" s="24">
        <v>0</v>
      </c>
      <c r="BU246" s="24">
        <v>0</v>
      </c>
      <c r="BV246" s="24">
        <v>6</v>
      </c>
      <c r="BW246" s="24">
        <v>0</v>
      </c>
      <c r="BX246" s="24">
        <v>1</v>
      </c>
      <c r="CA246" s="24">
        <v>-1</v>
      </c>
      <c r="CB246" s="24">
        <v>0</v>
      </c>
      <c r="CC246" s="24">
        <v>0</v>
      </c>
      <c r="CD246" s="24">
        <v>0</v>
      </c>
      <c r="CE246" s="24">
        <v>0</v>
      </c>
      <c r="CF246" s="24">
        <v>0</v>
      </c>
      <c r="CG246" s="24">
        <v>0</v>
      </c>
      <c r="CH246" s="24">
        <v>0</v>
      </c>
      <c r="CI246" s="24">
        <v>0</v>
      </c>
      <c r="CJ246" s="24">
        <v>0</v>
      </c>
      <c r="CK246" s="24">
        <v>0</v>
      </c>
      <c r="CL246" s="24">
        <v>0</v>
      </c>
      <c r="CM246" s="24">
        <v>0</v>
      </c>
      <c r="CN246" s="24">
        <v>0</v>
      </c>
      <c r="CO246" s="24">
        <v>0</v>
      </c>
      <c r="CQ246" s="24">
        <v>0</v>
      </c>
      <c r="CR246" s="24">
        <v>0</v>
      </c>
      <c r="CS246" s="24">
        <v>6</v>
      </c>
      <c r="CT246" s="24">
        <v>-1</v>
      </c>
      <c r="CV246" s="24">
        <v>0</v>
      </c>
      <c r="CW246" s="24">
        <v>0</v>
      </c>
      <c r="CY246" s="24">
        <v>0</v>
      </c>
      <c r="CZ246" s="24">
        <v>26703</v>
      </c>
      <c r="DA246" s="24">
        <v>2</v>
      </c>
      <c r="DB246" s="24">
        <v>1</v>
      </c>
      <c r="DC246" s="24">
        <v>-1</v>
      </c>
      <c r="DD246" s="24">
        <v>0</v>
      </c>
      <c r="DE246" s="24">
        <v>0</v>
      </c>
      <c r="DF246" s="24">
        <v>0</v>
      </c>
      <c r="DG246" s="24">
        <v>0</v>
      </c>
      <c r="DI246" s="24">
        <v>0</v>
      </c>
      <c r="DJ246" s="24">
        <v>0</v>
      </c>
      <c r="DL246" s="24">
        <v>0</v>
      </c>
      <c r="DM246" s="24">
        <v>0</v>
      </c>
      <c r="DO246" s="24">
        <v>0</v>
      </c>
      <c r="DP246" s="24">
        <v>0</v>
      </c>
      <c r="DQ246" s="24">
        <v>0</v>
      </c>
      <c r="DR246" s="24">
        <v>0</v>
      </c>
      <c r="DS246" s="24">
        <v>0</v>
      </c>
      <c r="DT246" s="24">
        <v>0</v>
      </c>
      <c r="DV246" s="24" t="s">
        <v>961</v>
      </c>
    </row>
    <row r="247" spans="1:130">
      <c r="E247" s="24">
        <v>26705</v>
      </c>
      <c r="F247" s="24" t="s">
        <v>964</v>
      </c>
      <c r="G247" s="24">
        <v>0</v>
      </c>
      <c r="H247" s="24">
        <v>5026705</v>
      </c>
      <c r="I247" s="24" t="s">
        <v>964</v>
      </c>
      <c r="J247" s="24" t="s">
        <v>964</v>
      </c>
      <c r="M247" s="24">
        <v>102</v>
      </c>
      <c r="N247" s="24">
        <v>0</v>
      </c>
      <c r="P247" s="24">
        <v>2</v>
      </c>
      <c r="Q247" s="24">
        <v>524544</v>
      </c>
      <c r="R247" s="24">
        <v>0</v>
      </c>
      <c r="S247" s="24">
        <v>0</v>
      </c>
      <c r="T247" s="24"/>
      <c r="U247" s="24">
        <v>0</v>
      </c>
      <c r="V247" s="24">
        <v>0</v>
      </c>
      <c r="W247" s="24">
        <v>0</v>
      </c>
      <c r="X247" s="24">
        <v>0</v>
      </c>
      <c r="Y247" s="24">
        <v>0</v>
      </c>
      <c r="Z247" s="24">
        <v>0</v>
      </c>
      <c r="AB247" s="24">
        <v>10001</v>
      </c>
      <c r="AC247" s="24">
        <v>-1</v>
      </c>
      <c r="AD247" s="24">
        <v>-1</v>
      </c>
      <c r="AE247" s="24">
        <v>-1</v>
      </c>
      <c r="AF247" s="24">
        <v>0</v>
      </c>
      <c r="AH247" s="24">
        <v>1</v>
      </c>
      <c r="AI247" s="24">
        <v>-1</v>
      </c>
      <c r="AJ247" s="24">
        <v>-1</v>
      </c>
      <c r="AK247" s="24">
        <v>0</v>
      </c>
      <c r="AL247" s="24">
        <v>-1</v>
      </c>
      <c r="AM247" s="24">
        <v>0</v>
      </c>
      <c r="AN247" s="24">
        <v>0</v>
      </c>
      <c r="AO247" s="24">
        <v>0</v>
      </c>
      <c r="AP247" s="24">
        <v>0</v>
      </c>
      <c r="AQ247" s="24">
        <v>0</v>
      </c>
      <c r="AR247" s="24">
        <v>0</v>
      </c>
      <c r="AS247" s="24">
        <v>0</v>
      </c>
      <c r="AT247" s="24">
        <v>0</v>
      </c>
      <c r="AU247" s="24">
        <v>0</v>
      </c>
      <c r="AV247" s="24">
        <v>0</v>
      </c>
      <c r="AW247" s="24">
        <v>0</v>
      </c>
      <c r="AX247" s="24">
        <v>0</v>
      </c>
      <c r="AY247" s="24">
        <v>0</v>
      </c>
      <c r="BB247" s="24">
        <v>0</v>
      </c>
      <c r="BC247" s="24">
        <v>500</v>
      </c>
      <c r="BD247" s="24">
        <v>100</v>
      </c>
      <c r="BE247" s="24">
        <v>1</v>
      </c>
      <c r="BF247" s="24">
        <v>1</v>
      </c>
      <c r="BG247" s="24">
        <v>1</v>
      </c>
      <c r="BH247" s="24">
        <v>0</v>
      </c>
      <c r="BI247" s="24">
        <v>0</v>
      </c>
      <c r="BJ247" s="24">
        <v>0</v>
      </c>
      <c r="BK247" s="24">
        <v>126</v>
      </c>
      <c r="BL247" s="24">
        <v>0</v>
      </c>
      <c r="BN247" s="24">
        <v>-1</v>
      </c>
      <c r="BO247" s="24">
        <v>0</v>
      </c>
      <c r="BP247" s="24">
        <v>2</v>
      </c>
      <c r="BQ247" s="24">
        <v>5</v>
      </c>
      <c r="BR247" s="24">
        <v>2</v>
      </c>
      <c r="BS247" s="24">
        <v>20</v>
      </c>
      <c r="BT247" s="24">
        <v>0</v>
      </c>
      <c r="BU247" s="24">
        <v>0</v>
      </c>
      <c r="BV247" s="24">
        <v>6</v>
      </c>
      <c r="BW247" s="24">
        <v>0</v>
      </c>
      <c r="BX247" s="24">
        <v>4</v>
      </c>
      <c r="CA247" s="24">
        <v>10001</v>
      </c>
      <c r="CB247" s="24">
        <v>0</v>
      </c>
      <c r="CC247" s="24">
        <v>0</v>
      </c>
      <c r="CD247" s="24">
        <v>0</v>
      </c>
      <c r="CE247" s="24">
        <v>0</v>
      </c>
      <c r="CF247" s="24">
        <v>0</v>
      </c>
      <c r="CG247" s="24">
        <v>0</v>
      </c>
      <c r="CH247" s="24">
        <v>0</v>
      </c>
      <c r="CI247" s="24">
        <v>0</v>
      </c>
      <c r="CJ247" s="24">
        <v>0</v>
      </c>
      <c r="CK247" s="24">
        <v>0</v>
      </c>
      <c r="CL247" s="24">
        <v>0</v>
      </c>
      <c r="CM247" s="24">
        <v>0</v>
      </c>
      <c r="CN247" s="24">
        <v>0</v>
      </c>
      <c r="CO247" s="24">
        <v>0</v>
      </c>
      <c r="CQ247" s="24">
        <v>0</v>
      </c>
      <c r="CR247" s="24">
        <v>1029</v>
      </c>
      <c r="CS247" s="24">
        <v>6</v>
      </c>
      <c r="CT247" s="24">
        <v>218011</v>
      </c>
      <c r="CV247" s="24">
        <v>1</v>
      </c>
      <c r="CW247" s="24">
        <v>2</v>
      </c>
      <c r="CY247" s="24">
        <v>0</v>
      </c>
      <c r="CZ247" s="24">
        <v>0</v>
      </c>
      <c r="DA247" s="24">
        <v>2</v>
      </c>
      <c r="DB247" s="24">
        <v>1</v>
      </c>
      <c r="DC247" s="24">
        <v>-1</v>
      </c>
      <c r="DD247" s="24">
        <v>0</v>
      </c>
      <c r="DE247" s="24">
        <v>0</v>
      </c>
      <c r="DF247" s="24">
        <v>0</v>
      </c>
      <c r="DG247" s="24">
        <v>0</v>
      </c>
      <c r="DI247" s="24">
        <v>0</v>
      </c>
      <c r="DJ247" s="24">
        <v>0</v>
      </c>
      <c r="DL247" s="24">
        <v>0</v>
      </c>
      <c r="DM247" s="24">
        <v>0</v>
      </c>
      <c r="DO247" s="24">
        <v>0</v>
      </c>
      <c r="DP247" s="24">
        <v>0</v>
      </c>
      <c r="DQ247" s="24">
        <v>0</v>
      </c>
      <c r="DR247" s="24">
        <v>0</v>
      </c>
      <c r="DS247" s="24">
        <v>0</v>
      </c>
      <c r="DT247" s="24">
        <v>0</v>
      </c>
      <c r="DV247" s="24" t="s">
        <v>961</v>
      </c>
    </row>
    <row r="248" spans="1:130">
      <c r="E248" s="24">
        <v>26706</v>
      </c>
      <c r="F248" s="24" t="s">
        <v>965</v>
      </c>
      <c r="G248" s="24">
        <v>0</v>
      </c>
      <c r="H248" s="24">
        <v>5026706</v>
      </c>
      <c r="I248" s="24" t="s">
        <v>965</v>
      </c>
      <c r="J248" s="24" t="s">
        <v>965</v>
      </c>
      <c r="M248" s="24">
        <v>102</v>
      </c>
      <c r="N248" s="24">
        <v>0</v>
      </c>
      <c r="P248" s="24">
        <v>2</v>
      </c>
      <c r="Q248" s="24">
        <v>524544</v>
      </c>
      <c r="R248" s="24">
        <v>0</v>
      </c>
      <c r="S248" s="24">
        <v>0</v>
      </c>
      <c r="T248" s="24"/>
      <c r="U248" s="24">
        <v>0</v>
      </c>
      <c r="V248" s="24">
        <v>0</v>
      </c>
      <c r="W248" s="24">
        <v>0</v>
      </c>
      <c r="X248" s="24">
        <v>0</v>
      </c>
      <c r="Y248" s="24">
        <v>0</v>
      </c>
      <c r="Z248" s="24">
        <v>0</v>
      </c>
      <c r="AB248" s="24">
        <v>10001</v>
      </c>
      <c r="AC248" s="24">
        <v>-1</v>
      </c>
      <c r="AD248" s="24">
        <v>-1</v>
      </c>
      <c r="AE248" s="24">
        <v>-1</v>
      </c>
      <c r="AF248" s="24">
        <v>0</v>
      </c>
      <c r="AH248" s="24">
        <v>1</v>
      </c>
      <c r="AI248" s="24">
        <v>-1</v>
      </c>
      <c r="AJ248" s="24">
        <v>-1</v>
      </c>
      <c r="AK248" s="24">
        <v>0</v>
      </c>
      <c r="AL248" s="24">
        <v>-1</v>
      </c>
      <c r="AM248" s="24">
        <v>0</v>
      </c>
      <c r="AN248" s="24">
        <v>0</v>
      </c>
      <c r="AO248" s="24">
        <v>0</v>
      </c>
      <c r="AP248" s="24">
        <v>0</v>
      </c>
      <c r="AQ248" s="24">
        <v>0</v>
      </c>
      <c r="AR248" s="24">
        <v>0</v>
      </c>
      <c r="AS248" s="24">
        <v>0</v>
      </c>
      <c r="AT248" s="24">
        <v>0</v>
      </c>
      <c r="AU248" s="24">
        <v>0</v>
      </c>
      <c r="AV248" s="24">
        <v>0</v>
      </c>
      <c r="AW248" s="24">
        <v>0</v>
      </c>
      <c r="AX248" s="24">
        <v>0</v>
      </c>
      <c r="AY248" s="24">
        <v>0</v>
      </c>
      <c r="BB248" s="24">
        <v>0</v>
      </c>
      <c r="BC248" s="24">
        <v>500</v>
      </c>
      <c r="BD248" s="24">
        <v>200</v>
      </c>
      <c r="BE248" s="24">
        <v>1</v>
      </c>
      <c r="BF248" s="24">
        <v>1</v>
      </c>
      <c r="BG248" s="24">
        <v>1</v>
      </c>
      <c r="BH248" s="24">
        <v>0</v>
      </c>
      <c r="BI248" s="24">
        <v>0</v>
      </c>
      <c r="BJ248" s="24">
        <v>0</v>
      </c>
      <c r="BK248" s="24">
        <v>126</v>
      </c>
      <c r="BL248" s="24">
        <v>0</v>
      </c>
      <c r="BN248" s="24">
        <v>-1</v>
      </c>
      <c r="BO248" s="24">
        <v>0</v>
      </c>
      <c r="BP248" s="24">
        <v>1</v>
      </c>
      <c r="BQ248" s="24">
        <v>5</v>
      </c>
      <c r="BR248" s="24">
        <v>2</v>
      </c>
      <c r="BS248" s="24">
        <v>30</v>
      </c>
      <c r="BT248" s="24">
        <v>0</v>
      </c>
      <c r="BU248" s="24">
        <v>0</v>
      </c>
      <c r="BV248" s="24">
        <v>6</v>
      </c>
      <c r="BW248" s="24">
        <v>0</v>
      </c>
      <c r="BX248" s="24">
        <v>4</v>
      </c>
      <c r="CA248" s="24">
        <v>5001</v>
      </c>
      <c r="CB248" s="24">
        <v>0</v>
      </c>
      <c r="CC248" s="24">
        <v>0</v>
      </c>
      <c r="CD248" s="24">
        <v>0</v>
      </c>
      <c r="CE248" s="24">
        <v>0</v>
      </c>
      <c r="CF248" s="24">
        <v>0</v>
      </c>
      <c r="CG248" s="24">
        <v>0</v>
      </c>
      <c r="CH248" s="24">
        <v>0</v>
      </c>
      <c r="CI248" s="24">
        <v>0</v>
      </c>
      <c r="CJ248" s="24">
        <v>0</v>
      </c>
      <c r="CK248" s="24">
        <v>0</v>
      </c>
      <c r="CL248" s="24">
        <v>0</v>
      </c>
      <c r="CM248" s="24">
        <v>0</v>
      </c>
      <c r="CN248" s="24">
        <v>0</v>
      </c>
      <c r="CO248" s="24">
        <v>0</v>
      </c>
      <c r="CQ248" s="24">
        <v>0</v>
      </c>
      <c r="CR248" s="24">
        <v>1034</v>
      </c>
      <c r="CS248" s="24">
        <v>6</v>
      </c>
      <c r="CT248" s="24">
        <v>218012</v>
      </c>
      <c r="CV248" s="24">
        <v>1</v>
      </c>
      <c r="CW248" s="24">
        <v>2</v>
      </c>
      <c r="CY248" s="24">
        <v>0</v>
      </c>
      <c r="CZ248" s="24">
        <v>0</v>
      </c>
      <c r="DA248" s="24">
        <v>1</v>
      </c>
      <c r="DB248" s="24">
        <v>1</v>
      </c>
      <c r="DC248" s="24">
        <v>-1</v>
      </c>
      <c r="DD248" s="24">
        <v>0</v>
      </c>
      <c r="DE248" s="24">
        <v>0</v>
      </c>
      <c r="DF248" s="24">
        <v>0</v>
      </c>
      <c r="DG248" s="24">
        <v>0</v>
      </c>
      <c r="DI248" s="24">
        <v>0</v>
      </c>
      <c r="DJ248" s="24">
        <v>0</v>
      </c>
      <c r="DL248" s="24">
        <v>0</v>
      </c>
      <c r="DM248" s="24">
        <v>0</v>
      </c>
      <c r="DO248" s="24">
        <v>0</v>
      </c>
      <c r="DP248" s="24">
        <v>0</v>
      </c>
      <c r="DQ248" s="24">
        <v>0</v>
      </c>
      <c r="DR248" s="24">
        <v>0</v>
      </c>
      <c r="DS248" s="24">
        <v>0</v>
      </c>
      <c r="DT248" s="24">
        <v>0</v>
      </c>
      <c r="DV248" s="24" t="s">
        <v>961</v>
      </c>
    </row>
    <row r="249" spans="1:130">
      <c r="E249" s="24">
        <v>26707</v>
      </c>
      <c r="F249" s="24" t="s">
        <v>966</v>
      </c>
      <c r="G249" s="24">
        <v>0</v>
      </c>
      <c r="H249" s="24">
        <v>5026707</v>
      </c>
      <c r="I249" s="24" t="s">
        <v>966</v>
      </c>
      <c r="J249" s="24" t="s">
        <v>966</v>
      </c>
      <c r="M249" s="24">
        <v>0</v>
      </c>
      <c r="N249" s="24">
        <v>0</v>
      </c>
      <c r="P249" s="24">
        <v>12</v>
      </c>
      <c r="Q249" s="24">
        <v>0</v>
      </c>
      <c r="R249" s="24">
        <v>0</v>
      </c>
      <c r="S249" s="24">
        <v>0</v>
      </c>
      <c r="T249" s="24"/>
      <c r="U249" s="24">
        <v>1</v>
      </c>
      <c r="V249" s="24">
        <v>2050</v>
      </c>
      <c r="W249" s="24">
        <v>1</v>
      </c>
      <c r="X249" s="24">
        <v>26706</v>
      </c>
      <c r="Y249" s="24">
        <v>0</v>
      </c>
      <c r="Z249" s="24">
        <v>1000</v>
      </c>
      <c r="AB249" s="24">
        <v>30001</v>
      </c>
      <c r="AC249" s="24">
        <v>-1</v>
      </c>
      <c r="AD249" s="24">
        <v>-1</v>
      </c>
      <c r="AE249" s="24">
        <v>-1</v>
      </c>
      <c r="AF249" s="24">
        <v>0</v>
      </c>
      <c r="AH249" s="24">
        <v>1</v>
      </c>
      <c r="AI249" s="24">
        <v>-1</v>
      </c>
      <c r="AJ249" s="24">
        <v>-1</v>
      </c>
      <c r="AK249" s="24">
        <v>0</v>
      </c>
      <c r="AL249" s="24">
        <v>-1</v>
      </c>
      <c r="AM249" s="24">
        <v>0</v>
      </c>
      <c r="AN249" s="24">
        <v>0</v>
      </c>
      <c r="AO249" s="24">
        <v>0</v>
      </c>
      <c r="AP249" s="24">
        <v>0</v>
      </c>
      <c r="AQ249" s="24">
        <v>0</v>
      </c>
      <c r="AR249" s="24">
        <v>0</v>
      </c>
      <c r="AS249" s="24">
        <v>0</v>
      </c>
      <c r="AT249" s="24">
        <v>0</v>
      </c>
      <c r="AU249" s="24">
        <v>0</v>
      </c>
      <c r="AV249" s="24">
        <v>0</v>
      </c>
      <c r="AW249" s="24">
        <v>0</v>
      </c>
      <c r="AX249" s="24">
        <v>0</v>
      </c>
      <c r="AY249" s="24">
        <v>0</v>
      </c>
      <c r="BB249" s="24">
        <v>0</v>
      </c>
      <c r="BC249" s="24">
        <v>0</v>
      </c>
      <c r="BD249" s="24">
        <v>500</v>
      </c>
      <c r="BE249" s="24">
        <v>1</v>
      </c>
      <c r="BF249" s="24">
        <v>512</v>
      </c>
      <c r="BG249" s="24">
        <v>4</v>
      </c>
      <c r="BH249" s="24">
        <v>26707</v>
      </c>
      <c r="BI249" s="24">
        <v>1</v>
      </c>
      <c r="BJ249" s="24">
        <v>1</v>
      </c>
      <c r="BK249" s="24">
        <v>126</v>
      </c>
      <c r="BL249" s="24">
        <v>0</v>
      </c>
      <c r="BN249" s="24">
        <v>-1</v>
      </c>
      <c r="BO249" s="24">
        <v>0</v>
      </c>
      <c r="BP249" s="24">
        <v>1</v>
      </c>
      <c r="BQ249" s="24">
        <v>0</v>
      </c>
      <c r="BR249" s="24">
        <v>1</v>
      </c>
      <c r="BS249" s="24">
        <v>0</v>
      </c>
      <c r="BT249" s="24">
        <v>0</v>
      </c>
      <c r="BU249" s="24">
        <v>0</v>
      </c>
      <c r="BV249" s="24">
        <v>2</v>
      </c>
      <c r="BW249" s="24">
        <v>0</v>
      </c>
      <c r="BX249" s="24">
        <v>1</v>
      </c>
      <c r="CA249" s="24">
        <v>-1</v>
      </c>
      <c r="CB249" s="24">
        <v>0</v>
      </c>
      <c r="CC249" s="24">
        <v>0</v>
      </c>
      <c r="CD249" s="24">
        <v>0</v>
      </c>
      <c r="CE249" s="24">
        <v>0</v>
      </c>
      <c r="CF249" s="24">
        <v>0</v>
      </c>
      <c r="CG249" s="24">
        <v>0</v>
      </c>
      <c r="CH249" s="24">
        <v>0</v>
      </c>
      <c r="CI249" s="24">
        <v>0</v>
      </c>
      <c r="CJ249" s="24">
        <v>0</v>
      </c>
      <c r="CK249" s="24">
        <v>0</v>
      </c>
      <c r="CL249" s="24">
        <v>0</v>
      </c>
      <c r="CM249" s="24">
        <v>0</v>
      </c>
      <c r="CN249" s="24">
        <v>0</v>
      </c>
      <c r="CO249" s="24">
        <v>0</v>
      </c>
      <c r="CQ249" s="24">
        <v>0</v>
      </c>
      <c r="CR249" s="24">
        <v>0</v>
      </c>
      <c r="CS249" s="24">
        <v>0</v>
      </c>
      <c r="CT249" s="24">
        <v>-1</v>
      </c>
      <c r="CV249" s="24">
        <v>0</v>
      </c>
      <c r="CW249" s="24">
        <v>0</v>
      </c>
      <c r="CY249" s="24">
        <v>0</v>
      </c>
      <c r="CZ249" s="24">
        <v>26706</v>
      </c>
      <c r="DA249" s="24">
        <v>1</v>
      </c>
      <c r="DB249" s="24">
        <v>1</v>
      </c>
      <c r="DC249" s="24">
        <v>-1</v>
      </c>
      <c r="DD249" s="24">
        <v>0</v>
      </c>
      <c r="DE249" s="24">
        <v>0</v>
      </c>
      <c r="DF249" s="24">
        <v>0</v>
      </c>
      <c r="DG249" s="24">
        <v>0</v>
      </c>
      <c r="DI249" s="24">
        <v>0</v>
      </c>
      <c r="DJ249" s="24">
        <v>0</v>
      </c>
      <c r="DL249" s="24">
        <v>0</v>
      </c>
      <c r="DM249" s="24">
        <v>0</v>
      </c>
      <c r="DO249" s="24">
        <v>0</v>
      </c>
      <c r="DP249" s="24">
        <v>0</v>
      </c>
      <c r="DQ249" s="24">
        <v>0</v>
      </c>
      <c r="DR249" s="24">
        <v>0</v>
      </c>
      <c r="DS249" s="24">
        <v>0</v>
      </c>
      <c r="DT249" s="24">
        <v>0</v>
      </c>
      <c r="DV249" s="24" t="s">
        <v>961</v>
      </c>
    </row>
    <row r="250" spans="1:130">
      <c r="E250" s="24">
        <v>26708</v>
      </c>
      <c r="F250" s="24" t="s">
        <v>967</v>
      </c>
      <c r="G250" s="24">
        <v>0</v>
      </c>
      <c r="H250" s="24">
        <v>5026708</v>
      </c>
      <c r="I250" s="24" t="s">
        <v>967</v>
      </c>
      <c r="J250" s="24" t="s">
        <v>967</v>
      </c>
      <c r="M250" s="24">
        <v>0</v>
      </c>
      <c r="N250" s="24">
        <v>0</v>
      </c>
      <c r="P250" s="24">
        <v>2</v>
      </c>
      <c r="Q250" s="24">
        <v>524288</v>
      </c>
      <c r="R250" s="24">
        <v>0</v>
      </c>
      <c r="S250" s="24">
        <v>0</v>
      </c>
      <c r="T250" s="24"/>
      <c r="U250" s="24">
        <v>0</v>
      </c>
      <c r="V250" s="24">
        <v>0</v>
      </c>
      <c r="W250" s="24">
        <v>0</v>
      </c>
      <c r="X250" s="24">
        <v>0</v>
      </c>
      <c r="Y250" s="24">
        <v>0</v>
      </c>
      <c r="Z250" s="24">
        <v>0</v>
      </c>
      <c r="AB250" s="24">
        <v>10001</v>
      </c>
      <c r="AC250" s="24">
        <v>-1</v>
      </c>
      <c r="AD250" s="24">
        <v>-1</v>
      </c>
      <c r="AE250" s="24">
        <v>-1</v>
      </c>
      <c r="AF250" s="24">
        <v>0</v>
      </c>
      <c r="AH250" s="24">
        <v>1</v>
      </c>
      <c r="AI250" s="24">
        <v>-1</v>
      </c>
      <c r="AJ250" s="24">
        <v>-1</v>
      </c>
      <c r="AK250" s="24">
        <v>0</v>
      </c>
      <c r="AL250" s="24">
        <v>-1</v>
      </c>
      <c r="AM250" s="24">
        <v>0</v>
      </c>
      <c r="AN250" s="24">
        <v>0</v>
      </c>
      <c r="AO250" s="24">
        <v>0</v>
      </c>
      <c r="AP250" s="24">
        <v>0</v>
      </c>
      <c r="AQ250" s="24">
        <v>0</v>
      </c>
      <c r="AR250" s="24">
        <v>0</v>
      </c>
      <c r="AS250" s="24">
        <v>0</v>
      </c>
      <c r="AT250" s="24">
        <v>0</v>
      </c>
      <c r="AU250" s="24">
        <v>0</v>
      </c>
      <c r="AV250" s="24">
        <v>0</v>
      </c>
      <c r="AW250" s="24">
        <v>0</v>
      </c>
      <c r="AX250" s="24">
        <v>0</v>
      </c>
      <c r="AY250" s="24">
        <v>0</v>
      </c>
      <c r="BB250" s="24">
        <v>0</v>
      </c>
      <c r="BC250" s="24">
        <v>1233</v>
      </c>
      <c r="BD250" s="24">
        <v>100</v>
      </c>
      <c r="BE250" s="24">
        <v>3</v>
      </c>
      <c r="BF250" s="24">
        <v>4</v>
      </c>
      <c r="BG250" s="24">
        <v>1</v>
      </c>
      <c r="BH250" s="24">
        <v>0</v>
      </c>
      <c r="BI250" s="24">
        <v>0</v>
      </c>
      <c r="BJ250" s="24">
        <v>0</v>
      </c>
      <c r="BK250" s="24">
        <v>126</v>
      </c>
      <c r="BL250" s="24">
        <v>0</v>
      </c>
      <c r="BN250" s="24">
        <v>-1</v>
      </c>
      <c r="BO250" s="24">
        <v>0</v>
      </c>
      <c r="BP250" s="24">
        <v>1</v>
      </c>
      <c r="BQ250" s="24">
        <v>10</v>
      </c>
      <c r="BR250" s="24">
        <v>2</v>
      </c>
      <c r="BS250" s="24">
        <v>50</v>
      </c>
      <c r="BT250" s="24">
        <v>0</v>
      </c>
      <c r="BU250" s="24">
        <v>0</v>
      </c>
      <c r="BV250" s="24">
        <v>6</v>
      </c>
      <c r="BW250" s="24">
        <v>0</v>
      </c>
      <c r="BX250" s="24">
        <v>4</v>
      </c>
      <c r="CA250" s="24">
        <v>-1</v>
      </c>
      <c r="CB250" s="24">
        <v>0</v>
      </c>
      <c r="CC250" s="24">
        <v>0</v>
      </c>
      <c r="CD250" s="24">
        <v>0</v>
      </c>
      <c r="CE250" s="24">
        <v>0</v>
      </c>
      <c r="CF250" s="24">
        <v>0</v>
      </c>
      <c r="CG250" s="24">
        <v>0</v>
      </c>
      <c r="CH250" s="24">
        <v>0</v>
      </c>
      <c r="CI250" s="24">
        <v>0</v>
      </c>
      <c r="CJ250" s="24">
        <v>0</v>
      </c>
      <c r="CK250" s="24">
        <v>0</v>
      </c>
      <c r="CL250" s="24">
        <v>0</v>
      </c>
      <c r="CM250" s="24">
        <v>0</v>
      </c>
      <c r="CN250" s="24">
        <v>0</v>
      </c>
      <c r="CO250" s="24">
        <v>0</v>
      </c>
      <c r="CQ250" s="24">
        <v>0</v>
      </c>
      <c r="CR250" s="24">
        <v>1034</v>
      </c>
      <c r="CS250" s="24">
        <v>6</v>
      </c>
      <c r="CT250" s="24">
        <v>200</v>
      </c>
      <c r="CV250" s="24">
        <v>1</v>
      </c>
      <c r="CW250" s="24">
        <v>3</v>
      </c>
      <c r="CY250" s="24">
        <v>0</v>
      </c>
      <c r="CZ250" s="24">
        <v>0</v>
      </c>
      <c r="DA250" s="24">
        <v>1</v>
      </c>
      <c r="DB250" s="24">
        <v>1</v>
      </c>
      <c r="DC250" s="24">
        <v>-1</v>
      </c>
      <c r="DD250" s="24">
        <v>0</v>
      </c>
      <c r="DE250" s="24">
        <v>0</v>
      </c>
      <c r="DF250" s="24">
        <v>0</v>
      </c>
      <c r="DG250" s="24">
        <v>0</v>
      </c>
      <c r="DI250" s="24">
        <v>0</v>
      </c>
      <c r="DJ250" s="24">
        <v>0</v>
      </c>
      <c r="DL250" s="24">
        <v>0</v>
      </c>
      <c r="DM250" s="24">
        <v>0</v>
      </c>
      <c r="DO250" s="24">
        <v>0</v>
      </c>
      <c r="DP250" s="24">
        <v>0</v>
      </c>
      <c r="DQ250" s="24">
        <v>0</v>
      </c>
      <c r="DR250" s="24">
        <v>0</v>
      </c>
      <c r="DS250" s="24">
        <v>0</v>
      </c>
      <c r="DT250" s="24">
        <v>0</v>
      </c>
      <c r="DV250" s="24" t="s">
        <v>961</v>
      </c>
    </row>
    <row r="251" spans="1:130">
      <c r="E251" s="24">
        <v>26709</v>
      </c>
      <c r="F251" s="24" t="s">
        <v>968</v>
      </c>
      <c r="G251" s="24">
        <v>0</v>
      </c>
      <c r="H251" s="24">
        <v>5026709</v>
      </c>
      <c r="I251" s="24" t="s">
        <v>968</v>
      </c>
      <c r="J251" s="24" t="s">
        <v>968</v>
      </c>
      <c r="M251" s="24">
        <v>102</v>
      </c>
      <c r="N251" s="24">
        <v>0</v>
      </c>
      <c r="P251" s="24">
        <v>2</v>
      </c>
      <c r="Q251" s="24">
        <v>655360</v>
      </c>
      <c r="R251" s="24">
        <v>26702</v>
      </c>
      <c r="S251" s="24">
        <v>0</v>
      </c>
      <c r="T251" s="24"/>
      <c r="U251" s="24">
        <v>0</v>
      </c>
      <c r="V251" s="24">
        <v>0</v>
      </c>
      <c r="W251" s="24">
        <v>0</v>
      </c>
      <c r="X251" s="24">
        <v>0</v>
      </c>
      <c r="Y251" s="24">
        <v>0</v>
      </c>
      <c r="Z251" s="24">
        <v>1000</v>
      </c>
      <c r="AB251" s="24">
        <v>10001</v>
      </c>
      <c r="AC251" s="24">
        <v>-1</v>
      </c>
      <c r="AD251" s="24">
        <v>-1</v>
      </c>
      <c r="AE251" s="24">
        <v>-1</v>
      </c>
      <c r="AF251" s="24">
        <v>0</v>
      </c>
      <c r="AH251" s="24">
        <v>1</v>
      </c>
      <c r="AI251" s="24">
        <v>-1</v>
      </c>
      <c r="AJ251" s="24">
        <v>-1</v>
      </c>
      <c r="AK251" s="24">
        <v>0</v>
      </c>
      <c r="AL251" s="24">
        <v>-1</v>
      </c>
      <c r="AM251" s="24">
        <v>0</v>
      </c>
      <c r="AN251" s="24">
        <v>0</v>
      </c>
      <c r="AO251" s="24">
        <v>0</v>
      </c>
      <c r="AP251" s="24">
        <v>0</v>
      </c>
      <c r="AQ251" s="24">
        <v>0</v>
      </c>
      <c r="AR251" s="24">
        <v>0</v>
      </c>
      <c r="AS251" s="24">
        <v>0</v>
      </c>
      <c r="AT251" s="24">
        <v>0</v>
      </c>
      <c r="AU251" s="24">
        <v>0</v>
      </c>
      <c r="AV251" s="24">
        <v>0</v>
      </c>
      <c r="AW251" s="24">
        <v>0</v>
      </c>
      <c r="AX251" s="24">
        <v>0</v>
      </c>
      <c r="AY251" s="24">
        <v>0</v>
      </c>
      <c r="BB251" s="24">
        <v>0</v>
      </c>
      <c r="BC251" s="24">
        <v>400</v>
      </c>
      <c r="BD251" s="24">
        <v>200</v>
      </c>
      <c r="BE251" s="24">
        <v>1</v>
      </c>
      <c r="BF251" s="24">
        <v>1</v>
      </c>
      <c r="BG251" s="24">
        <v>1</v>
      </c>
      <c r="BH251" s="24">
        <v>0</v>
      </c>
      <c r="BI251" s="24">
        <v>0</v>
      </c>
      <c r="BJ251" s="24">
        <v>0</v>
      </c>
      <c r="BK251" s="24">
        <v>126</v>
      </c>
      <c r="BL251" s="24">
        <v>0</v>
      </c>
      <c r="BN251" s="24">
        <v>-1</v>
      </c>
      <c r="BO251" s="24">
        <v>0</v>
      </c>
      <c r="BP251" s="24">
        <v>8</v>
      </c>
      <c r="BQ251" s="24">
        <v>5</v>
      </c>
      <c r="BR251" s="24">
        <v>1</v>
      </c>
      <c r="BS251" s="24">
        <v>1</v>
      </c>
      <c r="BT251" s="24">
        <v>0</v>
      </c>
      <c r="BU251" s="24">
        <v>0</v>
      </c>
      <c r="BV251" s="24">
        <v>6</v>
      </c>
      <c r="BW251" s="24">
        <v>0</v>
      </c>
      <c r="BX251" s="24">
        <v>1</v>
      </c>
      <c r="CA251" s="24">
        <v>-1</v>
      </c>
      <c r="CB251" s="24">
        <v>0</v>
      </c>
      <c r="CC251" s="24">
        <v>0</v>
      </c>
      <c r="CD251" s="24">
        <v>0</v>
      </c>
      <c r="CE251" s="24">
        <v>0</v>
      </c>
      <c r="CF251" s="24">
        <v>0</v>
      </c>
      <c r="CG251" s="24">
        <v>0</v>
      </c>
      <c r="CH251" s="24">
        <v>0</v>
      </c>
      <c r="CI251" s="24">
        <v>0</v>
      </c>
      <c r="CJ251" s="24">
        <v>0</v>
      </c>
      <c r="CK251" s="24">
        <v>0</v>
      </c>
      <c r="CL251" s="24">
        <v>0</v>
      </c>
      <c r="CM251" s="24">
        <v>0</v>
      </c>
      <c r="CN251" s="24">
        <v>0</v>
      </c>
      <c r="CO251" s="24">
        <v>0</v>
      </c>
      <c r="CQ251" s="24">
        <v>0</v>
      </c>
      <c r="CR251" s="24">
        <v>1026</v>
      </c>
      <c r="CS251" s="24">
        <v>6</v>
      </c>
      <c r="CT251" s="24">
        <v>218009</v>
      </c>
      <c r="CV251" s="24">
        <v>1</v>
      </c>
      <c r="CW251" s="24">
        <v>1</v>
      </c>
      <c r="CY251" s="24">
        <v>0</v>
      </c>
      <c r="CZ251" s="24">
        <v>26702</v>
      </c>
      <c r="DA251" s="24">
        <v>1</v>
      </c>
      <c r="DB251" s="24">
        <v>1</v>
      </c>
      <c r="DC251" s="24">
        <v>-1</v>
      </c>
      <c r="DD251" s="24">
        <v>2181</v>
      </c>
      <c r="DE251" s="24">
        <v>0</v>
      </c>
      <c r="DF251" s="24">
        <v>0</v>
      </c>
      <c r="DG251" s="24">
        <v>0</v>
      </c>
      <c r="DI251" s="24">
        <v>0</v>
      </c>
      <c r="DJ251" s="24">
        <v>0</v>
      </c>
      <c r="DL251" s="24">
        <v>0</v>
      </c>
      <c r="DM251" s="24">
        <v>0</v>
      </c>
      <c r="DO251" s="24">
        <v>0</v>
      </c>
      <c r="DP251" s="24">
        <v>0</v>
      </c>
      <c r="DQ251" s="24">
        <v>0</v>
      </c>
      <c r="DR251" s="24">
        <v>0</v>
      </c>
      <c r="DS251" s="24">
        <v>0</v>
      </c>
      <c r="DT251" s="24">
        <v>0</v>
      </c>
      <c r="DV251" s="24" t="s">
        <v>961</v>
      </c>
    </row>
    <row r="252" spans="1:130">
      <c r="P252" s="24"/>
      <c r="Q252" s="24"/>
      <c r="S252" s="24"/>
      <c r="T252" s="24"/>
      <c r="V252" s="24"/>
      <c r="BG252" s="24"/>
      <c r="BL252" s="24"/>
      <c r="BO252" s="24" t="s">
        <v>639</v>
      </c>
      <c r="CY252" s="24"/>
    </row>
    <row r="253" spans="1:130">
      <c r="E253" s="24">
        <v>26801</v>
      </c>
      <c r="F253" s="24" t="s">
        <v>969</v>
      </c>
      <c r="G253" s="24">
        <v>0</v>
      </c>
      <c r="H253" s="24">
        <v>5026801</v>
      </c>
      <c r="I253" s="24" t="s">
        <v>969</v>
      </c>
      <c r="J253" s="24" t="s">
        <v>970</v>
      </c>
      <c r="M253" s="24">
        <v>0</v>
      </c>
      <c r="N253" s="24">
        <v>0</v>
      </c>
      <c r="P253" s="24">
        <v>4</v>
      </c>
      <c r="Q253" s="24">
        <v>0</v>
      </c>
      <c r="R253" s="24">
        <v>0</v>
      </c>
      <c r="S253" s="24">
        <v>0</v>
      </c>
      <c r="T253" s="24"/>
      <c r="U253" s="24">
        <v>0</v>
      </c>
      <c r="V253" s="24">
        <v>0</v>
      </c>
      <c r="W253" s="24">
        <v>0</v>
      </c>
      <c r="X253" s="24">
        <v>0</v>
      </c>
      <c r="Y253" s="24">
        <v>0</v>
      </c>
      <c r="Z253" s="24">
        <v>1000</v>
      </c>
      <c r="AB253" s="24">
        <v>20003</v>
      </c>
      <c r="AC253" s="24">
        <v>0</v>
      </c>
      <c r="AD253" s="24">
        <v>0</v>
      </c>
      <c r="AE253" s="24">
        <v>0</v>
      </c>
      <c r="AF253" s="24">
        <v>0</v>
      </c>
      <c r="AH253" s="24">
        <v>1</v>
      </c>
      <c r="AI253" s="24">
        <v>-1</v>
      </c>
      <c r="AJ253" s="24">
        <v>-1</v>
      </c>
      <c r="AK253" s="24">
        <v>0</v>
      </c>
      <c r="AL253" s="24">
        <v>-1</v>
      </c>
      <c r="AM253" s="24">
        <v>0</v>
      </c>
      <c r="AN253" s="24">
        <v>0</v>
      </c>
      <c r="AO253" s="24">
        <v>0</v>
      </c>
      <c r="AP253" s="24">
        <v>0</v>
      </c>
      <c r="AQ253" s="24">
        <v>0</v>
      </c>
      <c r="AR253" s="24">
        <v>0</v>
      </c>
      <c r="AS253" s="24">
        <v>0</v>
      </c>
      <c r="AT253" s="24">
        <v>0</v>
      </c>
      <c r="AU253" s="24">
        <v>0</v>
      </c>
      <c r="AV253" s="24">
        <v>0</v>
      </c>
      <c r="AW253" s="24">
        <v>0</v>
      </c>
      <c r="AX253" s="24">
        <v>0</v>
      </c>
      <c r="AY253" s="24">
        <v>0</v>
      </c>
      <c r="BB253" s="24">
        <v>0</v>
      </c>
      <c r="BC253" s="24">
        <v>0</v>
      </c>
      <c r="BD253" s="24">
        <v>0</v>
      </c>
      <c r="BE253" s="24">
        <v>1</v>
      </c>
      <c r="BF253" s="24">
        <v>512</v>
      </c>
      <c r="BG253" s="24">
        <v>0</v>
      </c>
      <c r="BH253" s="24">
        <v>0</v>
      </c>
      <c r="BI253" s="24">
        <v>0</v>
      </c>
      <c r="BJ253" s="24">
        <v>0</v>
      </c>
      <c r="BK253" s="24">
        <v>126</v>
      </c>
      <c r="BL253" s="24">
        <v>0</v>
      </c>
      <c r="BN253" s="24">
        <v>-1</v>
      </c>
      <c r="BO253" s="24">
        <v>0</v>
      </c>
      <c r="BP253" s="24">
        <v>1</v>
      </c>
      <c r="BQ253" s="24">
        <v>0</v>
      </c>
      <c r="BR253" s="24">
        <v>1</v>
      </c>
      <c r="BS253" s="24">
        <v>0</v>
      </c>
      <c r="BT253" s="24">
        <v>0</v>
      </c>
      <c r="BU253" s="24">
        <v>0</v>
      </c>
      <c r="BV253" s="24">
        <v>0</v>
      </c>
      <c r="BW253" s="24">
        <v>0</v>
      </c>
      <c r="BX253" s="24">
        <v>1</v>
      </c>
      <c r="CA253" s="24">
        <v>-1</v>
      </c>
      <c r="CB253" s="24">
        <v>0</v>
      </c>
      <c r="CC253" s="24">
        <v>0</v>
      </c>
      <c r="CD253" s="24">
        <v>0</v>
      </c>
      <c r="CE253" s="24">
        <v>0</v>
      </c>
      <c r="CF253" s="24">
        <v>0</v>
      </c>
      <c r="CG253" s="24">
        <v>0</v>
      </c>
      <c r="CH253" s="24">
        <v>0</v>
      </c>
      <c r="CI253" s="24">
        <v>0</v>
      </c>
      <c r="CJ253" s="24">
        <v>0</v>
      </c>
      <c r="CK253" s="24">
        <v>0</v>
      </c>
      <c r="CL253" s="24">
        <v>0</v>
      </c>
      <c r="CM253" s="24">
        <v>0</v>
      </c>
      <c r="CN253" s="24">
        <v>0</v>
      </c>
      <c r="CO253" s="24">
        <v>0</v>
      </c>
      <c r="CQ253" s="24">
        <v>0</v>
      </c>
      <c r="CR253" s="24">
        <v>0</v>
      </c>
      <c r="CS253" s="24">
        <v>0</v>
      </c>
      <c r="CT253" s="24">
        <v>-1</v>
      </c>
      <c r="CV253" s="24">
        <v>0</v>
      </c>
      <c r="CW253" s="24">
        <v>0</v>
      </c>
      <c r="CY253" s="24">
        <v>0</v>
      </c>
      <c r="CZ253" s="24">
        <v>0</v>
      </c>
      <c r="DA253" s="24">
        <v>1</v>
      </c>
      <c r="DB253" s="24">
        <v>1</v>
      </c>
      <c r="DC253" s="24">
        <v>-1</v>
      </c>
      <c r="DD253" s="24">
        <v>0</v>
      </c>
      <c r="DE253" s="24">
        <v>0</v>
      </c>
      <c r="DF253" s="24">
        <v>0</v>
      </c>
      <c r="DG253" s="24">
        <v>0</v>
      </c>
      <c r="DI253" s="24">
        <v>0</v>
      </c>
      <c r="DJ253" s="24">
        <v>0</v>
      </c>
      <c r="DL253" s="24">
        <v>0</v>
      </c>
      <c r="DM253" s="24">
        <v>0</v>
      </c>
      <c r="DO253" s="24">
        <v>0</v>
      </c>
      <c r="DP253" s="24">
        <v>0</v>
      </c>
      <c r="DQ253" s="24">
        <v>0</v>
      </c>
      <c r="DR253" s="24">
        <v>0</v>
      </c>
      <c r="DS253" s="24">
        <v>0</v>
      </c>
      <c r="DT253" s="24">
        <v>0</v>
      </c>
      <c r="DV253" s="24" t="s">
        <v>961</v>
      </c>
    </row>
    <row r="254" spans="1:130">
      <c r="E254" s="24">
        <v>26802</v>
      </c>
      <c r="F254" s="24" t="s">
        <v>971</v>
      </c>
      <c r="G254" s="24">
        <v>0</v>
      </c>
      <c r="H254" s="24">
        <v>5026802</v>
      </c>
      <c r="I254" s="24" t="s">
        <v>971</v>
      </c>
      <c r="J254" s="24" t="s">
        <v>971</v>
      </c>
      <c r="M254" s="24">
        <v>102</v>
      </c>
      <c r="N254" s="24">
        <v>0</v>
      </c>
      <c r="P254" s="24">
        <v>2</v>
      </c>
      <c r="Q254" s="24">
        <v>655360</v>
      </c>
      <c r="R254" s="24">
        <v>0</v>
      </c>
      <c r="S254" s="24">
        <v>0</v>
      </c>
      <c r="T254" s="24"/>
      <c r="U254" s="24">
        <v>0</v>
      </c>
      <c r="V254" s="24">
        <v>0</v>
      </c>
      <c r="W254" s="24">
        <v>0</v>
      </c>
      <c r="X254" s="24">
        <v>0</v>
      </c>
      <c r="Y254" s="24">
        <v>0</v>
      </c>
      <c r="Z254" s="24">
        <v>0</v>
      </c>
      <c r="AB254" s="24">
        <v>10001</v>
      </c>
      <c r="AC254" s="24">
        <v>-1</v>
      </c>
      <c r="AD254" s="24">
        <v>-1</v>
      </c>
      <c r="AE254" s="24">
        <v>-1</v>
      </c>
      <c r="AF254" s="24">
        <v>0</v>
      </c>
      <c r="AH254" s="24">
        <v>1</v>
      </c>
      <c r="AI254" s="24">
        <v>-1</v>
      </c>
      <c r="AJ254" s="24">
        <v>-1</v>
      </c>
      <c r="AK254" s="24">
        <v>0</v>
      </c>
      <c r="AL254" s="24">
        <v>-1</v>
      </c>
      <c r="AM254" s="24">
        <v>0</v>
      </c>
      <c r="AN254" s="24">
        <v>0</v>
      </c>
      <c r="AO254" s="24">
        <v>0</v>
      </c>
      <c r="AP254" s="24">
        <v>0</v>
      </c>
      <c r="AQ254" s="24">
        <v>0</v>
      </c>
      <c r="AR254" s="24">
        <v>0</v>
      </c>
      <c r="AS254" s="24">
        <v>0</v>
      </c>
      <c r="AT254" s="24">
        <v>0</v>
      </c>
      <c r="AU254" s="24">
        <v>0</v>
      </c>
      <c r="AV254" s="24">
        <v>0</v>
      </c>
      <c r="AW254" s="24">
        <v>0</v>
      </c>
      <c r="AX254" s="24">
        <v>0</v>
      </c>
      <c r="AY254" s="24">
        <v>0</v>
      </c>
      <c r="BB254" s="24">
        <v>0</v>
      </c>
      <c r="BC254" s="24">
        <v>400</v>
      </c>
      <c r="BD254" s="24">
        <v>200</v>
      </c>
      <c r="BE254" s="24">
        <v>1</v>
      </c>
      <c r="BF254" s="24">
        <v>1</v>
      </c>
      <c r="BG254" s="24">
        <v>1</v>
      </c>
      <c r="BH254" s="24">
        <v>0</v>
      </c>
      <c r="BI254" s="24">
        <v>0</v>
      </c>
      <c r="BJ254" s="24">
        <v>0</v>
      </c>
      <c r="BK254" s="24">
        <v>126</v>
      </c>
      <c r="BL254" s="24">
        <v>0</v>
      </c>
      <c r="BN254" s="24">
        <v>-1</v>
      </c>
      <c r="BO254" s="24">
        <v>0</v>
      </c>
      <c r="BP254" s="24">
        <v>8</v>
      </c>
      <c r="BQ254" s="24">
        <v>3</v>
      </c>
      <c r="BR254" s="24">
        <v>1</v>
      </c>
      <c r="BS254" s="24">
        <v>1</v>
      </c>
      <c r="BT254" s="24">
        <v>0</v>
      </c>
      <c r="BU254" s="24">
        <v>0</v>
      </c>
      <c r="BV254" s="24">
        <v>6</v>
      </c>
      <c r="BW254" s="24">
        <v>0</v>
      </c>
      <c r="BX254" s="24">
        <v>1</v>
      </c>
      <c r="CA254" s="24">
        <v>-1</v>
      </c>
      <c r="CB254" s="24">
        <v>0</v>
      </c>
      <c r="CC254" s="24">
        <v>0</v>
      </c>
      <c r="CD254" s="24">
        <v>0</v>
      </c>
      <c r="CE254" s="24">
        <v>0</v>
      </c>
      <c r="CF254" s="24">
        <v>0</v>
      </c>
      <c r="CG254" s="24">
        <v>0</v>
      </c>
      <c r="CH254" s="24">
        <v>0</v>
      </c>
      <c r="CI254" s="24">
        <v>0</v>
      </c>
      <c r="CJ254" s="24">
        <v>0</v>
      </c>
      <c r="CK254" s="24">
        <v>0</v>
      </c>
      <c r="CL254" s="24">
        <v>0</v>
      </c>
      <c r="CM254" s="24">
        <v>0</v>
      </c>
      <c r="CN254" s="24">
        <v>0</v>
      </c>
      <c r="CO254" s="24">
        <v>0</v>
      </c>
      <c r="CQ254" s="24">
        <v>0</v>
      </c>
      <c r="CR254" s="24">
        <v>1003</v>
      </c>
      <c r="CS254" s="24">
        <v>0</v>
      </c>
      <c r="CT254" s="24">
        <v>219002</v>
      </c>
      <c r="CV254" s="24">
        <v>1</v>
      </c>
      <c r="CW254" s="24">
        <v>1</v>
      </c>
      <c r="CY254" s="24">
        <v>0</v>
      </c>
      <c r="CZ254" s="24">
        <v>0</v>
      </c>
      <c r="DA254" s="24">
        <v>1</v>
      </c>
      <c r="DB254" s="24">
        <v>1</v>
      </c>
      <c r="DC254" s="24">
        <v>-1</v>
      </c>
      <c r="DD254" s="24">
        <v>2191</v>
      </c>
      <c r="DE254" s="24">
        <v>0</v>
      </c>
      <c r="DF254" s="24">
        <v>0</v>
      </c>
      <c r="DG254" s="24">
        <v>0</v>
      </c>
      <c r="DI254" s="24">
        <v>0</v>
      </c>
      <c r="DJ254" s="24">
        <v>0</v>
      </c>
      <c r="DL254" s="24">
        <v>0</v>
      </c>
      <c r="DM254" s="24">
        <v>0</v>
      </c>
      <c r="DO254" s="24">
        <v>0</v>
      </c>
      <c r="DP254" s="24">
        <v>0</v>
      </c>
      <c r="DQ254" s="24">
        <v>0</v>
      </c>
      <c r="DR254" s="24">
        <v>0</v>
      </c>
      <c r="DS254" s="24">
        <v>0</v>
      </c>
      <c r="DT254" s="24">
        <v>0</v>
      </c>
      <c r="DV254" s="24" t="s">
        <v>961</v>
      </c>
    </row>
    <row r="255" spans="1:130">
      <c r="E255" s="24">
        <v>26803</v>
      </c>
      <c r="F255" s="24" t="s">
        <v>972</v>
      </c>
      <c r="G255" s="24">
        <v>0</v>
      </c>
      <c r="H255" s="24">
        <v>5026803</v>
      </c>
      <c r="I255" s="24" t="s">
        <v>972</v>
      </c>
      <c r="J255" s="24" t="s">
        <v>972</v>
      </c>
      <c r="M255" s="24">
        <v>102</v>
      </c>
      <c r="N255" s="24">
        <v>0</v>
      </c>
      <c r="P255" s="24">
        <v>2</v>
      </c>
      <c r="Q255" s="24">
        <v>655360</v>
      </c>
      <c r="R255" s="24">
        <v>26802</v>
      </c>
      <c r="S255" s="24">
        <v>0</v>
      </c>
      <c r="T255" s="24"/>
      <c r="U255" s="24">
        <v>0</v>
      </c>
      <c r="V255" s="24">
        <v>0</v>
      </c>
      <c r="W255" s="24">
        <v>0</v>
      </c>
      <c r="X255" s="24">
        <v>0</v>
      </c>
      <c r="Y255" s="24">
        <v>0</v>
      </c>
      <c r="Z255" s="24">
        <v>1000</v>
      </c>
      <c r="AB255" s="24">
        <v>10001</v>
      </c>
      <c r="AC255" s="24">
        <v>-1</v>
      </c>
      <c r="AD255" s="24">
        <v>-1</v>
      </c>
      <c r="AE255" s="24">
        <v>-1</v>
      </c>
      <c r="AF255" s="24">
        <v>0</v>
      </c>
      <c r="AH255" s="24">
        <v>1</v>
      </c>
      <c r="AI255" s="24">
        <v>-1</v>
      </c>
      <c r="AJ255" s="24">
        <v>-1</v>
      </c>
      <c r="AK255" s="24">
        <v>0</v>
      </c>
      <c r="AL255" s="24">
        <v>-1</v>
      </c>
      <c r="AM255" s="24">
        <v>0</v>
      </c>
      <c r="AN255" s="24">
        <v>0</v>
      </c>
      <c r="AO255" s="24">
        <v>0</v>
      </c>
      <c r="AP255" s="24">
        <v>0</v>
      </c>
      <c r="AQ255" s="24">
        <v>0</v>
      </c>
      <c r="AR255" s="24">
        <v>0</v>
      </c>
      <c r="AS255" s="24">
        <v>0</v>
      </c>
      <c r="AT255" s="24">
        <v>0</v>
      </c>
      <c r="AU255" s="24">
        <v>0</v>
      </c>
      <c r="AV255" s="24">
        <v>0</v>
      </c>
      <c r="AW255" s="24">
        <v>0</v>
      </c>
      <c r="AX255" s="24">
        <v>0</v>
      </c>
      <c r="AY255" s="24">
        <v>0</v>
      </c>
      <c r="BB255" s="24">
        <v>0</v>
      </c>
      <c r="BC255" s="24">
        <v>400</v>
      </c>
      <c r="BD255" s="24">
        <v>200</v>
      </c>
      <c r="BE255" s="24">
        <v>1</v>
      </c>
      <c r="BF255" s="24">
        <v>1</v>
      </c>
      <c r="BG255" s="24">
        <v>1</v>
      </c>
      <c r="BH255" s="24">
        <v>0</v>
      </c>
      <c r="BI255" s="24">
        <v>0</v>
      </c>
      <c r="BJ255" s="24">
        <v>0</v>
      </c>
      <c r="BK255" s="24">
        <v>126</v>
      </c>
      <c r="BL255" s="24">
        <v>0</v>
      </c>
      <c r="BN255" s="24">
        <v>-1</v>
      </c>
      <c r="BO255" s="24">
        <v>0</v>
      </c>
      <c r="BP255" s="24">
        <v>8</v>
      </c>
      <c r="BQ255" s="24">
        <v>3</v>
      </c>
      <c r="BR255" s="24">
        <v>1</v>
      </c>
      <c r="BS255" s="24">
        <v>1</v>
      </c>
      <c r="BT255" s="24">
        <v>0</v>
      </c>
      <c r="BU255" s="24">
        <v>0</v>
      </c>
      <c r="BV255" s="24">
        <v>6</v>
      </c>
      <c r="BW255" s="24">
        <v>0</v>
      </c>
      <c r="BX255" s="24">
        <v>1</v>
      </c>
      <c r="CA255" s="24">
        <v>-1</v>
      </c>
      <c r="CB255" s="24">
        <v>0</v>
      </c>
      <c r="CC255" s="24">
        <v>0</v>
      </c>
      <c r="CD255" s="24">
        <v>0</v>
      </c>
      <c r="CE255" s="24">
        <v>0</v>
      </c>
      <c r="CF255" s="24">
        <v>0</v>
      </c>
      <c r="CG255" s="24">
        <v>0</v>
      </c>
      <c r="CH255" s="24">
        <v>0</v>
      </c>
      <c r="CI255" s="24">
        <v>0</v>
      </c>
      <c r="CJ255" s="24">
        <v>0</v>
      </c>
      <c r="CK255" s="24">
        <v>0</v>
      </c>
      <c r="CL255" s="24">
        <v>0</v>
      </c>
      <c r="CM255" s="24">
        <v>0</v>
      </c>
      <c r="CN255" s="24">
        <v>0</v>
      </c>
      <c r="CO255" s="24">
        <v>0</v>
      </c>
      <c r="CQ255" s="24">
        <v>0</v>
      </c>
      <c r="CR255" s="24">
        <v>1005</v>
      </c>
      <c r="CS255" s="24">
        <v>0</v>
      </c>
      <c r="CT255" s="24">
        <v>219003</v>
      </c>
      <c r="CV255" s="24">
        <v>1</v>
      </c>
      <c r="CW255" s="24">
        <v>1</v>
      </c>
      <c r="CY255" s="24">
        <v>0</v>
      </c>
      <c r="CZ255" s="24">
        <v>26802</v>
      </c>
      <c r="DA255" s="24">
        <v>1</v>
      </c>
      <c r="DB255" s="24">
        <v>1</v>
      </c>
      <c r="DC255" s="24">
        <v>-1</v>
      </c>
      <c r="DD255" s="24">
        <v>2191</v>
      </c>
      <c r="DE255" s="24">
        <v>0</v>
      </c>
      <c r="DF255" s="24">
        <v>0</v>
      </c>
      <c r="DG255" s="24">
        <v>0</v>
      </c>
      <c r="DI255" s="24">
        <v>0</v>
      </c>
      <c r="DJ255" s="24">
        <v>0</v>
      </c>
      <c r="DL255" s="24">
        <v>0</v>
      </c>
      <c r="DM255" s="24">
        <v>0</v>
      </c>
      <c r="DO255" s="24">
        <v>0</v>
      </c>
      <c r="DP255" s="24">
        <v>0</v>
      </c>
      <c r="DQ255" s="24">
        <v>0</v>
      </c>
      <c r="DR255" s="24">
        <v>0</v>
      </c>
      <c r="DS255" s="24">
        <v>0</v>
      </c>
      <c r="DT255" s="24">
        <v>0</v>
      </c>
      <c r="DV255" s="24" t="s">
        <v>473</v>
      </c>
    </row>
    <row r="256" spans="1:130">
      <c r="E256" s="24">
        <v>26804</v>
      </c>
      <c r="F256" s="24" t="s">
        <v>973</v>
      </c>
      <c r="G256" s="24">
        <v>0</v>
      </c>
      <c r="H256" s="24">
        <v>5026804</v>
      </c>
      <c r="I256" s="24" t="s">
        <v>973</v>
      </c>
      <c r="J256" s="24" t="s">
        <v>973</v>
      </c>
      <c r="M256" s="24">
        <v>102</v>
      </c>
      <c r="N256" s="24">
        <v>0</v>
      </c>
      <c r="P256" s="24">
        <v>2</v>
      </c>
      <c r="Q256" s="24">
        <v>0</v>
      </c>
      <c r="R256" s="24">
        <v>0</v>
      </c>
      <c r="S256" s="24">
        <v>0</v>
      </c>
      <c r="T256" s="24"/>
      <c r="U256" s="24">
        <v>0</v>
      </c>
      <c r="V256" s="24">
        <v>0</v>
      </c>
      <c r="W256" s="24">
        <v>0</v>
      </c>
      <c r="X256" s="24">
        <v>0</v>
      </c>
      <c r="Y256" s="24">
        <v>0</v>
      </c>
      <c r="Z256" s="24">
        <v>0</v>
      </c>
      <c r="AB256" s="24">
        <v>30001</v>
      </c>
      <c r="AC256" s="24">
        <v>-1</v>
      </c>
      <c r="AD256" s="24">
        <v>-1</v>
      </c>
      <c r="AE256" s="24">
        <v>-1</v>
      </c>
      <c r="AF256" s="24">
        <v>0</v>
      </c>
      <c r="AH256" s="24">
        <v>1</v>
      </c>
      <c r="AI256" s="24">
        <v>-1</v>
      </c>
      <c r="AJ256" s="24">
        <v>-1</v>
      </c>
      <c r="AK256" s="24">
        <v>0</v>
      </c>
      <c r="AL256" s="24">
        <v>-1</v>
      </c>
      <c r="AM256" s="24">
        <v>0</v>
      </c>
      <c r="AN256" s="24">
        <v>0</v>
      </c>
      <c r="AO256" s="24">
        <v>0</v>
      </c>
      <c r="AP256" s="24">
        <v>0</v>
      </c>
      <c r="AQ256" s="24">
        <v>0</v>
      </c>
      <c r="AR256" s="24">
        <v>0</v>
      </c>
      <c r="AS256" s="24">
        <v>0</v>
      </c>
      <c r="AT256" s="24">
        <v>0</v>
      </c>
      <c r="AU256" s="24">
        <v>0</v>
      </c>
      <c r="AV256" s="24">
        <v>0</v>
      </c>
      <c r="AW256" s="24">
        <v>0</v>
      </c>
      <c r="AX256" s="24">
        <v>0</v>
      </c>
      <c r="AY256" s="24">
        <v>0</v>
      </c>
      <c r="BB256" s="24">
        <v>0</v>
      </c>
      <c r="BC256" s="24">
        <v>0</v>
      </c>
      <c r="BD256" s="24">
        <v>100</v>
      </c>
      <c r="BE256" s="24">
        <v>1</v>
      </c>
      <c r="BF256" s="24">
        <v>512</v>
      </c>
      <c r="BG256" s="24">
        <v>4</v>
      </c>
      <c r="BH256" s="24">
        <v>26804</v>
      </c>
      <c r="BI256" s="24">
        <v>1</v>
      </c>
      <c r="BJ256" s="24">
        <v>1</v>
      </c>
      <c r="BK256" s="24">
        <v>126</v>
      </c>
      <c r="BL256" s="24">
        <v>0</v>
      </c>
      <c r="BN256" s="24">
        <v>-1</v>
      </c>
      <c r="BO256" s="24">
        <v>0</v>
      </c>
      <c r="BP256" s="24">
        <v>1</v>
      </c>
      <c r="BQ256" s="24">
        <v>0</v>
      </c>
      <c r="BR256" s="24">
        <v>1</v>
      </c>
      <c r="BS256" s="24">
        <v>0</v>
      </c>
      <c r="BT256" s="24">
        <v>0</v>
      </c>
      <c r="BU256" s="24">
        <v>0</v>
      </c>
      <c r="BV256" s="24">
        <v>0</v>
      </c>
      <c r="BW256" s="24">
        <v>0</v>
      </c>
      <c r="BX256" s="24">
        <v>1</v>
      </c>
      <c r="CA256" s="24">
        <v>5001</v>
      </c>
      <c r="CB256" s="24">
        <v>0</v>
      </c>
      <c r="CC256" s="24">
        <v>0</v>
      </c>
      <c r="CD256" s="24">
        <v>0</v>
      </c>
      <c r="CE256" s="24">
        <v>0</v>
      </c>
      <c r="CF256" s="24">
        <v>0</v>
      </c>
      <c r="CG256" s="24">
        <v>0</v>
      </c>
      <c r="CH256" s="24">
        <v>0</v>
      </c>
      <c r="CI256" s="24">
        <v>0</v>
      </c>
      <c r="CJ256" s="24">
        <v>0</v>
      </c>
      <c r="CK256" s="24">
        <v>0</v>
      </c>
      <c r="CL256" s="24">
        <v>0</v>
      </c>
      <c r="CM256" s="24">
        <v>0</v>
      </c>
      <c r="CN256" s="24">
        <v>0</v>
      </c>
      <c r="CO256" s="24">
        <v>0</v>
      </c>
      <c r="CQ256" s="24">
        <v>0</v>
      </c>
      <c r="CR256" s="24">
        <v>1007</v>
      </c>
      <c r="CS256" s="24">
        <v>0</v>
      </c>
      <c r="CT256" s="24">
        <v>-1</v>
      </c>
      <c r="CV256" s="24">
        <v>0</v>
      </c>
      <c r="CW256" s="24">
        <v>3</v>
      </c>
      <c r="CY256" s="24">
        <v>0</v>
      </c>
      <c r="CZ256" s="24">
        <v>0</v>
      </c>
      <c r="DA256" s="24">
        <v>1</v>
      </c>
      <c r="DB256" s="24">
        <v>1</v>
      </c>
      <c r="DC256" s="24">
        <v>-1</v>
      </c>
      <c r="DD256" s="24">
        <v>0</v>
      </c>
      <c r="DE256" s="24">
        <v>0</v>
      </c>
      <c r="DF256" s="24">
        <v>0</v>
      </c>
      <c r="DG256" s="24">
        <v>0</v>
      </c>
      <c r="DI256" s="24">
        <v>0</v>
      </c>
      <c r="DJ256" s="24">
        <v>0</v>
      </c>
      <c r="DL256" s="24">
        <v>0</v>
      </c>
      <c r="DM256" s="24">
        <v>0</v>
      </c>
      <c r="DO256" s="24">
        <v>0</v>
      </c>
      <c r="DP256" s="24">
        <v>0</v>
      </c>
      <c r="DQ256" s="24">
        <v>0</v>
      </c>
      <c r="DR256" s="24">
        <v>0</v>
      </c>
      <c r="DS256" s="24">
        <v>0</v>
      </c>
      <c r="DT256" s="24">
        <v>0</v>
      </c>
      <c r="DV256" s="24" t="s">
        <v>473</v>
      </c>
    </row>
    <row r="257" spans="1:130">
      <c r="E257" s="24">
        <v>26806</v>
      </c>
      <c r="F257" s="24" t="s">
        <v>974</v>
      </c>
      <c r="G257" s="24">
        <v>0</v>
      </c>
      <c r="H257" s="24">
        <v>5026806</v>
      </c>
      <c r="I257" s="24" t="s">
        <v>974</v>
      </c>
      <c r="J257" s="24" t="s">
        <v>974</v>
      </c>
      <c r="M257" s="24">
        <v>0</v>
      </c>
      <c r="N257" s="24">
        <v>0</v>
      </c>
      <c r="P257" s="24">
        <v>2</v>
      </c>
      <c r="Q257" s="24">
        <v>0</v>
      </c>
      <c r="R257" s="24">
        <v>0</v>
      </c>
      <c r="S257" s="24">
        <v>0</v>
      </c>
      <c r="T257" s="24"/>
      <c r="U257" s="24">
        <v>0</v>
      </c>
      <c r="V257" s="24">
        <v>0</v>
      </c>
      <c r="W257" s="24">
        <v>0</v>
      </c>
      <c r="X257" s="24">
        <v>0</v>
      </c>
      <c r="Y257" s="24">
        <v>0</v>
      </c>
      <c r="Z257" s="24">
        <v>0</v>
      </c>
      <c r="AB257" s="24">
        <v>30001</v>
      </c>
      <c r="AC257" s="24">
        <v>-1</v>
      </c>
      <c r="AD257" s="24">
        <v>-1</v>
      </c>
      <c r="AE257" s="24">
        <v>-1</v>
      </c>
      <c r="AF257" s="24">
        <v>0</v>
      </c>
      <c r="AH257" s="24">
        <v>1</v>
      </c>
      <c r="AI257" s="24">
        <v>-1</v>
      </c>
      <c r="AJ257" s="24">
        <v>-1</v>
      </c>
      <c r="AK257" s="24">
        <v>0</v>
      </c>
      <c r="AL257" s="24">
        <v>-1</v>
      </c>
      <c r="AM257" s="24">
        <v>0</v>
      </c>
      <c r="AN257" s="24">
        <v>0</v>
      </c>
      <c r="AO257" s="24">
        <v>0</v>
      </c>
      <c r="AP257" s="24">
        <v>0</v>
      </c>
      <c r="AQ257" s="24">
        <v>0</v>
      </c>
      <c r="AR257" s="24">
        <v>0</v>
      </c>
      <c r="AS257" s="24">
        <v>0</v>
      </c>
      <c r="AT257" s="24">
        <v>0</v>
      </c>
      <c r="AU257" s="24">
        <v>0</v>
      </c>
      <c r="AV257" s="24">
        <v>0</v>
      </c>
      <c r="AW257" s="24">
        <v>0</v>
      </c>
      <c r="AX257" s="24">
        <v>0</v>
      </c>
      <c r="AY257" s="24">
        <v>0</v>
      </c>
      <c r="BB257" s="24">
        <v>0</v>
      </c>
      <c r="BC257" s="24">
        <v>0</v>
      </c>
      <c r="BD257" s="24">
        <v>100</v>
      </c>
      <c r="BE257" s="24">
        <v>1</v>
      </c>
      <c r="BF257" s="24">
        <v>4096</v>
      </c>
      <c r="BG257" s="24">
        <v>4</v>
      </c>
      <c r="BH257" s="24">
        <v>26806</v>
      </c>
      <c r="BI257" s="24">
        <v>1</v>
      </c>
      <c r="BJ257" s="24">
        <v>1</v>
      </c>
      <c r="BK257" s="24">
        <v>126</v>
      </c>
      <c r="BL257" s="24">
        <v>0</v>
      </c>
      <c r="BN257" s="24">
        <v>-1</v>
      </c>
      <c r="BO257" s="24">
        <v>0</v>
      </c>
      <c r="BP257" s="24">
        <v>1</v>
      </c>
      <c r="BQ257" s="24">
        <v>0</v>
      </c>
      <c r="BR257" s="24">
        <v>1</v>
      </c>
      <c r="BS257" s="24">
        <v>0</v>
      </c>
      <c r="BT257" s="24">
        <v>0</v>
      </c>
      <c r="BU257" s="24">
        <v>0</v>
      </c>
      <c r="BV257" s="24">
        <v>0</v>
      </c>
      <c r="BW257" s="24">
        <v>0</v>
      </c>
      <c r="BX257" s="24">
        <v>1</v>
      </c>
      <c r="CA257" s="24">
        <v>10001</v>
      </c>
      <c r="CB257" s="24">
        <v>0</v>
      </c>
      <c r="CC257" s="24">
        <v>0</v>
      </c>
      <c r="CD257" s="24">
        <v>0</v>
      </c>
      <c r="CE257" s="24">
        <v>0</v>
      </c>
      <c r="CF257" s="24">
        <v>0</v>
      </c>
      <c r="CG257" s="24">
        <v>0</v>
      </c>
      <c r="CH257" s="24">
        <v>0</v>
      </c>
      <c r="CI257" s="24">
        <v>0</v>
      </c>
      <c r="CJ257" s="24">
        <v>0</v>
      </c>
      <c r="CK257" s="24">
        <v>0</v>
      </c>
      <c r="CL257" s="24">
        <v>0</v>
      </c>
      <c r="CM257" s="24">
        <v>0</v>
      </c>
      <c r="CN257" s="24">
        <v>0</v>
      </c>
      <c r="CO257" s="24">
        <v>0</v>
      </c>
      <c r="CQ257" s="24">
        <v>0</v>
      </c>
      <c r="CR257" s="24">
        <v>1008</v>
      </c>
      <c r="CS257" s="24">
        <v>0</v>
      </c>
      <c r="CT257" s="24">
        <v>-1</v>
      </c>
      <c r="CV257" s="24">
        <v>0</v>
      </c>
      <c r="CW257" s="24">
        <v>3</v>
      </c>
      <c r="CY257" s="24">
        <v>0</v>
      </c>
      <c r="CZ257" s="24">
        <v>0</v>
      </c>
      <c r="DA257" s="24">
        <v>1</v>
      </c>
      <c r="DB257" s="24">
        <v>1</v>
      </c>
      <c r="DC257" s="24">
        <v>-1</v>
      </c>
      <c r="DD257" s="24">
        <v>0</v>
      </c>
      <c r="DE257" s="24">
        <v>0</v>
      </c>
      <c r="DF257" s="24">
        <v>0</v>
      </c>
      <c r="DG257" s="24">
        <v>0</v>
      </c>
      <c r="DI257" s="24">
        <v>0</v>
      </c>
      <c r="DJ257" s="24">
        <v>0</v>
      </c>
      <c r="DL257" s="24">
        <v>0</v>
      </c>
      <c r="DM257" s="24">
        <v>0</v>
      </c>
      <c r="DO257" s="24">
        <v>0</v>
      </c>
      <c r="DP257" s="24">
        <v>0</v>
      </c>
      <c r="DQ257" s="24">
        <v>0</v>
      </c>
      <c r="DR257" s="24">
        <v>0</v>
      </c>
      <c r="DS257" s="24">
        <v>0</v>
      </c>
      <c r="DT257" s="24">
        <v>0</v>
      </c>
      <c r="DV257" s="24" t="s">
        <v>473</v>
      </c>
    </row>
    <row r="258" spans="1:130">
      <c r="E258" s="24">
        <v>26807</v>
      </c>
      <c r="F258" s="24" t="s">
        <v>975</v>
      </c>
      <c r="G258" s="24">
        <v>0</v>
      </c>
      <c r="H258" s="24">
        <v>5026807</v>
      </c>
      <c r="I258" s="24" t="s">
        <v>975</v>
      </c>
      <c r="J258" s="24" t="s">
        <v>975</v>
      </c>
      <c r="M258" s="24">
        <v>0</v>
      </c>
      <c r="N258" s="24">
        <v>0</v>
      </c>
      <c r="P258" s="24">
        <v>12</v>
      </c>
      <c r="Q258" s="24">
        <v>0</v>
      </c>
      <c r="R258" s="24">
        <v>26806</v>
      </c>
      <c r="S258" s="24">
        <v>0</v>
      </c>
      <c r="T258" s="24"/>
      <c r="U258" s="24">
        <v>1</v>
      </c>
      <c r="V258" s="24">
        <v>2050</v>
      </c>
      <c r="W258" s="24">
        <v>1</v>
      </c>
      <c r="X258" s="24">
        <v>26806</v>
      </c>
      <c r="Y258" s="24">
        <v>0</v>
      </c>
      <c r="Z258" s="24">
        <v>1000</v>
      </c>
      <c r="AB258" s="24">
        <v>30001</v>
      </c>
      <c r="AC258" s="24">
        <v>-1</v>
      </c>
      <c r="AD258" s="24">
        <v>-1</v>
      </c>
      <c r="AE258" s="24">
        <v>-1</v>
      </c>
      <c r="AF258" s="24">
        <v>0</v>
      </c>
      <c r="AH258" s="24">
        <v>1</v>
      </c>
      <c r="AI258" s="24">
        <v>-1</v>
      </c>
      <c r="AJ258" s="24">
        <v>-1</v>
      </c>
      <c r="AK258" s="24">
        <v>0</v>
      </c>
      <c r="AL258" s="24">
        <v>-1</v>
      </c>
      <c r="AM258" s="24">
        <v>0</v>
      </c>
      <c r="AN258" s="24">
        <v>0</v>
      </c>
      <c r="AO258" s="24">
        <v>0</v>
      </c>
      <c r="AP258" s="24">
        <v>0</v>
      </c>
      <c r="AQ258" s="24">
        <v>0</v>
      </c>
      <c r="AR258" s="24">
        <v>0</v>
      </c>
      <c r="AS258" s="24">
        <v>0</v>
      </c>
      <c r="AT258" s="24">
        <v>0</v>
      </c>
      <c r="AU258" s="24">
        <v>0</v>
      </c>
      <c r="AV258" s="24">
        <v>0</v>
      </c>
      <c r="AW258" s="24">
        <v>0</v>
      </c>
      <c r="AX258" s="24">
        <v>0</v>
      </c>
      <c r="AY258" s="24">
        <v>0</v>
      </c>
      <c r="BB258" s="24">
        <v>0</v>
      </c>
      <c r="BC258" s="24">
        <v>0</v>
      </c>
      <c r="BD258" s="24">
        <v>100</v>
      </c>
      <c r="BE258" s="24">
        <v>1</v>
      </c>
      <c r="BF258" s="24">
        <v>512</v>
      </c>
      <c r="BG258" s="24">
        <v>4</v>
      </c>
      <c r="BH258" s="24">
        <v>26807</v>
      </c>
      <c r="BI258" s="24">
        <v>1</v>
      </c>
      <c r="BJ258" s="24">
        <v>1</v>
      </c>
      <c r="BK258" s="24">
        <v>126</v>
      </c>
      <c r="BL258" s="24">
        <v>0</v>
      </c>
      <c r="BN258" s="24">
        <v>-1</v>
      </c>
      <c r="BO258" s="24">
        <v>0</v>
      </c>
      <c r="BP258" s="24">
        <v>1</v>
      </c>
      <c r="BQ258" s="24">
        <v>0</v>
      </c>
      <c r="BR258" s="24">
        <v>1</v>
      </c>
      <c r="BS258" s="24">
        <v>0</v>
      </c>
      <c r="BT258" s="24">
        <v>0</v>
      </c>
      <c r="BU258" s="24">
        <v>0</v>
      </c>
      <c r="BV258" s="24">
        <v>0</v>
      </c>
      <c r="BW258" s="24">
        <v>0</v>
      </c>
      <c r="BX258" s="24">
        <v>1</v>
      </c>
      <c r="CA258" s="24">
        <v>-1</v>
      </c>
      <c r="CB258" s="24">
        <v>0</v>
      </c>
      <c r="CC258" s="24">
        <v>0</v>
      </c>
      <c r="CD258" s="24">
        <v>0</v>
      </c>
      <c r="CE258" s="24">
        <v>0</v>
      </c>
      <c r="CF258" s="24">
        <v>0</v>
      </c>
      <c r="CG258" s="24">
        <v>0</v>
      </c>
      <c r="CH258" s="24">
        <v>0</v>
      </c>
      <c r="CI258" s="24">
        <v>0</v>
      </c>
      <c r="CJ258" s="24">
        <v>0</v>
      </c>
      <c r="CK258" s="24">
        <v>0</v>
      </c>
      <c r="CL258" s="24">
        <v>0</v>
      </c>
      <c r="CM258" s="24">
        <v>0</v>
      </c>
      <c r="CN258" s="24">
        <v>0</v>
      </c>
      <c r="CO258" s="24">
        <v>0</v>
      </c>
      <c r="CQ258" s="24">
        <v>0</v>
      </c>
      <c r="CR258" s="24">
        <v>1412</v>
      </c>
      <c r="CS258" s="24">
        <v>0</v>
      </c>
      <c r="CT258" s="24">
        <v>-1</v>
      </c>
      <c r="CV258" s="24">
        <v>0</v>
      </c>
      <c r="CW258" s="24">
        <v>3</v>
      </c>
      <c r="CY258" s="24">
        <v>0</v>
      </c>
      <c r="CZ258" s="24">
        <v>26806</v>
      </c>
      <c r="DA258" s="24">
        <v>1</v>
      </c>
      <c r="DB258" s="24">
        <v>1</v>
      </c>
      <c r="DC258" s="24">
        <v>-1</v>
      </c>
      <c r="DD258" s="24">
        <v>0</v>
      </c>
      <c r="DE258" s="24">
        <v>0</v>
      </c>
      <c r="DF258" s="24">
        <v>0</v>
      </c>
      <c r="DG258" s="24">
        <v>0</v>
      </c>
      <c r="DI258" s="24">
        <v>0</v>
      </c>
      <c r="DJ258" s="24">
        <v>0</v>
      </c>
      <c r="DL258" s="24">
        <v>0</v>
      </c>
      <c r="DM258" s="24">
        <v>0</v>
      </c>
      <c r="DO258" s="24">
        <v>0</v>
      </c>
      <c r="DP258" s="24">
        <v>0</v>
      </c>
      <c r="DQ258" s="24">
        <v>0</v>
      </c>
      <c r="DR258" s="24">
        <v>0</v>
      </c>
      <c r="DS258" s="24">
        <v>0</v>
      </c>
      <c r="DT258" s="24">
        <v>0</v>
      </c>
      <c r="DV258" s="24" t="s">
        <v>473</v>
      </c>
    </row>
    <row r="259" spans="1:130">
      <c r="E259" s="24">
        <v>26808</v>
      </c>
      <c r="F259" s="24" t="s">
        <v>976</v>
      </c>
      <c r="G259" s="24">
        <v>0</v>
      </c>
      <c r="H259" s="24">
        <v>5026808</v>
      </c>
      <c r="I259" s="24" t="s">
        <v>976</v>
      </c>
      <c r="J259" s="24" t="s">
        <v>976</v>
      </c>
      <c r="M259" s="24">
        <v>102</v>
      </c>
      <c r="N259" s="24">
        <v>0</v>
      </c>
      <c r="P259" s="24">
        <v>2</v>
      </c>
      <c r="Q259" s="24">
        <v>1572864</v>
      </c>
      <c r="R259" s="24">
        <v>0</v>
      </c>
      <c r="S259" s="24">
        <v>0</v>
      </c>
      <c r="T259" s="24"/>
      <c r="U259" s="24">
        <v>0</v>
      </c>
      <c r="V259" s="24">
        <v>0</v>
      </c>
      <c r="W259" s="24">
        <v>0</v>
      </c>
      <c r="X259" s="24">
        <v>0</v>
      </c>
      <c r="Y259" s="24">
        <v>0</v>
      </c>
      <c r="Z259" s="24">
        <v>0</v>
      </c>
      <c r="AB259" s="24">
        <v>10001</v>
      </c>
      <c r="AC259" s="24">
        <v>-1</v>
      </c>
      <c r="AD259" s="24">
        <v>-1</v>
      </c>
      <c r="AE259" s="24">
        <v>-1</v>
      </c>
      <c r="AF259" s="24">
        <v>0</v>
      </c>
      <c r="AH259" s="24">
        <v>1</v>
      </c>
      <c r="AI259" s="24">
        <v>0</v>
      </c>
      <c r="AJ259" s="24">
        <v>0</v>
      </c>
      <c r="AK259" s="24">
        <v>0</v>
      </c>
      <c r="AL259" s="24">
        <v>0</v>
      </c>
      <c r="AM259" s="24">
        <v>0</v>
      </c>
      <c r="AN259" s="24">
        <v>0</v>
      </c>
      <c r="AO259" s="24">
        <v>0</v>
      </c>
      <c r="AP259" s="24">
        <v>3</v>
      </c>
      <c r="AQ259" s="24">
        <v>0</v>
      </c>
      <c r="AR259" s="24">
        <v>0</v>
      </c>
      <c r="AS259" s="24">
        <v>0</v>
      </c>
      <c r="AT259" s="24">
        <v>0</v>
      </c>
      <c r="AU259" s="24">
        <v>0</v>
      </c>
      <c r="AV259" s="24">
        <v>0</v>
      </c>
      <c r="AW259" s="24">
        <v>0</v>
      </c>
      <c r="AX259" s="24">
        <v>0</v>
      </c>
      <c r="AY259" s="24">
        <v>0</v>
      </c>
      <c r="BB259" s="24">
        <v>0</v>
      </c>
      <c r="BC259" s="24">
        <v>500</v>
      </c>
      <c r="BD259" s="24">
        <v>200</v>
      </c>
      <c r="BE259" s="24">
        <v>1</v>
      </c>
      <c r="BF259" s="24">
        <v>2</v>
      </c>
      <c r="BG259" s="24">
        <v>2</v>
      </c>
      <c r="BH259" s="24">
        <v>0</v>
      </c>
      <c r="BI259" s="24">
        <v>0</v>
      </c>
      <c r="BJ259" s="24">
        <v>0</v>
      </c>
      <c r="BK259" s="24">
        <v>126</v>
      </c>
      <c r="BL259" s="24">
        <v>0</v>
      </c>
      <c r="BN259" s="24">
        <v>-1</v>
      </c>
      <c r="BO259" s="24">
        <v>0</v>
      </c>
      <c r="BP259" s="24">
        <v>1</v>
      </c>
      <c r="BQ259" s="24">
        <v>10</v>
      </c>
      <c r="BR259" s="24">
        <v>2</v>
      </c>
      <c r="BS259" s="24">
        <v>30</v>
      </c>
      <c r="BT259" s="24">
        <v>0</v>
      </c>
      <c r="BU259" s="24">
        <v>0</v>
      </c>
      <c r="BV259" s="24">
        <v>2</v>
      </c>
      <c r="BW259" s="24">
        <v>0</v>
      </c>
      <c r="BX259" s="24">
        <v>5</v>
      </c>
      <c r="CA259" s="24">
        <v>6001</v>
      </c>
      <c r="CB259" s="24">
        <v>0</v>
      </c>
      <c r="CC259" s="24">
        <v>0</v>
      </c>
      <c r="CD259" s="24">
        <v>0</v>
      </c>
      <c r="CE259" s="24">
        <v>0</v>
      </c>
      <c r="CF259" s="24">
        <v>0</v>
      </c>
      <c r="CG259" s="24">
        <v>0</v>
      </c>
      <c r="CH259" s="24">
        <v>0</v>
      </c>
      <c r="CI259" s="24">
        <v>0</v>
      </c>
      <c r="CJ259" s="24">
        <v>0</v>
      </c>
      <c r="CK259" s="24">
        <v>0</v>
      </c>
      <c r="CL259" s="24">
        <v>0</v>
      </c>
      <c r="CM259" s="24">
        <v>0</v>
      </c>
      <c r="CN259" s="24">
        <v>0</v>
      </c>
      <c r="CO259" s="24">
        <v>0</v>
      </c>
      <c r="CQ259" s="24">
        <v>0</v>
      </c>
      <c r="CR259" s="24">
        <v>1012</v>
      </c>
      <c r="CS259" s="24">
        <v>0</v>
      </c>
      <c r="CT259" s="24">
        <v>-1</v>
      </c>
      <c r="CV259" s="24">
        <v>0</v>
      </c>
      <c r="CW259" s="24">
        <v>10</v>
      </c>
      <c r="CY259" s="24">
        <v>0</v>
      </c>
      <c r="CZ259" s="24">
        <v>0</v>
      </c>
      <c r="DA259" s="24">
        <v>0</v>
      </c>
      <c r="DB259" s="24">
        <v>0</v>
      </c>
      <c r="DC259" s="24">
        <v>-1</v>
      </c>
      <c r="DD259" s="24">
        <v>0</v>
      </c>
      <c r="DE259" s="24">
        <v>0</v>
      </c>
      <c r="DF259" s="24">
        <v>0</v>
      </c>
      <c r="DG259" s="24">
        <v>0</v>
      </c>
      <c r="DI259" s="24">
        <v>0</v>
      </c>
      <c r="DJ259" s="24">
        <v>0</v>
      </c>
      <c r="DL259" s="24">
        <v>0</v>
      </c>
      <c r="DM259" s="24">
        <v>0</v>
      </c>
      <c r="DO259" s="24">
        <v>0</v>
      </c>
      <c r="DP259" s="24">
        <v>0</v>
      </c>
      <c r="DQ259" s="24">
        <v>0</v>
      </c>
      <c r="DR259" s="24">
        <v>0</v>
      </c>
      <c r="DS259" s="24">
        <v>0</v>
      </c>
      <c r="DT259" s="24">
        <v>0</v>
      </c>
      <c r="DV259" s="24" t="s">
        <v>473</v>
      </c>
    </row>
    <row r="260" spans="1:130">
      <c r="E260" s="24">
        <v>26809</v>
      </c>
      <c r="F260" s="24" t="s">
        <v>977</v>
      </c>
      <c r="G260" s="24">
        <v>0</v>
      </c>
      <c r="H260" s="24">
        <v>5026809</v>
      </c>
      <c r="I260" s="24" t="s">
        <v>977</v>
      </c>
      <c r="J260" s="24" t="s">
        <v>977</v>
      </c>
      <c r="M260" s="24">
        <v>102</v>
      </c>
      <c r="N260" s="24">
        <v>0</v>
      </c>
      <c r="P260" s="24">
        <v>2</v>
      </c>
      <c r="Q260" s="24">
        <v>524288</v>
      </c>
      <c r="R260" s="24">
        <v>0</v>
      </c>
      <c r="S260" s="24">
        <v>0</v>
      </c>
      <c r="T260" s="24"/>
      <c r="U260" s="24">
        <v>0</v>
      </c>
      <c r="V260" s="24">
        <v>0</v>
      </c>
      <c r="W260" s="24">
        <v>0</v>
      </c>
      <c r="X260" s="24">
        <v>0</v>
      </c>
      <c r="Y260" s="24">
        <v>0</v>
      </c>
      <c r="Z260" s="24">
        <v>0</v>
      </c>
      <c r="AB260" s="24">
        <v>10001</v>
      </c>
      <c r="AC260" s="24">
        <v>-1</v>
      </c>
      <c r="AD260" s="24">
        <v>-1</v>
      </c>
      <c r="AE260" s="24">
        <v>-1</v>
      </c>
      <c r="AF260" s="24">
        <v>0</v>
      </c>
      <c r="AH260" s="24">
        <v>1</v>
      </c>
      <c r="AI260" s="24">
        <v>-1</v>
      </c>
      <c r="AJ260" s="24">
        <v>-1</v>
      </c>
      <c r="AK260" s="24">
        <v>0</v>
      </c>
      <c r="AL260" s="24">
        <v>-1</v>
      </c>
      <c r="AM260" s="24">
        <v>0</v>
      </c>
      <c r="AN260" s="24">
        <v>0</v>
      </c>
      <c r="AO260" s="24">
        <v>0</v>
      </c>
      <c r="AP260" s="24">
        <v>0</v>
      </c>
      <c r="AQ260" s="24">
        <v>0</v>
      </c>
      <c r="AR260" s="24">
        <v>0</v>
      </c>
      <c r="AS260" s="24">
        <v>0</v>
      </c>
      <c r="AT260" s="24">
        <v>0</v>
      </c>
      <c r="AU260" s="24">
        <v>0</v>
      </c>
      <c r="AV260" s="24">
        <v>0</v>
      </c>
      <c r="AW260" s="24">
        <v>0</v>
      </c>
      <c r="AX260" s="24">
        <v>0</v>
      </c>
      <c r="AY260" s="24">
        <v>0</v>
      </c>
      <c r="BB260" s="24">
        <v>0</v>
      </c>
      <c r="BC260" s="24">
        <v>500</v>
      </c>
      <c r="BD260" s="24">
        <v>200</v>
      </c>
      <c r="BE260" s="24">
        <v>1</v>
      </c>
      <c r="BF260" s="24">
        <v>1024</v>
      </c>
      <c r="BG260" s="24">
        <v>4</v>
      </c>
      <c r="BH260" s="24">
        <v>0</v>
      </c>
      <c r="BI260" s="24">
        <v>0</v>
      </c>
      <c r="BJ260" s="24">
        <v>0</v>
      </c>
      <c r="BK260" s="24">
        <v>126</v>
      </c>
      <c r="BL260" s="24">
        <v>0</v>
      </c>
      <c r="BN260" s="24">
        <v>-1</v>
      </c>
      <c r="BO260" s="24">
        <v>0</v>
      </c>
      <c r="BP260" s="24">
        <v>1</v>
      </c>
      <c r="BQ260" s="24">
        <v>10</v>
      </c>
      <c r="BR260" s="24">
        <v>2</v>
      </c>
      <c r="BS260" s="24">
        <v>100</v>
      </c>
      <c r="BT260" s="24">
        <v>0</v>
      </c>
      <c r="BU260" s="24">
        <v>0</v>
      </c>
      <c r="BV260" s="24">
        <v>6</v>
      </c>
      <c r="BW260" s="24">
        <v>0</v>
      </c>
      <c r="BX260" s="24">
        <v>4</v>
      </c>
      <c r="CA260" s="24">
        <v>-1</v>
      </c>
      <c r="CB260" s="24">
        <v>0</v>
      </c>
      <c r="CC260" s="24">
        <v>0</v>
      </c>
      <c r="CD260" s="24">
        <v>0</v>
      </c>
      <c r="CE260" s="24">
        <v>0</v>
      </c>
      <c r="CF260" s="24">
        <v>0</v>
      </c>
      <c r="CG260" s="24">
        <v>0</v>
      </c>
      <c r="CH260" s="24">
        <v>0</v>
      </c>
      <c r="CI260" s="24">
        <v>0</v>
      </c>
      <c r="CJ260" s="24">
        <v>0</v>
      </c>
      <c r="CK260" s="24">
        <v>0</v>
      </c>
      <c r="CL260" s="24">
        <v>0</v>
      </c>
      <c r="CM260" s="24">
        <v>0</v>
      </c>
      <c r="CN260" s="24">
        <v>0</v>
      </c>
      <c r="CO260" s="24">
        <v>0</v>
      </c>
      <c r="CQ260" s="24">
        <v>0</v>
      </c>
      <c r="CR260" s="24">
        <v>1601</v>
      </c>
      <c r="CS260" s="24">
        <v>0</v>
      </c>
      <c r="CT260" s="24">
        <v>100</v>
      </c>
      <c r="CV260" s="24">
        <v>0</v>
      </c>
      <c r="CW260" s="24">
        <v>3</v>
      </c>
      <c r="CY260" s="24">
        <v>0</v>
      </c>
      <c r="CZ260" s="24">
        <v>0</v>
      </c>
      <c r="DA260" s="24">
        <v>1</v>
      </c>
      <c r="DB260" s="24">
        <v>1</v>
      </c>
      <c r="DC260" s="24">
        <v>-1</v>
      </c>
      <c r="DD260" s="24">
        <v>0</v>
      </c>
      <c r="DE260" s="24">
        <v>0</v>
      </c>
      <c r="DF260" s="24">
        <v>0</v>
      </c>
      <c r="DG260" s="24">
        <v>0</v>
      </c>
      <c r="DI260" s="24">
        <v>0</v>
      </c>
      <c r="DJ260" s="24">
        <v>0</v>
      </c>
      <c r="DL260" s="24">
        <v>0</v>
      </c>
      <c r="DM260" s="24">
        <v>0</v>
      </c>
      <c r="DO260" s="24">
        <v>0</v>
      </c>
      <c r="DP260" s="24">
        <v>0</v>
      </c>
      <c r="DQ260" s="24">
        <v>0</v>
      </c>
      <c r="DR260" s="24">
        <v>0</v>
      </c>
      <c r="DS260" s="24">
        <v>0</v>
      </c>
      <c r="DT260" s="24">
        <v>0</v>
      </c>
      <c r="DV260" s="24" t="s">
        <v>473</v>
      </c>
    </row>
    <row r="261" spans="1:130">
      <c r="BO261" s="25" t="s">
        <v>639</v>
      </c>
    </row>
    <row r="262" spans="1:130">
      <c r="A262" s="24" t="s">
        <v>143</v>
      </c>
      <c r="B262" s="24" t="s">
        <v>143</v>
      </c>
      <c r="C262" s="24" t="s">
        <v>143</v>
      </c>
      <c r="D262" s="24" t="s">
        <v>143</v>
      </c>
      <c r="E262" s="24">
        <v>35000</v>
      </c>
      <c r="F262" s="24" t="s">
        <v>849</v>
      </c>
      <c r="G262" s="24">
        <v>0</v>
      </c>
      <c r="H262" s="24">
        <f>E262+500000</f>
        <v>535000</v>
      </c>
      <c r="I262" s="24" t="s">
        <v>849</v>
      </c>
      <c r="J262" s="24" t="s">
        <v>849</v>
      </c>
      <c r="K262" s="24" t="s">
        <v>473</v>
      </c>
      <c r="M262" s="24">
        <v>0</v>
      </c>
      <c r="N262" s="24">
        <v>0</v>
      </c>
      <c r="P262" s="25">
        <v>2</v>
      </c>
      <c r="Q262" s="25">
        <v>0</v>
      </c>
      <c r="R262" s="24">
        <v>0</v>
      </c>
      <c r="S262" s="25">
        <v>0</v>
      </c>
      <c r="T262" s="33"/>
      <c r="U262" s="24">
        <v>0</v>
      </c>
      <c r="V262" s="25">
        <v>0</v>
      </c>
      <c r="W262" s="24">
        <v>0</v>
      </c>
      <c r="X262" s="24">
        <v>0</v>
      </c>
      <c r="Y262" s="24">
        <v>0</v>
      </c>
      <c r="Z262" s="24">
        <v>0</v>
      </c>
      <c r="AB262" s="24">
        <v>10001</v>
      </c>
      <c r="AC262" s="24">
        <v>-1</v>
      </c>
      <c r="AD262" s="24">
        <v>-1</v>
      </c>
      <c r="AE262" s="24">
        <v>-1</v>
      </c>
      <c r="AG262" s="24">
        <v>1</v>
      </c>
      <c r="AH262" s="24">
        <v>0</v>
      </c>
      <c r="AI262" s="24">
        <v>0</v>
      </c>
      <c r="AJ262" s="24">
        <v>0</v>
      </c>
      <c r="AK262" s="24">
        <v>0</v>
      </c>
      <c r="AL262" s="24">
        <v>0</v>
      </c>
      <c r="AM262" s="24">
        <v>0</v>
      </c>
      <c r="AN262" s="24">
        <v>0</v>
      </c>
      <c r="AO262" s="24">
        <v>0</v>
      </c>
      <c r="AP262" s="24">
        <v>0</v>
      </c>
      <c r="AQ262" s="24">
        <v>0</v>
      </c>
      <c r="AR262" s="24">
        <v>0</v>
      </c>
      <c r="AS262" s="24">
        <v>0</v>
      </c>
      <c r="AT262" s="24">
        <v>0</v>
      </c>
      <c r="AU262" s="24">
        <v>0</v>
      </c>
      <c r="AV262" s="24">
        <v>0</v>
      </c>
      <c r="AW262" s="24">
        <v>0</v>
      </c>
      <c r="AX262" s="24">
        <v>0</v>
      </c>
      <c r="AY262" s="24">
        <v>0</v>
      </c>
      <c r="BA262" s="24">
        <v>0</v>
      </c>
      <c r="BB262" s="24">
        <v>300</v>
      </c>
      <c r="BC262" s="24">
        <v>300</v>
      </c>
      <c r="BD262" s="24">
        <v>0</v>
      </c>
      <c r="BE262" s="24">
        <v>200</v>
      </c>
      <c r="BF262" s="24">
        <v>1</v>
      </c>
      <c r="BG262" s="25">
        <v>1</v>
      </c>
      <c r="BH262" s="24">
        <v>1</v>
      </c>
      <c r="BI262" s="24">
        <v>0</v>
      </c>
      <c r="BJ262" s="24">
        <v>0</v>
      </c>
      <c r="BK262" s="24">
        <v>0</v>
      </c>
      <c r="BL262" s="25">
        <v>126</v>
      </c>
      <c r="BM262" s="24">
        <v>0</v>
      </c>
      <c r="BO262" s="25">
        <v>4</v>
      </c>
      <c r="BP262" s="24">
        <v>20</v>
      </c>
      <c r="BQ262" s="24">
        <v>0</v>
      </c>
      <c r="BR262" s="24">
        <v>1</v>
      </c>
      <c r="BS262" s="24">
        <v>0</v>
      </c>
      <c r="BT262" s="24">
        <v>0</v>
      </c>
      <c r="BU262" s="24">
        <v>0</v>
      </c>
      <c r="BV262" s="24">
        <v>6</v>
      </c>
      <c r="BW262" s="24">
        <v>0</v>
      </c>
      <c r="BX262" s="24">
        <v>0</v>
      </c>
      <c r="BZ262" s="24">
        <v>-1</v>
      </c>
      <c r="CA262" s="24">
        <v>0</v>
      </c>
      <c r="CB262" s="24">
        <v>0</v>
      </c>
      <c r="CC262" s="24">
        <v>0</v>
      </c>
      <c r="CD262" s="24">
        <v>0</v>
      </c>
      <c r="CE262" s="24">
        <v>0</v>
      </c>
      <c r="CG262" s="24">
        <v>-1</v>
      </c>
      <c r="CH262" s="24">
        <v>0</v>
      </c>
      <c r="CI262" s="24">
        <v>0</v>
      </c>
      <c r="CJ262" s="24">
        <v>0</v>
      </c>
      <c r="CK262" s="24">
        <v>0</v>
      </c>
      <c r="CL262" s="24">
        <v>0</v>
      </c>
      <c r="CM262" s="24">
        <v>0</v>
      </c>
      <c r="CN262" s="24">
        <v>0</v>
      </c>
      <c r="CO262" s="24">
        <v>0</v>
      </c>
      <c r="CQ262" s="24">
        <v>0</v>
      </c>
      <c r="CR262" s="24">
        <v>0</v>
      </c>
      <c r="CS262" s="24">
        <v>0</v>
      </c>
      <c r="CT262" s="24">
        <v>0</v>
      </c>
      <c r="CV262" s="24">
        <v>130101</v>
      </c>
      <c r="CW262" s="24">
        <v>3023</v>
      </c>
      <c r="CX262" s="24">
        <v>-1</v>
      </c>
      <c r="CY262" s="26">
        <v>1</v>
      </c>
      <c r="CZ262" s="24">
        <v>0</v>
      </c>
      <c r="DA262" s="24">
        <v>0</v>
      </c>
      <c r="DC262" s="24">
        <v>1</v>
      </c>
      <c r="DD262" s="24">
        <v>1</v>
      </c>
      <c r="DE262" s="24">
        <v>0</v>
      </c>
      <c r="DF262" s="24">
        <v>0</v>
      </c>
      <c r="DG262" s="24">
        <v>-1</v>
      </c>
      <c r="DI262" s="24">
        <v>0</v>
      </c>
      <c r="DJ262" s="24">
        <v>0</v>
      </c>
      <c r="DL262" s="24">
        <v>0</v>
      </c>
      <c r="DM262" s="24">
        <v>0</v>
      </c>
      <c r="DO262" s="24">
        <v>0</v>
      </c>
      <c r="DP262" s="24">
        <v>0</v>
      </c>
      <c r="DQ262" s="24">
        <v>0</v>
      </c>
      <c r="DR262" s="24">
        <v>0</v>
      </c>
      <c r="DS262" s="24">
        <v>0</v>
      </c>
      <c r="DT262" s="24">
        <v>0</v>
      </c>
      <c r="DV262" s="24">
        <v>0</v>
      </c>
      <c r="DW262" s="24">
        <v>0</v>
      </c>
      <c r="DX262" s="24">
        <v>0</v>
      </c>
      <c r="DY262" s="24">
        <v>0</v>
      </c>
      <c r="DZ262" s="24">
        <v>0</v>
      </c>
    </row>
    <row r="263" spans="1:130">
      <c r="A263" s="24" t="s">
        <v>143</v>
      </c>
      <c r="B263" s="24" t="s">
        <v>143</v>
      </c>
      <c r="C263" s="24" t="s">
        <v>143</v>
      </c>
      <c r="D263" s="24" t="s">
        <v>143</v>
      </c>
      <c r="E263" s="24">
        <v>35001</v>
      </c>
      <c r="F263" s="24" t="s">
        <v>858</v>
      </c>
      <c r="G263" s="24">
        <v>0</v>
      </c>
      <c r="H263" s="24">
        <f t="shared" ref="H263:H273" si="4">E263+500000</f>
        <v>535001</v>
      </c>
      <c r="I263" s="24" t="s">
        <v>858</v>
      </c>
      <c r="J263" s="24" t="s">
        <v>858</v>
      </c>
      <c r="K263" s="24" t="s">
        <v>872</v>
      </c>
      <c r="M263" s="24">
        <v>0</v>
      </c>
      <c r="N263" s="24">
        <v>0</v>
      </c>
      <c r="P263" s="25">
        <v>2</v>
      </c>
      <c r="Q263" s="25">
        <v>256</v>
      </c>
      <c r="R263" s="24">
        <v>0</v>
      </c>
      <c r="S263" s="25">
        <v>0</v>
      </c>
      <c r="T263" s="33"/>
      <c r="U263" s="24">
        <v>0</v>
      </c>
      <c r="V263" s="25">
        <v>0</v>
      </c>
      <c r="W263" s="24">
        <v>0</v>
      </c>
      <c r="X263" s="24">
        <v>0</v>
      </c>
      <c r="Y263" s="24">
        <v>0</v>
      </c>
      <c r="Z263" s="24">
        <v>0</v>
      </c>
      <c r="AB263" s="24">
        <v>10001</v>
      </c>
      <c r="AC263" s="24">
        <v>-1</v>
      </c>
      <c r="AD263" s="24">
        <v>-1</v>
      </c>
      <c r="AE263" s="24">
        <v>-1</v>
      </c>
      <c r="AG263" s="24">
        <v>1</v>
      </c>
      <c r="AH263" s="24">
        <v>0</v>
      </c>
      <c r="AI263" s="24">
        <v>0</v>
      </c>
      <c r="AJ263" s="24">
        <v>0</v>
      </c>
      <c r="AK263" s="24">
        <v>0</v>
      </c>
      <c r="AL263" s="24">
        <v>0</v>
      </c>
      <c r="AM263" s="24">
        <v>0</v>
      </c>
      <c r="AN263" s="24">
        <v>0</v>
      </c>
      <c r="AO263" s="24">
        <v>0</v>
      </c>
      <c r="AP263" s="24">
        <v>0</v>
      </c>
      <c r="AQ263" s="24">
        <v>0</v>
      </c>
      <c r="AR263" s="24">
        <v>0</v>
      </c>
      <c r="AS263" s="24">
        <v>0</v>
      </c>
      <c r="AT263" s="24">
        <v>0</v>
      </c>
      <c r="AU263" s="24">
        <v>0</v>
      </c>
      <c r="AV263" s="24">
        <v>0</v>
      </c>
      <c r="AW263" s="24">
        <v>0</v>
      </c>
      <c r="AX263" s="24">
        <v>0</v>
      </c>
      <c r="AY263" s="24">
        <v>0</v>
      </c>
      <c r="BA263" s="24">
        <v>0</v>
      </c>
      <c r="BB263" s="24">
        <v>3800</v>
      </c>
      <c r="BC263" s="24">
        <v>4100</v>
      </c>
      <c r="BD263" s="24">
        <v>1200</v>
      </c>
      <c r="BE263" s="24">
        <v>100</v>
      </c>
      <c r="BF263" s="24">
        <v>5</v>
      </c>
      <c r="BG263" s="25">
        <v>1</v>
      </c>
      <c r="BH263" s="24">
        <v>1</v>
      </c>
      <c r="BI263" s="24">
        <v>0</v>
      </c>
      <c r="BJ263" s="24">
        <v>0</v>
      </c>
      <c r="BK263" s="24">
        <v>0</v>
      </c>
      <c r="BL263" s="25">
        <v>126</v>
      </c>
      <c r="BM263" s="24">
        <v>0</v>
      </c>
      <c r="BO263" s="25">
        <v>16</v>
      </c>
      <c r="BP263" s="24">
        <v>20</v>
      </c>
      <c r="BQ263" s="24">
        <v>0</v>
      </c>
      <c r="BR263" s="24">
        <v>2</v>
      </c>
      <c r="BS263" s="24">
        <v>80</v>
      </c>
      <c r="BT263" s="24">
        <v>0</v>
      </c>
      <c r="BU263" s="24">
        <v>0</v>
      </c>
      <c r="BV263" s="24">
        <v>6</v>
      </c>
      <c r="BW263" s="24">
        <v>0</v>
      </c>
      <c r="BX263" s="24">
        <v>10</v>
      </c>
      <c r="BZ263" s="24">
        <v>35001</v>
      </c>
      <c r="CA263" s="24">
        <v>0</v>
      </c>
      <c r="CB263" s="24">
        <v>0</v>
      </c>
      <c r="CC263" s="24">
        <v>0</v>
      </c>
      <c r="CD263" s="24">
        <v>0</v>
      </c>
      <c r="CE263" s="24">
        <v>0</v>
      </c>
      <c r="CG263" s="24">
        <v>-1</v>
      </c>
      <c r="CH263" s="24">
        <v>0</v>
      </c>
      <c r="CI263" s="24">
        <v>0</v>
      </c>
      <c r="CJ263" s="24">
        <v>0</v>
      </c>
      <c r="CK263" s="24">
        <v>0</v>
      </c>
      <c r="CL263" s="24">
        <v>0</v>
      </c>
      <c r="CM263" s="24">
        <v>0</v>
      </c>
      <c r="CN263" s="24">
        <v>0</v>
      </c>
      <c r="CO263" s="24">
        <v>0</v>
      </c>
      <c r="CQ263" s="24">
        <v>15</v>
      </c>
      <c r="CR263" s="24">
        <v>0</v>
      </c>
      <c r="CS263" s="24">
        <v>0</v>
      </c>
      <c r="CT263" s="24">
        <v>0</v>
      </c>
      <c r="CV263" s="24">
        <v>130102</v>
      </c>
      <c r="CW263" s="24">
        <v>0</v>
      </c>
      <c r="CX263" s="24">
        <v>-1</v>
      </c>
      <c r="CY263" s="26">
        <v>1</v>
      </c>
      <c r="CZ263" s="24">
        <v>0</v>
      </c>
      <c r="DA263" s="24">
        <v>0</v>
      </c>
      <c r="DC263" s="24">
        <v>0</v>
      </c>
      <c r="DD263" s="24">
        <v>0</v>
      </c>
      <c r="DE263" s="24">
        <v>0</v>
      </c>
      <c r="DF263" s="24">
        <v>0</v>
      </c>
      <c r="DG263" s="24">
        <v>-1</v>
      </c>
      <c r="DI263" s="24">
        <v>0</v>
      </c>
      <c r="DJ263" s="24">
        <v>0</v>
      </c>
      <c r="DL263" s="24">
        <v>0</v>
      </c>
      <c r="DM263" s="24">
        <v>0</v>
      </c>
      <c r="DO263" s="24">
        <v>1</v>
      </c>
      <c r="DP263" s="24">
        <v>1</v>
      </c>
      <c r="DQ263" s="24">
        <v>35005</v>
      </c>
      <c r="DR263" s="24">
        <v>35003</v>
      </c>
      <c r="DS263" s="24">
        <v>6000</v>
      </c>
      <c r="DT263" s="24">
        <v>0</v>
      </c>
      <c r="DV263" s="24">
        <v>0</v>
      </c>
      <c r="DW263" s="24">
        <v>0</v>
      </c>
      <c r="DX263" s="24">
        <v>0</v>
      </c>
      <c r="DY263" s="24">
        <v>0</v>
      </c>
      <c r="DZ263" s="24">
        <v>0</v>
      </c>
    </row>
    <row r="264" spans="1:130">
      <c r="A264" s="24" t="s">
        <v>143</v>
      </c>
      <c r="B264" s="24" t="s">
        <v>143</v>
      </c>
      <c r="C264" s="24" t="s">
        <v>143</v>
      </c>
      <c r="D264" s="24" t="s">
        <v>143</v>
      </c>
      <c r="E264" s="24">
        <v>35002</v>
      </c>
      <c r="F264" s="24" t="s">
        <v>859</v>
      </c>
      <c r="G264" s="24">
        <v>0</v>
      </c>
      <c r="H264" s="24">
        <f t="shared" si="4"/>
        <v>535002</v>
      </c>
      <c r="I264" s="24" t="s">
        <v>859</v>
      </c>
      <c r="J264" s="24" t="s">
        <v>859</v>
      </c>
      <c r="K264" s="24" t="s">
        <v>873</v>
      </c>
      <c r="M264" s="24">
        <v>0</v>
      </c>
      <c r="N264" s="24">
        <v>0</v>
      </c>
      <c r="P264" s="25">
        <v>12</v>
      </c>
      <c r="Q264" s="25">
        <v>0</v>
      </c>
      <c r="R264" s="24">
        <v>35001</v>
      </c>
      <c r="S264" s="25">
        <v>0</v>
      </c>
      <c r="T264" s="33"/>
      <c r="U264" s="24">
        <v>3</v>
      </c>
      <c r="V264" s="25">
        <v>2050</v>
      </c>
      <c r="W264" s="24">
        <v>1</v>
      </c>
      <c r="X264" s="24">
        <v>35001</v>
      </c>
      <c r="Y264" s="24">
        <v>0</v>
      </c>
      <c r="Z264" s="24">
        <v>1000</v>
      </c>
      <c r="AB264" s="24">
        <v>30001</v>
      </c>
      <c r="AC264" s="24">
        <v>-1</v>
      </c>
      <c r="AD264" s="24">
        <v>-1</v>
      </c>
      <c r="AE264" s="24">
        <v>-1</v>
      </c>
      <c r="AG264" s="24">
        <v>1</v>
      </c>
      <c r="AH264" s="24">
        <v>0</v>
      </c>
      <c r="AI264" s="24">
        <v>0</v>
      </c>
      <c r="AJ264" s="24">
        <v>0</v>
      </c>
      <c r="AK264" s="24">
        <v>0</v>
      </c>
      <c r="AL264" s="24">
        <v>0</v>
      </c>
      <c r="AM264" s="24">
        <v>0</v>
      </c>
      <c r="AN264" s="24">
        <v>0</v>
      </c>
      <c r="AO264" s="24">
        <v>0</v>
      </c>
      <c r="AP264" s="24">
        <v>0</v>
      </c>
      <c r="AQ264" s="24">
        <v>0</v>
      </c>
      <c r="AR264" s="24">
        <v>0</v>
      </c>
      <c r="AS264" s="24">
        <v>0</v>
      </c>
      <c r="AT264" s="24">
        <v>0</v>
      </c>
      <c r="AU264" s="24">
        <v>0</v>
      </c>
      <c r="AV264" s="24">
        <v>0</v>
      </c>
      <c r="AW264" s="24">
        <v>0</v>
      </c>
      <c r="AX264" s="24">
        <v>0</v>
      </c>
      <c r="AY264" s="24">
        <v>0</v>
      </c>
      <c r="BA264" s="24">
        <v>0</v>
      </c>
      <c r="BB264" s="24">
        <v>0</v>
      </c>
      <c r="BC264" s="24">
        <v>0</v>
      </c>
      <c r="BD264" s="24">
        <v>0</v>
      </c>
      <c r="BE264" s="24">
        <v>0</v>
      </c>
      <c r="BF264" s="24">
        <v>1</v>
      </c>
      <c r="BG264" s="25">
        <v>1024</v>
      </c>
      <c r="BH264" s="24">
        <v>4</v>
      </c>
      <c r="BI264" s="24">
        <v>35002</v>
      </c>
      <c r="BJ264" s="24">
        <v>1</v>
      </c>
      <c r="BK264" s="24">
        <v>1</v>
      </c>
      <c r="BL264" s="25">
        <v>126</v>
      </c>
      <c r="BM264" s="24">
        <v>0</v>
      </c>
      <c r="BO264" s="25">
        <v>1</v>
      </c>
      <c r="BP264" s="24">
        <v>0</v>
      </c>
      <c r="BQ264" s="24">
        <v>0</v>
      </c>
      <c r="BR264" s="24">
        <v>2</v>
      </c>
      <c r="BS264" s="24">
        <v>80</v>
      </c>
      <c r="BT264" s="24">
        <v>0</v>
      </c>
      <c r="BU264" s="24">
        <v>0</v>
      </c>
      <c r="BV264" s="24">
        <v>6</v>
      </c>
      <c r="BW264" s="24">
        <v>0</v>
      </c>
      <c r="BX264" s="24">
        <v>10</v>
      </c>
      <c r="BZ264" s="24">
        <v>-1</v>
      </c>
      <c r="CA264" s="24">
        <v>0</v>
      </c>
      <c r="CB264" s="24">
        <v>0</v>
      </c>
      <c r="CC264" s="24">
        <v>0</v>
      </c>
      <c r="CD264" s="24">
        <v>0</v>
      </c>
      <c r="CE264" s="24">
        <v>0</v>
      </c>
      <c r="CG264" s="24">
        <v>-1</v>
      </c>
      <c r="CH264" s="24">
        <v>0</v>
      </c>
      <c r="CI264" s="24">
        <v>0</v>
      </c>
      <c r="CJ264" s="24">
        <v>0</v>
      </c>
      <c r="CK264" s="24">
        <v>0</v>
      </c>
      <c r="CL264" s="24">
        <v>0</v>
      </c>
      <c r="CM264" s="24">
        <v>0</v>
      </c>
      <c r="CN264" s="24">
        <v>0</v>
      </c>
      <c r="CO264" s="24">
        <v>0</v>
      </c>
      <c r="CQ264" s="24">
        <v>0</v>
      </c>
      <c r="CR264" s="24">
        <v>0</v>
      </c>
      <c r="CS264" s="24">
        <v>0</v>
      </c>
      <c r="CT264" s="24">
        <v>0</v>
      </c>
      <c r="CV264" s="24">
        <v>130102</v>
      </c>
      <c r="CW264" s="24">
        <v>0</v>
      </c>
      <c r="CX264" s="24">
        <v>-1</v>
      </c>
      <c r="CY264" s="26">
        <v>1</v>
      </c>
      <c r="CZ264" s="24">
        <v>0</v>
      </c>
      <c r="DA264" s="24">
        <v>0</v>
      </c>
      <c r="DC264" s="24">
        <v>0</v>
      </c>
      <c r="DD264" s="24">
        <v>0</v>
      </c>
      <c r="DE264" s="24">
        <v>0</v>
      </c>
      <c r="DF264" s="24">
        <v>0</v>
      </c>
      <c r="DG264" s="24">
        <v>-1</v>
      </c>
      <c r="DI264" s="24">
        <v>0</v>
      </c>
      <c r="DJ264" s="24">
        <v>0</v>
      </c>
      <c r="DL264" s="24">
        <v>0</v>
      </c>
      <c r="DM264" s="24">
        <v>0</v>
      </c>
      <c r="DO264" s="24">
        <v>0</v>
      </c>
      <c r="DP264" s="24">
        <v>0</v>
      </c>
      <c r="DQ264" s="24">
        <v>0</v>
      </c>
      <c r="DR264" s="24">
        <v>0</v>
      </c>
      <c r="DS264" s="24">
        <v>0</v>
      </c>
      <c r="DT264" s="24">
        <v>0</v>
      </c>
      <c r="DV264" s="24">
        <v>0</v>
      </c>
      <c r="DW264" s="24">
        <v>0</v>
      </c>
      <c r="DX264" s="24">
        <v>0</v>
      </c>
      <c r="DY264" s="24">
        <v>0</v>
      </c>
      <c r="DZ264" s="24">
        <v>0</v>
      </c>
    </row>
    <row r="265" spans="1:130">
      <c r="A265" s="24" t="s">
        <v>143</v>
      </c>
      <c r="B265" s="24" t="s">
        <v>143</v>
      </c>
      <c r="C265" s="24" t="s">
        <v>143</v>
      </c>
      <c r="D265" s="24" t="s">
        <v>143</v>
      </c>
      <c r="E265" s="24">
        <v>35003</v>
      </c>
      <c r="F265" s="24" t="s">
        <v>860</v>
      </c>
      <c r="G265" s="24">
        <v>0</v>
      </c>
      <c r="H265" s="24">
        <f t="shared" si="4"/>
        <v>535003</v>
      </c>
      <c r="I265" s="24" t="s">
        <v>860</v>
      </c>
      <c r="J265" s="24" t="s">
        <v>860</v>
      </c>
      <c r="K265" s="24" t="s">
        <v>874</v>
      </c>
      <c r="M265" s="24">
        <v>0</v>
      </c>
      <c r="N265" s="24">
        <v>0</v>
      </c>
      <c r="P265" s="25">
        <v>2</v>
      </c>
      <c r="Q265" s="25">
        <v>256</v>
      </c>
      <c r="R265" s="24">
        <v>0</v>
      </c>
      <c r="S265" s="25">
        <v>0</v>
      </c>
      <c r="T265" s="33"/>
      <c r="U265" s="24">
        <v>0</v>
      </c>
      <c r="V265" s="25">
        <v>0</v>
      </c>
      <c r="W265" s="24">
        <v>0</v>
      </c>
      <c r="X265" s="24">
        <v>0</v>
      </c>
      <c r="Y265" s="24">
        <v>0</v>
      </c>
      <c r="Z265" s="24">
        <v>0</v>
      </c>
      <c r="AB265" s="24">
        <v>10001</v>
      </c>
      <c r="AC265" s="24">
        <v>-1</v>
      </c>
      <c r="AD265" s="24">
        <v>-1</v>
      </c>
      <c r="AE265" s="24">
        <v>-1</v>
      </c>
      <c r="AG265" s="24">
        <v>1</v>
      </c>
      <c r="AH265" s="24">
        <v>0</v>
      </c>
      <c r="AI265" s="24">
        <v>0</v>
      </c>
      <c r="AJ265" s="24">
        <v>0</v>
      </c>
      <c r="AK265" s="24">
        <v>0</v>
      </c>
      <c r="AL265" s="24">
        <v>0</v>
      </c>
      <c r="AM265" s="24">
        <v>0</v>
      </c>
      <c r="AN265" s="24">
        <v>0</v>
      </c>
      <c r="AO265" s="24">
        <v>0</v>
      </c>
      <c r="AP265" s="24">
        <v>0</v>
      </c>
      <c r="AQ265" s="24">
        <v>0</v>
      </c>
      <c r="AR265" s="24">
        <v>0</v>
      </c>
      <c r="AS265" s="24">
        <v>0</v>
      </c>
      <c r="AT265" s="24">
        <v>0</v>
      </c>
      <c r="AU265" s="24">
        <v>0</v>
      </c>
      <c r="AV265" s="24">
        <v>0</v>
      </c>
      <c r="AW265" s="24">
        <v>0</v>
      </c>
      <c r="AX265" s="24">
        <v>0</v>
      </c>
      <c r="AY265" s="24">
        <v>0</v>
      </c>
      <c r="BA265" s="24">
        <v>0</v>
      </c>
      <c r="BB265" s="24">
        <v>3800</v>
      </c>
      <c r="BC265" s="24">
        <v>4100</v>
      </c>
      <c r="BD265" s="24">
        <v>0</v>
      </c>
      <c r="BE265" s="24">
        <v>100</v>
      </c>
      <c r="BF265" s="24">
        <v>3</v>
      </c>
      <c r="BG265" s="25">
        <v>1</v>
      </c>
      <c r="BH265" s="24">
        <v>1</v>
      </c>
      <c r="BI265" s="24">
        <v>0</v>
      </c>
      <c r="BJ265" s="24">
        <v>0</v>
      </c>
      <c r="BK265" s="24">
        <v>0</v>
      </c>
      <c r="BL265" s="25">
        <v>126</v>
      </c>
      <c r="BM265" s="24">
        <v>0</v>
      </c>
      <c r="BO265" s="25">
        <v>16</v>
      </c>
      <c r="BP265" s="24">
        <v>20</v>
      </c>
      <c r="BQ265" s="24">
        <v>0</v>
      </c>
      <c r="BR265" s="24">
        <v>2</v>
      </c>
      <c r="BS265" s="24">
        <v>80</v>
      </c>
      <c r="BT265" s="24">
        <v>0</v>
      </c>
      <c r="BU265" s="24">
        <v>0</v>
      </c>
      <c r="BV265" s="24">
        <v>6</v>
      </c>
      <c r="BW265" s="24">
        <v>0</v>
      </c>
      <c r="BX265" s="24">
        <v>10</v>
      </c>
      <c r="BZ265" s="24">
        <v>35001</v>
      </c>
      <c r="CA265" s="24">
        <v>0</v>
      </c>
      <c r="CB265" s="24">
        <v>0</v>
      </c>
      <c r="CC265" s="24">
        <v>0</v>
      </c>
      <c r="CD265" s="24">
        <v>0</v>
      </c>
      <c r="CE265" s="24">
        <v>0</v>
      </c>
      <c r="CG265" s="24">
        <v>-1</v>
      </c>
      <c r="CH265" s="24">
        <v>0</v>
      </c>
      <c r="CI265" s="24">
        <v>0</v>
      </c>
      <c r="CJ265" s="24">
        <v>0</v>
      </c>
      <c r="CK265" s="24">
        <v>0</v>
      </c>
      <c r="CL265" s="24">
        <v>0</v>
      </c>
      <c r="CM265" s="24">
        <v>0</v>
      </c>
      <c r="CN265" s="24">
        <v>0</v>
      </c>
      <c r="CO265" s="24">
        <v>0</v>
      </c>
      <c r="CQ265" s="24">
        <v>20</v>
      </c>
      <c r="CR265" s="24">
        <v>0</v>
      </c>
      <c r="CS265" s="24">
        <v>0</v>
      </c>
      <c r="CT265" s="24">
        <v>0</v>
      </c>
      <c r="CV265" s="24">
        <v>0</v>
      </c>
      <c r="CW265" s="24">
        <v>0</v>
      </c>
      <c r="CX265" s="24">
        <v>-1</v>
      </c>
      <c r="CY265" s="26">
        <v>1</v>
      </c>
      <c r="CZ265" s="24">
        <v>0</v>
      </c>
      <c r="DA265" s="24">
        <v>0</v>
      </c>
      <c r="DC265" s="24">
        <v>0</v>
      </c>
      <c r="DD265" s="24">
        <v>0</v>
      </c>
      <c r="DE265" s="24">
        <v>0</v>
      </c>
      <c r="DF265" s="24">
        <v>0</v>
      </c>
      <c r="DG265" s="24">
        <v>-1</v>
      </c>
      <c r="DI265" s="24">
        <v>0</v>
      </c>
      <c r="DJ265" s="24">
        <v>0</v>
      </c>
      <c r="DL265" s="24">
        <v>0</v>
      </c>
      <c r="DM265" s="24">
        <v>0</v>
      </c>
      <c r="DO265" s="24">
        <v>1</v>
      </c>
      <c r="DP265" s="24">
        <v>1</v>
      </c>
      <c r="DQ265" s="24">
        <v>35003</v>
      </c>
      <c r="DR265" s="24">
        <v>35001</v>
      </c>
      <c r="DS265" s="24">
        <v>0</v>
      </c>
      <c r="DT265" s="24">
        <v>0</v>
      </c>
      <c r="DV265" s="24">
        <v>0</v>
      </c>
      <c r="DW265" s="24">
        <v>0</v>
      </c>
      <c r="DX265" s="24">
        <v>0</v>
      </c>
      <c r="DY265" s="24">
        <v>0</v>
      </c>
      <c r="DZ265" s="24">
        <v>0</v>
      </c>
    </row>
    <row r="266" spans="1:130">
      <c r="A266" s="24" t="s">
        <v>143</v>
      </c>
      <c r="B266" s="24" t="s">
        <v>143</v>
      </c>
      <c r="C266" s="24" t="s">
        <v>143</v>
      </c>
      <c r="D266" s="24" t="s">
        <v>143</v>
      </c>
      <c r="E266" s="24">
        <v>35004</v>
      </c>
      <c r="F266" s="24" t="s">
        <v>861</v>
      </c>
      <c r="G266" s="24">
        <v>0</v>
      </c>
      <c r="H266" s="24">
        <f t="shared" si="4"/>
        <v>535004</v>
      </c>
      <c r="I266" s="24" t="s">
        <v>861</v>
      </c>
      <c r="J266" s="24" t="s">
        <v>861</v>
      </c>
      <c r="K266" s="24" t="s">
        <v>875</v>
      </c>
      <c r="M266" s="24">
        <v>0</v>
      </c>
      <c r="N266" s="24">
        <v>0</v>
      </c>
      <c r="P266" s="25">
        <v>12</v>
      </c>
      <c r="Q266" s="25">
        <v>0</v>
      </c>
      <c r="R266" s="24">
        <v>35003</v>
      </c>
      <c r="S266" s="25">
        <v>0</v>
      </c>
      <c r="T266" s="33"/>
      <c r="U266" s="24">
        <v>3</v>
      </c>
      <c r="V266" s="25">
        <v>2050</v>
      </c>
      <c r="W266" s="24">
        <v>1</v>
      </c>
      <c r="X266" s="24">
        <v>35001</v>
      </c>
      <c r="Y266" s="24">
        <v>0</v>
      </c>
      <c r="Z266" s="24">
        <v>1000</v>
      </c>
      <c r="AB266" s="24">
        <v>30001</v>
      </c>
      <c r="AC266" s="24">
        <v>-1</v>
      </c>
      <c r="AD266" s="24">
        <v>-1</v>
      </c>
      <c r="AE266" s="24">
        <v>-1</v>
      </c>
      <c r="AG266" s="24">
        <v>1</v>
      </c>
      <c r="AH266" s="24">
        <v>0</v>
      </c>
      <c r="AI266" s="24">
        <v>0</v>
      </c>
      <c r="AJ266" s="24">
        <v>0</v>
      </c>
      <c r="AK266" s="24">
        <v>0</v>
      </c>
      <c r="AL266" s="24">
        <v>0</v>
      </c>
      <c r="AM266" s="24">
        <v>0</v>
      </c>
      <c r="AN266" s="24">
        <v>0</v>
      </c>
      <c r="AO266" s="24">
        <v>0</v>
      </c>
      <c r="AP266" s="24">
        <v>0</v>
      </c>
      <c r="AQ266" s="24">
        <v>0</v>
      </c>
      <c r="AR266" s="24">
        <v>0</v>
      </c>
      <c r="AS266" s="24">
        <v>0</v>
      </c>
      <c r="AT266" s="24">
        <v>0</v>
      </c>
      <c r="AU266" s="24">
        <v>0</v>
      </c>
      <c r="AV266" s="24">
        <v>0</v>
      </c>
      <c r="AW266" s="24">
        <v>0</v>
      </c>
      <c r="AX266" s="24">
        <v>0</v>
      </c>
      <c r="AY266" s="24">
        <v>0</v>
      </c>
      <c r="BA266" s="24">
        <v>0</v>
      </c>
      <c r="BB266" s="24">
        <v>0</v>
      </c>
      <c r="BC266" s="24">
        <v>0</v>
      </c>
      <c r="BD266" s="24">
        <v>0</v>
      </c>
      <c r="BE266" s="24">
        <v>0</v>
      </c>
      <c r="BF266" s="24">
        <v>1</v>
      </c>
      <c r="BG266" s="25">
        <v>1024</v>
      </c>
      <c r="BH266" s="24">
        <v>4</v>
      </c>
      <c r="BI266" s="24">
        <v>35004</v>
      </c>
      <c r="BJ266" s="24">
        <v>1</v>
      </c>
      <c r="BK266" s="24">
        <v>1</v>
      </c>
      <c r="BL266" s="25">
        <v>126</v>
      </c>
      <c r="BM266" s="24">
        <v>0</v>
      </c>
      <c r="BO266" s="25">
        <v>1</v>
      </c>
      <c r="BP266" s="24">
        <v>0</v>
      </c>
      <c r="BQ266" s="24">
        <v>0</v>
      </c>
      <c r="BR266" s="24">
        <v>2</v>
      </c>
      <c r="BS266" s="24">
        <v>80</v>
      </c>
      <c r="BT266" s="24">
        <v>0</v>
      </c>
      <c r="BU266" s="24">
        <v>0</v>
      </c>
      <c r="BV266" s="24">
        <v>6</v>
      </c>
      <c r="BW266" s="24">
        <v>0</v>
      </c>
      <c r="BX266" s="24">
        <v>10</v>
      </c>
      <c r="BZ266" s="24">
        <v>-1</v>
      </c>
      <c r="CA266" s="24">
        <v>0</v>
      </c>
      <c r="CB266" s="24">
        <v>0</v>
      </c>
      <c r="CC266" s="24">
        <v>0</v>
      </c>
      <c r="CD266" s="24">
        <v>0</v>
      </c>
      <c r="CE266" s="24">
        <v>0</v>
      </c>
      <c r="CG266" s="24">
        <v>-1</v>
      </c>
      <c r="CH266" s="24">
        <v>0</v>
      </c>
      <c r="CI266" s="24">
        <v>0</v>
      </c>
      <c r="CJ266" s="24">
        <v>0</v>
      </c>
      <c r="CK266" s="24">
        <v>0</v>
      </c>
      <c r="CL266" s="24">
        <v>0</v>
      </c>
      <c r="CM266" s="24">
        <v>0</v>
      </c>
      <c r="CN266" s="24">
        <v>0</v>
      </c>
      <c r="CO266" s="24">
        <v>0</v>
      </c>
      <c r="CQ266" s="24">
        <v>0</v>
      </c>
      <c r="CR266" s="24">
        <v>0</v>
      </c>
      <c r="CS266" s="24">
        <v>0</v>
      </c>
      <c r="CT266" s="24">
        <v>0</v>
      </c>
      <c r="CV266" s="24">
        <v>0</v>
      </c>
      <c r="CW266" s="24">
        <v>0</v>
      </c>
      <c r="CX266" s="24">
        <v>-1</v>
      </c>
      <c r="CY266" s="26">
        <v>1</v>
      </c>
      <c r="CZ266" s="24">
        <v>0</v>
      </c>
      <c r="DA266" s="24">
        <v>0</v>
      </c>
      <c r="DC266" s="24">
        <v>0</v>
      </c>
      <c r="DD266" s="24">
        <v>0</v>
      </c>
      <c r="DE266" s="24">
        <v>0</v>
      </c>
      <c r="DF266" s="24">
        <v>0</v>
      </c>
      <c r="DG266" s="24">
        <v>-1</v>
      </c>
      <c r="DI266" s="24">
        <v>0</v>
      </c>
      <c r="DJ266" s="24">
        <v>0</v>
      </c>
      <c r="DL266" s="24">
        <v>0</v>
      </c>
      <c r="DM266" s="24">
        <v>0</v>
      </c>
      <c r="DO266" s="24">
        <v>0</v>
      </c>
      <c r="DP266" s="24">
        <v>0</v>
      </c>
      <c r="DQ266" s="24">
        <v>0</v>
      </c>
      <c r="DR266" s="24">
        <v>0</v>
      </c>
      <c r="DS266" s="24">
        <v>0</v>
      </c>
      <c r="DT266" s="24">
        <v>0</v>
      </c>
      <c r="DV266" s="24">
        <v>0</v>
      </c>
      <c r="DW266" s="24">
        <v>0</v>
      </c>
      <c r="DX266" s="24">
        <v>0</v>
      </c>
      <c r="DY266" s="24">
        <v>0</v>
      </c>
      <c r="DZ266" s="24">
        <v>0</v>
      </c>
    </row>
    <row r="267" spans="1:130">
      <c r="A267" s="24" t="s">
        <v>143</v>
      </c>
      <c r="B267" s="24" t="s">
        <v>143</v>
      </c>
      <c r="C267" s="24" t="s">
        <v>143</v>
      </c>
      <c r="D267" s="24" t="s">
        <v>143</v>
      </c>
      <c r="E267" s="24">
        <v>35005</v>
      </c>
      <c r="F267" s="24" t="s">
        <v>857</v>
      </c>
      <c r="G267" s="24">
        <v>0</v>
      </c>
      <c r="H267" s="24">
        <f t="shared" si="4"/>
        <v>535005</v>
      </c>
      <c r="I267" s="24" t="s">
        <v>857</v>
      </c>
      <c r="J267" s="24" t="s">
        <v>857</v>
      </c>
      <c r="K267" s="24" t="s">
        <v>876</v>
      </c>
      <c r="M267" s="24">
        <v>0</v>
      </c>
      <c r="N267" s="24">
        <v>0</v>
      </c>
      <c r="P267" s="25">
        <v>2</v>
      </c>
      <c r="Q267" s="25">
        <v>0</v>
      </c>
      <c r="R267" s="24">
        <v>0</v>
      </c>
      <c r="S267" s="25">
        <v>0</v>
      </c>
      <c r="T267" s="33"/>
      <c r="U267" s="24">
        <v>0</v>
      </c>
      <c r="V267" s="25">
        <v>0</v>
      </c>
      <c r="W267" s="24">
        <v>0</v>
      </c>
      <c r="X267" s="24">
        <v>0</v>
      </c>
      <c r="Y267" s="24">
        <v>0</v>
      </c>
      <c r="Z267" s="24">
        <v>0</v>
      </c>
      <c r="AB267" s="24">
        <v>10001</v>
      </c>
      <c r="AC267" s="24">
        <v>-1</v>
      </c>
      <c r="AD267" s="24">
        <v>-1</v>
      </c>
      <c r="AE267" s="24">
        <v>-1</v>
      </c>
      <c r="AG267" s="24">
        <v>1</v>
      </c>
      <c r="AH267" s="24">
        <v>0</v>
      </c>
      <c r="AI267" s="24">
        <v>0</v>
      </c>
      <c r="AJ267" s="24">
        <v>0</v>
      </c>
      <c r="AK267" s="24">
        <v>0</v>
      </c>
      <c r="AL267" s="24">
        <v>0</v>
      </c>
      <c r="AM267" s="24">
        <v>0</v>
      </c>
      <c r="AN267" s="24">
        <v>0</v>
      </c>
      <c r="AO267" s="24">
        <v>0</v>
      </c>
      <c r="AP267" s="24">
        <v>0</v>
      </c>
      <c r="AQ267" s="24">
        <v>0</v>
      </c>
      <c r="AR267" s="24">
        <v>0</v>
      </c>
      <c r="AS267" s="24">
        <v>0</v>
      </c>
      <c r="AT267" s="24">
        <v>0</v>
      </c>
      <c r="AU267" s="24">
        <v>0</v>
      </c>
      <c r="AV267" s="24">
        <v>0</v>
      </c>
      <c r="AW267" s="24">
        <v>0</v>
      </c>
      <c r="AX267" s="24">
        <v>0</v>
      </c>
      <c r="AY267" s="24">
        <v>0</v>
      </c>
      <c r="BA267" s="24">
        <v>0</v>
      </c>
      <c r="BB267" s="24">
        <v>1500</v>
      </c>
      <c r="BC267" s="24">
        <v>5000</v>
      </c>
      <c r="BD267" s="24">
        <v>0</v>
      </c>
      <c r="BE267" s="24">
        <v>0</v>
      </c>
      <c r="BF267" s="24">
        <v>1</v>
      </c>
      <c r="BG267" s="25">
        <v>512</v>
      </c>
      <c r="BH267" s="24">
        <v>4</v>
      </c>
      <c r="BI267" s="24">
        <v>35005</v>
      </c>
      <c r="BJ267" s="24">
        <v>1</v>
      </c>
      <c r="BK267" s="24">
        <v>1</v>
      </c>
      <c r="BL267" s="25">
        <v>126</v>
      </c>
      <c r="BM267" s="24">
        <v>0</v>
      </c>
      <c r="BO267" s="25">
        <v>1</v>
      </c>
      <c r="BP267" s="24">
        <v>10</v>
      </c>
      <c r="BQ267" s="24">
        <v>0</v>
      </c>
      <c r="BR267" s="24">
        <v>1</v>
      </c>
      <c r="BS267" s="24">
        <v>0</v>
      </c>
      <c r="BT267" s="24">
        <v>0</v>
      </c>
      <c r="BU267" s="24">
        <v>0</v>
      </c>
      <c r="BV267" s="24">
        <v>0</v>
      </c>
      <c r="BW267" s="24">
        <v>0</v>
      </c>
      <c r="BX267" s="24">
        <v>0</v>
      </c>
      <c r="BZ267" s="24">
        <v>35005</v>
      </c>
      <c r="CA267" s="24">
        <v>0</v>
      </c>
      <c r="CB267" s="24">
        <v>0</v>
      </c>
      <c r="CC267" s="24">
        <v>0</v>
      </c>
      <c r="CD267" s="24">
        <v>0</v>
      </c>
      <c r="CE267" s="24">
        <v>0</v>
      </c>
      <c r="CG267" s="24">
        <v>-1</v>
      </c>
      <c r="CH267" s="24">
        <v>0</v>
      </c>
      <c r="CI267" s="24">
        <v>0</v>
      </c>
      <c r="CJ267" s="24">
        <v>0</v>
      </c>
      <c r="CK267" s="24">
        <v>0</v>
      </c>
      <c r="CL267" s="24">
        <v>0</v>
      </c>
      <c r="CM267" s="24">
        <v>0</v>
      </c>
      <c r="CN267" s="24">
        <v>0</v>
      </c>
      <c r="CO267" s="24">
        <v>0</v>
      </c>
      <c r="CQ267" s="24">
        <v>0</v>
      </c>
      <c r="CR267" s="24">
        <v>0</v>
      </c>
      <c r="CS267" s="24">
        <v>0</v>
      </c>
      <c r="CT267" s="24">
        <v>0</v>
      </c>
      <c r="CV267" s="24">
        <v>130103</v>
      </c>
      <c r="CW267" s="24">
        <v>0</v>
      </c>
      <c r="CX267" s="24">
        <v>-1</v>
      </c>
      <c r="CY267" s="26">
        <v>1</v>
      </c>
      <c r="CZ267" s="24">
        <v>0</v>
      </c>
      <c r="DA267" s="24">
        <v>0</v>
      </c>
      <c r="DC267" s="24">
        <v>0</v>
      </c>
      <c r="DD267" s="24">
        <v>0</v>
      </c>
      <c r="DE267" s="24">
        <v>0</v>
      </c>
      <c r="DF267" s="24">
        <v>0</v>
      </c>
      <c r="DG267" s="24">
        <v>-1</v>
      </c>
      <c r="DI267" s="24">
        <v>0</v>
      </c>
      <c r="DJ267" s="24">
        <v>0</v>
      </c>
      <c r="DL267" s="24">
        <v>0</v>
      </c>
      <c r="DM267" s="24">
        <v>0</v>
      </c>
      <c r="DO267" s="24">
        <v>1</v>
      </c>
      <c r="DP267" s="24">
        <v>1</v>
      </c>
      <c r="DQ267" s="24">
        <v>35005</v>
      </c>
      <c r="DR267" s="24">
        <v>35006</v>
      </c>
      <c r="DS267" s="24">
        <v>6000</v>
      </c>
      <c r="DT267" s="24">
        <v>0</v>
      </c>
      <c r="DV267" s="24">
        <v>0</v>
      </c>
      <c r="DW267" s="24">
        <v>0</v>
      </c>
      <c r="DX267" s="24">
        <v>0</v>
      </c>
      <c r="DY267" s="24">
        <v>0</v>
      </c>
      <c r="DZ267" s="24">
        <v>0</v>
      </c>
    </row>
    <row r="268" spans="1:130">
      <c r="A268" s="24" t="s">
        <v>143</v>
      </c>
      <c r="B268" s="24" t="s">
        <v>143</v>
      </c>
      <c r="C268" s="24" t="s">
        <v>143</v>
      </c>
      <c r="D268" s="24" t="s">
        <v>143</v>
      </c>
      <c r="E268" s="24">
        <v>35006</v>
      </c>
      <c r="F268" s="24" t="s">
        <v>863</v>
      </c>
      <c r="G268" s="24">
        <v>0</v>
      </c>
      <c r="H268" s="24">
        <f t="shared" si="4"/>
        <v>535006</v>
      </c>
      <c r="I268" s="24" t="s">
        <v>851</v>
      </c>
      <c r="J268" s="24" t="s">
        <v>851</v>
      </c>
      <c r="K268" s="24" t="s">
        <v>877</v>
      </c>
      <c r="M268" s="24">
        <v>0</v>
      </c>
      <c r="N268" s="24">
        <v>0</v>
      </c>
      <c r="P268" s="25">
        <v>2</v>
      </c>
      <c r="Q268" s="25">
        <v>256</v>
      </c>
      <c r="R268" s="24">
        <v>35005</v>
      </c>
      <c r="S268" s="25">
        <v>0</v>
      </c>
      <c r="T268" s="33"/>
      <c r="U268" s="24">
        <v>0</v>
      </c>
      <c r="V268" s="25">
        <v>0</v>
      </c>
      <c r="W268" s="24">
        <v>0</v>
      </c>
      <c r="X268" s="24">
        <v>0</v>
      </c>
      <c r="Y268" s="24">
        <v>0</v>
      </c>
      <c r="Z268" s="24">
        <v>0</v>
      </c>
      <c r="AB268" s="24">
        <v>10001</v>
      </c>
      <c r="AC268" s="24">
        <v>-1</v>
      </c>
      <c r="AD268" s="24">
        <v>-1</v>
      </c>
      <c r="AE268" s="24">
        <v>-1</v>
      </c>
      <c r="AG268" s="24">
        <v>1</v>
      </c>
      <c r="AH268" s="24">
        <v>0</v>
      </c>
      <c r="AI268" s="24">
        <v>0</v>
      </c>
      <c r="AJ268" s="24">
        <v>0</v>
      </c>
      <c r="AK268" s="24">
        <v>0</v>
      </c>
      <c r="AL268" s="24">
        <v>0</v>
      </c>
      <c r="AM268" s="24">
        <v>0</v>
      </c>
      <c r="AN268" s="24">
        <v>0</v>
      </c>
      <c r="AO268" s="24">
        <v>0</v>
      </c>
      <c r="AP268" s="24">
        <v>0</v>
      </c>
      <c r="AQ268" s="24">
        <v>0</v>
      </c>
      <c r="AR268" s="24">
        <v>0</v>
      </c>
      <c r="AS268" s="24">
        <v>0</v>
      </c>
      <c r="AT268" s="24">
        <v>0</v>
      </c>
      <c r="AU268" s="24">
        <v>0</v>
      </c>
      <c r="AV268" s="24">
        <v>0</v>
      </c>
      <c r="AW268" s="24">
        <v>0</v>
      </c>
      <c r="AX268" s="24">
        <v>0</v>
      </c>
      <c r="AY268" s="24">
        <v>0</v>
      </c>
      <c r="BA268" s="24">
        <v>0</v>
      </c>
      <c r="BB268" s="24">
        <v>3200</v>
      </c>
      <c r="BC268" s="24">
        <v>3200</v>
      </c>
      <c r="BD268" s="24">
        <v>0</v>
      </c>
      <c r="BE268" s="24">
        <v>100</v>
      </c>
      <c r="BF268" s="24">
        <v>5</v>
      </c>
      <c r="BG268" s="25">
        <v>1</v>
      </c>
      <c r="BH268" s="24">
        <v>1</v>
      </c>
      <c r="BI268" s="24">
        <v>0</v>
      </c>
      <c r="BJ268" s="24">
        <v>0</v>
      </c>
      <c r="BK268" s="24">
        <v>0</v>
      </c>
      <c r="BL268" s="25">
        <v>126</v>
      </c>
      <c r="BM268" s="24">
        <v>0</v>
      </c>
      <c r="BO268" s="25">
        <v>1</v>
      </c>
      <c r="BP268" s="24">
        <v>10</v>
      </c>
      <c r="BQ268" s="24">
        <v>0</v>
      </c>
      <c r="BR268" s="24">
        <v>2</v>
      </c>
      <c r="BS268" s="24">
        <v>50</v>
      </c>
      <c r="BT268" s="24">
        <v>0</v>
      </c>
      <c r="BU268" s="24">
        <v>0</v>
      </c>
      <c r="BV268" s="24">
        <v>6</v>
      </c>
      <c r="BW268" s="24">
        <v>0</v>
      </c>
      <c r="BX268" s="24">
        <v>10</v>
      </c>
      <c r="BZ268" s="24">
        <v>-1</v>
      </c>
      <c r="CA268" s="24">
        <v>0</v>
      </c>
      <c r="CB268" s="24">
        <v>0</v>
      </c>
      <c r="CC268" s="24">
        <v>0</v>
      </c>
      <c r="CD268" s="24">
        <v>0</v>
      </c>
      <c r="CE268" s="24">
        <v>0</v>
      </c>
      <c r="CG268" s="24">
        <v>-1</v>
      </c>
      <c r="CH268" s="24">
        <v>0</v>
      </c>
      <c r="CI268" s="24">
        <v>0</v>
      </c>
      <c r="CJ268" s="24">
        <v>0</v>
      </c>
      <c r="CK268" s="24">
        <v>0</v>
      </c>
      <c r="CL268" s="24">
        <v>0</v>
      </c>
      <c r="CM268" s="24">
        <v>0</v>
      </c>
      <c r="CN268" s="24">
        <v>0</v>
      </c>
      <c r="CO268" s="24">
        <v>0</v>
      </c>
      <c r="CQ268" s="24">
        <v>0</v>
      </c>
      <c r="CR268" s="24">
        <v>0</v>
      </c>
      <c r="CS268" s="24">
        <v>0</v>
      </c>
      <c r="CT268" s="24">
        <v>0</v>
      </c>
      <c r="CV268" s="24">
        <v>130104</v>
      </c>
      <c r="CW268" s="24">
        <v>0</v>
      </c>
      <c r="CX268" s="24">
        <v>-1</v>
      </c>
      <c r="CY268" s="26">
        <v>1</v>
      </c>
      <c r="CZ268" s="24">
        <v>0</v>
      </c>
      <c r="DA268" s="24">
        <v>0</v>
      </c>
      <c r="DC268" s="24">
        <v>0</v>
      </c>
      <c r="DD268" s="24">
        <v>0</v>
      </c>
      <c r="DE268" s="24">
        <v>0</v>
      </c>
      <c r="DF268" s="24">
        <v>0</v>
      </c>
      <c r="DG268" s="24">
        <v>-1</v>
      </c>
      <c r="DI268" s="24">
        <v>0</v>
      </c>
      <c r="DJ268" s="24">
        <v>0</v>
      </c>
      <c r="DL268" s="24">
        <v>0</v>
      </c>
      <c r="DM268" s="24">
        <v>0</v>
      </c>
      <c r="DO268" s="24">
        <v>1</v>
      </c>
      <c r="DP268" s="24">
        <v>1</v>
      </c>
      <c r="DQ268" s="24">
        <v>35006</v>
      </c>
      <c r="DR268" s="24">
        <v>35005</v>
      </c>
      <c r="DS268" s="24">
        <v>0</v>
      </c>
      <c r="DT268" s="24">
        <v>0</v>
      </c>
      <c r="DV268" s="24">
        <v>0</v>
      </c>
      <c r="DW268" s="24">
        <v>0</v>
      </c>
      <c r="DX268" s="24">
        <v>0</v>
      </c>
      <c r="DY268" s="24">
        <v>0</v>
      </c>
      <c r="DZ268" s="24">
        <v>0</v>
      </c>
    </row>
    <row r="269" spans="1:130">
      <c r="A269" s="24" t="s">
        <v>143</v>
      </c>
      <c r="B269" s="24" t="s">
        <v>143</v>
      </c>
      <c r="C269" s="24" t="s">
        <v>143</v>
      </c>
      <c r="D269" s="24" t="s">
        <v>143</v>
      </c>
      <c r="E269" s="24">
        <v>35007</v>
      </c>
      <c r="F269" s="24" t="s">
        <v>850</v>
      </c>
      <c r="G269" s="24">
        <v>0</v>
      </c>
      <c r="H269" s="24">
        <f t="shared" si="4"/>
        <v>535007</v>
      </c>
      <c r="I269" s="24" t="s">
        <v>850</v>
      </c>
      <c r="J269" s="24" t="s">
        <v>850</v>
      </c>
      <c r="K269" s="24" t="s">
        <v>878</v>
      </c>
      <c r="M269" s="24">
        <v>0</v>
      </c>
      <c r="N269" s="24">
        <v>0</v>
      </c>
      <c r="P269" s="25">
        <v>2</v>
      </c>
      <c r="Q269" s="25">
        <v>1024</v>
      </c>
      <c r="R269" s="24">
        <v>0</v>
      </c>
      <c r="S269" s="25">
        <v>0</v>
      </c>
      <c r="T269" s="33"/>
      <c r="U269" s="24">
        <v>0</v>
      </c>
      <c r="V269" s="25">
        <v>0</v>
      </c>
      <c r="W269" s="24">
        <v>0</v>
      </c>
      <c r="X269" s="24">
        <v>0</v>
      </c>
      <c r="Y269" s="24">
        <v>0</v>
      </c>
      <c r="Z269" s="24">
        <v>0</v>
      </c>
      <c r="AB269" s="24">
        <v>10009</v>
      </c>
      <c r="AC269" s="24">
        <v>6</v>
      </c>
      <c r="AD269" s="24">
        <v>250</v>
      </c>
      <c r="AE269" s="24">
        <v>0</v>
      </c>
      <c r="AG269" s="24">
        <v>2</v>
      </c>
      <c r="AH269" s="24">
        <v>26</v>
      </c>
      <c r="AI269" s="24">
        <v>0</v>
      </c>
      <c r="AJ269" s="24">
        <v>40</v>
      </c>
      <c r="AK269" s="24">
        <v>2</v>
      </c>
      <c r="AL269" s="24">
        <v>4</v>
      </c>
      <c r="AM269" s="24">
        <v>0</v>
      </c>
      <c r="AN269" s="24">
        <v>0</v>
      </c>
      <c r="AO269" s="24">
        <v>0</v>
      </c>
      <c r="AP269" s="24">
        <v>1500</v>
      </c>
      <c r="AQ269" s="24">
        <v>30</v>
      </c>
      <c r="AR269" s="24">
        <v>0</v>
      </c>
      <c r="AS269" s="24">
        <v>0</v>
      </c>
      <c r="AT269" s="24">
        <v>10</v>
      </c>
      <c r="AU269" s="24">
        <v>4006</v>
      </c>
      <c r="AV269" s="24">
        <v>2009</v>
      </c>
      <c r="AW269" s="24">
        <v>2009</v>
      </c>
      <c r="AX269" s="24">
        <v>6001</v>
      </c>
      <c r="AY269" s="24">
        <v>0</v>
      </c>
      <c r="BA269" s="24">
        <v>0</v>
      </c>
      <c r="BB269" s="24">
        <v>5000</v>
      </c>
      <c r="BC269" s="24">
        <v>5000</v>
      </c>
      <c r="BD269" s="24">
        <v>1740</v>
      </c>
      <c r="BE269" s="24">
        <v>250</v>
      </c>
      <c r="BF269" s="24">
        <v>6</v>
      </c>
      <c r="BG269" s="25">
        <v>1</v>
      </c>
      <c r="BH269" s="24">
        <v>1</v>
      </c>
      <c r="BI269" s="24">
        <v>0</v>
      </c>
      <c r="BJ269" s="24">
        <v>0</v>
      </c>
      <c r="BK269" s="24">
        <v>0</v>
      </c>
      <c r="BL269" s="25">
        <v>126</v>
      </c>
      <c r="BM269" s="24">
        <v>0</v>
      </c>
      <c r="BO269" s="25">
        <v>8</v>
      </c>
      <c r="BP269" s="24">
        <v>20</v>
      </c>
      <c r="BQ269" s="24">
        <v>0</v>
      </c>
      <c r="BR269" s="24">
        <v>2</v>
      </c>
      <c r="BS269" s="24">
        <v>5</v>
      </c>
      <c r="BT269" s="24">
        <v>0</v>
      </c>
      <c r="BU269" s="24">
        <v>0</v>
      </c>
      <c r="BV269" s="24">
        <v>6</v>
      </c>
      <c r="BW269" s="24">
        <v>0</v>
      </c>
      <c r="BX269" s="24">
        <v>1</v>
      </c>
      <c r="BZ269" s="24">
        <v>35007</v>
      </c>
      <c r="CA269" s="24">
        <v>0</v>
      </c>
      <c r="CB269" s="24">
        <v>0</v>
      </c>
      <c r="CC269" s="24">
        <v>0</v>
      </c>
      <c r="CD269" s="24">
        <v>0</v>
      </c>
      <c r="CE269" s="24">
        <v>0</v>
      </c>
      <c r="CG269" s="24">
        <v>-1</v>
      </c>
      <c r="CH269" s="24">
        <v>0</v>
      </c>
      <c r="CI269" s="24">
        <v>0</v>
      </c>
      <c r="CJ269" s="24">
        <v>0</v>
      </c>
      <c r="CK269" s="24">
        <v>0</v>
      </c>
      <c r="CL269" s="24">
        <v>0</v>
      </c>
      <c r="CM269" s="24">
        <v>0</v>
      </c>
      <c r="CN269" s="24">
        <v>0</v>
      </c>
      <c r="CO269" s="24">
        <v>0</v>
      </c>
      <c r="CQ269" s="24">
        <v>0</v>
      </c>
      <c r="CR269" s="24">
        <v>0</v>
      </c>
      <c r="CS269" s="24">
        <v>0</v>
      </c>
      <c r="CT269" s="24">
        <v>0</v>
      </c>
      <c r="CV269" s="24">
        <v>130105</v>
      </c>
      <c r="CW269" s="24">
        <v>3024</v>
      </c>
      <c r="CX269" s="24">
        <v>-1</v>
      </c>
      <c r="CY269" s="26">
        <v>1</v>
      </c>
      <c r="CZ269" s="24">
        <v>0</v>
      </c>
      <c r="DA269" s="24">
        <v>0</v>
      </c>
      <c r="DC269" s="24">
        <v>0</v>
      </c>
      <c r="DD269" s="24">
        <v>0</v>
      </c>
      <c r="DE269" s="24">
        <v>0</v>
      </c>
      <c r="DF269" s="24">
        <v>0</v>
      </c>
      <c r="DG269" s="24">
        <v>-1</v>
      </c>
      <c r="DI269" s="24">
        <v>0</v>
      </c>
      <c r="DJ269" s="24">
        <v>0</v>
      </c>
      <c r="DL269" s="24">
        <v>0</v>
      </c>
      <c r="DM269" s="24">
        <v>0</v>
      </c>
      <c r="DO269" s="24">
        <v>1</v>
      </c>
      <c r="DP269" s="24">
        <v>1</v>
      </c>
      <c r="DQ269" s="24">
        <v>35005</v>
      </c>
      <c r="DR269" s="24">
        <v>35008</v>
      </c>
      <c r="DS269" s="24">
        <v>6000</v>
      </c>
      <c r="DT269" s="24">
        <v>0</v>
      </c>
      <c r="DV269" s="24">
        <v>0</v>
      </c>
      <c r="DW269" s="24">
        <v>0</v>
      </c>
      <c r="DX269" s="24">
        <v>0</v>
      </c>
      <c r="DY269" s="24">
        <v>0</v>
      </c>
      <c r="DZ269" s="24">
        <v>0</v>
      </c>
    </row>
    <row r="270" spans="1:130">
      <c r="A270" s="24" t="s">
        <v>143</v>
      </c>
      <c r="B270" s="24" t="s">
        <v>143</v>
      </c>
      <c r="C270" s="24" t="s">
        <v>143</v>
      </c>
      <c r="D270" s="24" t="s">
        <v>143</v>
      </c>
      <c r="E270" s="24">
        <v>35008</v>
      </c>
      <c r="F270" s="24" t="s">
        <v>862</v>
      </c>
      <c r="G270" s="24">
        <v>0</v>
      </c>
      <c r="H270" s="24">
        <f t="shared" si="4"/>
        <v>535008</v>
      </c>
      <c r="I270" s="24" t="s">
        <v>862</v>
      </c>
      <c r="J270" s="24" t="s">
        <v>862</v>
      </c>
      <c r="K270" s="24" t="s">
        <v>879</v>
      </c>
      <c r="M270" s="24">
        <v>0</v>
      </c>
      <c r="N270" s="24">
        <v>0</v>
      </c>
      <c r="P270" s="25">
        <v>2</v>
      </c>
      <c r="Q270" s="25">
        <v>1024</v>
      </c>
      <c r="R270" s="24">
        <v>0</v>
      </c>
      <c r="S270" s="25">
        <v>0</v>
      </c>
      <c r="T270" s="33"/>
      <c r="U270" s="24">
        <v>0</v>
      </c>
      <c r="V270" s="25">
        <v>0</v>
      </c>
      <c r="W270" s="24">
        <v>0</v>
      </c>
      <c r="X270" s="24">
        <v>0</v>
      </c>
      <c r="Y270" s="24">
        <v>0</v>
      </c>
      <c r="Z270" s="24">
        <v>0</v>
      </c>
      <c r="AB270" s="24">
        <v>10009</v>
      </c>
      <c r="AC270" s="24">
        <v>12</v>
      </c>
      <c r="AD270" s="24">
        <v>250</v>
      </c>
      <c r="AE270" s="24">
        <v>0</v>
      </c>
      <c r="AG270" s="24">
        <v>2</v>
      </c>
      <c r="AH270" s="24">
        <v>26</v>
      </c>
      <c r="AI270" s="24">
        <v>0</v>
      </c>
      <c r="AJ270" s="24">
        <v>40</v>
      </c>
      <c r="AK270" s="24">
        <v>2</v>
      </c>
      <c r="AL270" s="24">
        <v>4</v>
      </c>
      <c r="AM270" s="24">
        <v>0</v>
      </c>
      <c r="AN270" s="24">
        <v>0</v>
      </c>
      <c r="AO270" s="24">
        <v>0</v>
      </c>
      <c r="AP270" s="24">
        <v>1500</v>
      </c>
      <c r="AQ270" s="24">
        <v>30</v>
      </c>
      <c r="AR270" s="24">
        <v>0</v>
      </c>
      <c r="AS270" s="24">
        <v>0</v>
      </c>
      <c r="AT270" s="24">
        <v>10</v>
      </c>
      <c r="AU270" s="24">
        <v>4006</v>
      </c>
      <c r="AV270" s="24">
        <v>2009</v>
      </c>
      <c r="AW270" s="24">
        <v>2009</v>
      </c>
      <c r="AX270" s="24">
        <v>6001</v>
      </c>
      <c r="AY270" s="24">
        <v>0</v>
      </c>
      <c r="BA270" s="24">
        <v>0</v>
      </c>
      <c r="BB270" s="24">
        <v>5000</v>
      </c>
      <c r="BC270" s="24">
        <v>5000</v>
      </c>
      <c r="BD270" s="24">
        <v>1740</v>
      </c>
      <c r="BE270" s="24">
        <v>125</v>
      </c>
      <c r="BF270" s="24">
        <v>12</v>
      </c>
      <c r="BG270" s="25">
        <v>1</v>
      </c>
      <c r="BH270" s="24">
        <v>1</v>
      </c>
      <c r="BI270" s="24">
        <v>0</v>
      </c>
      <c r="BJ270" s="24">
        <v>0</v>
      </c>
      <c r="BK270" s="24">
        <v>0</v>
      </c>
      <c r="BL270" s="25">
        <v>126</v>
      </c>
      <c r="BM270" s="24">
        <v>0</v>
      </c>
      <c r="BO270" s="25">
        <v>8</v>
      </c>
      <c r="BP270" s="24">
        <v>20</v>
      </c>
      <c r="BQ270" s="24">
        <v>0</v>
      </c>
      <c r="BR270" s="24">
        <v>2</v>
      </c>
      <c r="BS270" s="24">
        <v>5</v>
      </c>
      <c r="BT270" s="24">
        <v>0</v>
      </c>
      <c r="BU270" s="24">
        <v>0</v>
      </c>
      <c r="BV270" s="24">
        <v>6</v>
      </c>
      <c r="BW270" s="24">
        <v>0</v>
      </c>
      <c r="BX270" s="24">
        <v>1</v>
      </c>
      <c r="BZ270" s="24">
        <v>35007</v>
      </c>
      <c r="CA270" s="24">
        <v>0</v>
      </c>
      <c r="CB270" s="24">
        <v>0</v>
      </c>
      <c r="CC270" s="24">
        <v>0</v>
      </c>
      <c r="CD270" s="24">
        <v>0</v>
      </c>
      <c r="CE270" s="24">
        <v>0</v>
      </c>
      <c r="CG270" s="24">
        <v>-1</v>
      </c>
      <c r="CH270" s="24">
        <v>0</v>
      </c>
      <c r="CI270" s="24">
        <v>0</v>
      </c>
      <c r="CJ270" s="24">
        <v>0</v>
      </c>
      <c r="CK270" s="24">
        <v>0</v>
      </c>
      <c r="CL270" s="24">
        <v>0</v>
      </c>
      <c r="CM270" s="24">
        <v>0</v>
      </c>
      <c r="CN270" s="24">
        <v>0</v>
      </c>
      <c r="CO270" s="24">
        <v>0</v>
      </c>
      <c r="CQ270" s="24">
        <v>0</v>
      </c>
      <c r="CR270" s="24">
        <v>0</v>
      </c>
      <c r="CS270" s="24">
        <v>0</v>
      </c>
      <c r="CT270" s="24">
        <v>0</v>
      </c>
      <c r="CV270" s="24">
        <v>130105</v>
      </c>
      <c r="CW270" s="24">
        <v>0</v>
      </c>
      <c r="CX270" s="24">
        <v>-1</v>
      </c>
      <c r="CY270" s="26">
        <v>1</v>
      </c>
      <c r="CZ270" s="24">
        <v>0</v>
      </c>
      <c r="DA270" s="24">
        <v>0</v>
      </c>
      <c r="DC270" s="24">
        <v>0</v>
      </c>
      <c r="DD270" s="24">
        <v>0</v>
      </c>
      <c r="DE270" s="24">
        <v>0</v>
      </c>
      <c r="DF270" s="24">
        <v>0</v>
      </c>
      <c r="DG270" s="24">
        <v>-1</v>
      </c>
      <c r="DI270" s="24">
        <v>0</v>
      </c>
      <c r="DJ270" s="24">
        <v>0</v>
      </c>
      <c r="DL270" s="24">
        <v>0</v>
      </c>
      <c r="DM270" s="24">
        <v>0</v>
      </c>
      <c r="DO270" s="24">
        <v>1</v>
      </c>
      <c r="DP270" s="24">
        <v>1</v>
      </c>
      <c r="DQ270" s="24">
        <v>35008</v>
      </c>
      <c r="DR270" s="24">
        <v>35007</v>
      </c>
      <c r="DS270" s="24">
        <v>0</v>
      </c>
      <c r="DT270" s="24">
        <v>0</v>
      </c>
      <c r="DV270" s="24">
        <v>0</v>
      </c>
      <c r="DW270" s="24">
        <v>0</v>
      </c>
      <c r="DX270" s="24">
        <v>0</v>
      </c>
      <c r="DY270" s="24">
        <v>0</v>
      </c>
      <c r="DZ270" s="24">
        <v>0</v>
      </c>
    </row>
    <row r="271" spans="1:130">
      <c r="A271" s="24" t="s">
        <v>143</v>
      </c>
      <c r="B271" s="24" t="s">
        <v>143</v>
      </c>
      <c r="C271" s="24" t="s">
        <v>143</v>
      </c>
      <c r="D271" s="24" t="s">
        <v>143</v>
      </c>
      <c r="E271" s="24">
        <v>35009</v>
      </c>
      <c r="F271" s="24" t="s">
        <v>856</v>
      </c>
      <c r="G271" s="24">
        <v>0</v>
      </c>
      <c r="H271" s="24">
        <f t="shared" si="4"/>
        <v>535009</v>
      </c>
      <c r="I271" s="24" t="s">
        <v>856</v>
      </c>
      <c r="J271" s="24" t="s">
        <v>856</v>
      </c>
      <c r="K271" s="24" t="s">
        <v>880</v>
      </c>
      <c r="M271" s="24">
        <v>0</v>
      </c>
      <c r="N271" s="24">
        <v>0</v>
      </c>
      <c r="P271" s="25">
        <v>4</v>
      </c>
      <c r="Q271" s="25">
        <v>0</v>
      </c>
      <c r="R271" s="24">
        <v>0</v>
      </c>
      <c r="S271" s="25">
        <v>0</v>
      </c>
      <c r="T271" s="33"/>
      <c r="U271" s="24">
        <v>0</v>
      </c>
      <c r="V271" s="25">
        <v>0</v>
      </c>
      <c r="W271" s="24">
        <v>0</v>
      </c>
      <c r="X271" s="24">
        <v>0</v>
      </c>
      <c r="Y271" s="24">
        <v>0</v>
      </c>
      <c r="Z271" s="24">
        <v>0</v>
      </c>
      <c r="AB271" s="24">
        <v>20003</v>
      </c>
      <c r="AC271" s="24">
        <v>-1</v>
      </c>
      <c r="AD271" s="24">
        <v>-1</v>
      </c>
      <c r="AE271" s="24">
        <v>-1</v>
      </c>
      <c r="AG271" s="24">
        <v>1</v>
      </c>
      <c r="AH271" s="24">
        <v>0</v>
      </c>
      <c r="AI271" s="24">
        <v>0</v>
      </c>
      <c r="AJ271" s="24">
        <v>0</v>
      </c>
      <c r="AK271" s="24">
        <v>0</v>
      </c>
      <c r="AL271" s="24">
        <v>0</v>
      </c>
      <c r="AM271" s="24">
        <v>0</v>
      </c>
      <c r="AN271" s="24">
        <v>0</v>
      </c>
      <c r="AO271" s="24">
        <v>0</v>
      </c>
      <c r="AP271" s="24">
        <v>0</v>
      </c>
      <c r="AQ271" s="24">
        <v>0</v>
      </c>
      <c r="AR271" s="24">
        <v>0</v>
      </c>
      <c r="AS271" s="24">
        <v>0</v>
      </c>
      <c r="AT271" s="24">
        <v>0</v>
      </c>
      <c r="AU271" s="24">
        <v>0</v>
      </c>
      <c r="AV271" s="24">
        <v>0</v>
      </c>
      <c r="AW271" s="24">
        <v>0</v>
      </c>
      <c r="AX271" s="24">
        <v>0</v>
      </c>
      <c r="AY271" s="24">
        <v>0</v>
      </c>
      <c r="BA271" s="24">
        <v>0</v>
      </c>
      <c r="BB271" s="24">
        <v>0</v>
      </c>
      <c r="BC271" s="24">
        <v>0</v>
      </c>
      <c r="BD271" s="24">
        <v>0</v>
      </c>
      <c r="BE271" s="24">
        <v>0</v>
      </c>
      <c r="BF271" s="24">
        <v>1</v>
      </c>
      <c r="BG271" s="25">
        <v>512</v>
      </c>
      <c r="BH271" s="24">
        <v>0</v>
      </c>
      <c r="BI271" s="24">
        <v>0</v>
      </c>
      <c r="BJ271" s="24">
        <v>0</v>
      </c>
      <c r="BK271" s="24">
        <v>0</v>
      </c>
      <c r="BL271" s="25">
        <v>126</v>
      </c>
      <c r="BM271" s="24">
        <v>0</v>
      </c>
      <c r="BO271" s="25">
        <v>1</v>
      </c>
      <c r="BP271" s="24">
        <v>0</v>
      </c>
      <c r="BQ271" s="24">
        <v>0</v>
      </c>
      <c r="BR271" s="24">
        <v>1</v>
      </c>
      <c r="BS271" s="24">
        <v>0</v>
      </c>
      <c r="BT271" s="24">
        <v>0</v>
      </c>
      <c r="BU271" s="24">
        <v>0</v>
      </c>
      <c r="BV271" s="24">
        <v>0</v>
      </c>
      <c r="BW271" s="24">
        <v>0</v>
      </c>
      <c r="BX271" s="24">
        <v>0</v>
      </c>
      <c r="BZ271" s="24">
        <v>-1</v>
      </c>
      <c r="CA271" s="24">
        <v>0</v>
      </c>
      <c r="CB271" s="24">
        <v>0</v>
      </c>
      <c r="CC271" s="24">
        <v>0</v>
      </c>
      <c r="CD271" s="24">
        <v>0</v>
      </c>
      <c r="CE271" s="24">
        <v>0</v>
      </c>
      <c r="CG271" s="24">
        <v>-1</v>
      </c>
      <c r="CH271" s="24">
        <v>0</v>
      </c>
      <c r="CI271" s="24">
        <v>0</v>
      </c>
      <c r="CJ271" s="24">
        <v>0</v>
      </c>
      <c r="CK271" s="24">
        <v>0</v>
      </c>
      <c r="CL271" s="24">
        <v>0</v>
      </c>
      <c r="CM271" s="24">
        <v>0</v>
      </c>
      <c r="CN271" s="24">
        <v>0</v>
      </c>
      <c r="CO271" s="24">
        <v>0</v>
      </c>
      <c r="CQ271" s="24">
        <v>0</v>
      </c>
      <c r="CR271" s="24">
        <v>0</v>
      </c>
      <c r="CS271" s="24">
        <v>0</v>
      </c>
      <c r="CT271" s="24">
        <v>0</v>
      </c>
      <c r="CV271" s="24">
        <v>0</v>
      </c>
      <c r="CW271" s="24">
        <v>0</v>
      </c>
      <c r="CX271" s="24">
        <v>-1</v>
      </c>
      <c r="CY271" s="26">
        <v>1</v>
      </c>
      <c r="CZ271" s="24">
        <v>0</v>
      </c>
      <c r="DA271" s="24">
        <v>0</v>
      </c>
      <c r="DC271" s="24">
        <v>0</v>
      </c>
      <c r="DD271" s="24">
        <v>0</v>
      </c>
      <c r="DE271" s="24">
        <v>0</v>
      </c>
      <c r="DF271" s="24">
        <v>0</v>
      </c>
      <c r="DG271" s="24">
        <v>-1</v>
      </c>
      <c r="DI271" s="24">
        <v>0</v>
      </c>
      <c r="DJ271" s="24">
        <v>0</v>
      </c>
      <c r="DL271" s="24">
        <v>0</v>
      </c>
      <c r="DM271" s="24">
        <v>0</v>
      </c>
      <c r="DO271" s="24">
        <v>0</v>
      </c>
      <c r="DP271" s="24">
        <v>0</v>
      </c>
      <c r="DQ271" s="24">
        <v>0</v>
      </c>
      <c r="DR271" s="24">
        <v>0</v>
      </c>
      <c r="DS271" s="24">
        <v>0</v>
      </c>
      <c r="DT271" s="24">
        <v>0</v>
      </c>
      <c r="DV271" s="24">
        <v>0</v>
      </c>
      <c r="DW271" s="24">
        <v>0</v>
      </c>
      <c r="DX271" s="24">
        <v>0</v>
      </c>
      <c r="DY271" s="24">
        <v>0</v>
      </c>
      <c r="DZ271" s="24">
        <v>0</v>
      </c>
    </row>
    <row r="272" spans="1:130">
      <c r="A272" s="24" t="s">
        <v>143</v>
      </c>
      <c r="B272" s="24" t="s">
        <v>143</v>
      </c>
      <c r="C272" s="24" t="s">
        <v>143</v>
      </c>
      <c r="D272" s="24" t="s">
        <v>143</v>
      </c>
      <c r="E272" s="24">
        <v>35010</v>
      </c>
      <c r="F272" s="24" t="s">
        <v>866</v>
      </c>
      <c r="G272" s="24">
        <v>0</v>
      </c>
      <c r="H272" s="24">
        <f t="shared" si="4"/>
        <v>535010</v>
      </c>
      <c r="I272" s="24" t="s">
        <v>866</v>
      </c>
      <c r="J272" s="24" t="s">
        <v>866</v>
      </c>
      <c r="K272" s="24" t="s">
        <v>881</v>
      </c>
      <c r="M272" s="24">
        <v>0</v>
      </c>
      <c r="N272" s="24">
        <v>0</v>
      </c>
      <c r="P272" s="25">
        <v>12</v>
      </c>
      <c r="Q272" s="25">
        <v>0</v>
      </c>
      <c r="R272" s="24">
        <v>35005</v>
      </c>
      <c r="S272" s="25">
        <v>0</v>
      </c>
      <c r="T272" s="33"/>
      <c r="U272" s="24">
        <v>1</v>
      </c>
      <c r="V272" s="25">
        <v>2050</v>
      </c>
      <c r="W272" s="24">
        <v>1</v>
      </c>
      <c r="X272" s="24">
        <v>35006</v>
      </c>
      <c r="Y272" s="24">
        <v>0</v>
      </c>
      <c r="Z272" s="24">
        <v>1000</v>
      </c>
      <c r="AB272" s="24">
        <v>30001</v>
      </c>
      <c r="AC272" s="24">
        <v>-1</v>
      </c>
      <c r="AD272" s="24">
        <v>-1</v>
      </c>
      <c r="AE272" s="24">
        <v>-1</v>
      </c>
      <c r="AG272" s="24">
        <v>1</v>
      </c>
      <c r="AH272" s="24">
        <v>0</v>
      </c>
      <c r="AI272" s="24">
        <v>0</v>
      </c>
      <c r="AJ272" s="24">
        <v>0</v>
      </c>
      <c r="AK272" s="24">
        <v>0</v>
      </c>
      <c r="AL272" s="24">
        <v>0</v>
      </c>
      <c r="AM272" s="24">
        <v>0</v>
      </c>
      <c r="AN272" s="24">
        <v>0</v>
      </c>
      <c r="AO272" s="24">
        <v>0</v>
      </c>
      <c r="AP272" s="24">
        <v>0</v>
      </c>
      <c r="AQ272" s="24">
        <v>0</v>
      </c>
      <c r="AR272" s="24">
        <v>0</v>
      </c>
      <c r="AS272" s="24">
        <v>0</v>
      </c>
      <c r="AT272" s="24">
        <v>0</v>
      </c>
      <c r="AU272" s="24">
        <v>0</v>
      </c>
      <c r="AV272" s="24">
        <v>0</v>
      </c>
      <c r="AW272" s="24">
        <v>0</v>
      </c>
      <c r="AX272" s="24">
        <v>0</v>
      </c>
      <c r="AY272" s="24">
        <v>0</v>
      </c>
      <c r="BA272" s="24">
        <v>0</v>
      </c>
      <c r="BB272" s="24">
        <v>0</v>
      </c>
      <c r="BC272" s="24">
        <v>0</v>
      </c>
      <c r="BD272" s="24">
        <v>0</v>
      </c>
      <c r="BE272" s="24">
        <v>0</v>
      </c>
      <c r="BF272" s="24">
        <v>1</v>
      </c>
      <c r="BG272" s="25">
        <v>1024</v>
      </c>
      <c r="BH272" s="24">
        <v>11</v>
      </c>
      <c r="BI272" s="24">
        <v>35005</v>
      </c>
      <c r="BJ272" s="24">
        <v>35010</v>
      </c>
      <c r="BK272" s="24">
        <v>1</v>
      </c>
      <c r="BL272" s="25">
        <v>126</v>
      </c>
      <c r="BM272" s="24">
        <v>0</v>
      </c>
      <c r="BO272" s="25">
        <v>1</v>
      </c>
      <c r="BP272" s="24">
        <v>0</v>
      </c>
      <c r="BQ272" s="24">
        <v>0</v>
      </c>
      <c r="BR272" s="24">
        <v>1</v>
      </c>
      <c r="BS272" s="24">
        <v>0</v>
      </c>
      <c r="BT272" s="24">
        <v>0</v>
      </c>
      <c r="BU272" s="24">
        <v>0</v>
      </c>
      <c r="BV272" s="24">
        <v>0</v>
      </c>
      <c r="BW272" s="24">
        <v>0</v>
      </c>
      <c r="BX272" s="24">
        <v>0</v>
      </c>
      <c r="BZ272" s="24">
        <v>-1</v>
      </c>
      <c r="CA272" s="24">
        <v>0</v>
      </c>
      <c r="CB272" s="24">
        <v>0</v>
      </c>
      <c r="CC272" s="24">
        <v>0</v>
      </c>
      <c r="CD272" s="24">
        <v>0</v>
      </c>
      <c r="CE272" s="24">
        <v>0</v>
      </c>
      <c r="CG272" s="24">
        <v>-1</v>
      </c>
      <c r="CH272" s="24">
        <v>0</v>
      </c>
      <c r="CI272" s="24">
        <v>0</v>
      </c>
      <c r="CJ272" s="24">
        <v>0</v>
      </c>
      <c r="CK272" s="24">
        <v>0</v>
      </c>
      <c r="CL272" s="24">
        <v>0</v>
      </c>
      <c r="CM272" s="24">
        <v>0</v>
      </c>
      <c r="CN272" s="24">
        <v>0</v>
      </c>
      <c r="CO272" s="24">
        <v>0</v>
      </c>
      <c r="CQ272" s="24">
        <v>0</v>
      </c>
      <c r="CR272" s="24">
        <v>0</v>
      </c>
      <c r="CS272" s="24">
        <v>0</v>
      </c>
      <c r="CT272" s="24">
        <v>0</v>
      </c>
      <c r="CV272" s="24">
        <v>0</v>
      </c>
      <c r="CW272" s="24">
        <v>0</v>
      </c>
      <c r="CX272" s="24">
        <v>-1</v>
      </c>
      <c r="CY272" s="26">
        <v>1</v>
      </c>
      <c r="CZ272" s="24">
        <v>0</v>
      </c>
      <c r="DA272" s="24">
        <v>0</v>
      </c>
      <c r="DC272" s="24">
        <v>0</v>
      </c>
      <c r="DD272" s="24">
        <v>0</v>
      </c>
      <c r="DE272" s="24">
        <v>0</v>
      </c>
      <c r="DF272" s="24">
        <v>0</v>
      </c>
      <c r="DG272" s="24">
        <v>-1</v>
      </c>
      <c r="DI272" s="24">
        <v>0</v>
      </c>
      <c r="DJ272" s="24">
        <v>0</v>
      </c>
      <c r="DL272" s="24">
        <v>0</v>
      </c>
      <c r="DM272" s="24">
        <v>0</v>
      </c>
      <c r="DO272" s="24">
        <v>0</v>
      </c>
      <c r="DP272" s="24">
        <v>0</v>
      </c>
      <c r="DQ272" s="24">
        <v>0</v>
      </c>
      <c r="DR272" s="24">
        <v>0</v>
      </c>
      <c r="DS272" s="24">
        <v>0</v>
      </c>
      <c r="DT272" s="24">
        <v>0</v>
      </c>
      <c r="DV272" s="24">
        <v>0</v>
      </c>
      <c r="DW272" s="24">
        <v>0</v>
      </c>
      <c r="DX272" s="24">
        <v>0</v>
      </c>
      <c r="DY272" s="24">
        <v>0</v>
      </c>
      <c r="DZ272" s="24">
        <v>0</v>
      </c>
    </row>
    <row r="273" spans="1:130">
      <c r="A273" s="24" t="s">
        <v>143</v>
      </c>
      <c r="B273" s="24" t="s">
        <v>143</v>
      </c>
      <c r="C273" s="24" t="s">
        <v>143</v>
      </c>
      <c r="D273" s="24" t="s">
        <v>143</v>
      </c>
      <c r="E273" s="24">
        <v>35011</v>
      </c>
      <c r="F273" s="24" t="s">
        <v>871</v>
      </c>
      <c r="G273" s="24">
        <v>0</v>
      </c>
      <c r="H273" s="24">
        <f t="shared" si="4"/>
        <v>535011</v>
      </c>
      <c r="I273" s="24" t="s">
        <v>871</v>
      </c>
      <c r="J273" s="24" t="s">
        <v>871</v>
      </c>
      <c r="K273" s="24" t="s">
        <v>882</v>
      </c>
      <c r="M273" s="24">
        <v>0</v>
      </c>
      <c r="N273" s="24">
        <v>0</v>
      </c>
      <c r="P273" s="25">
        <v>2</v>
      </c>
      <c r="Q273" s="25">
        <v>0</v>
      </c>
      <c r="R273" s="24">
        <v>0</v>
      </c>
      <c r="S273" s="25">
        <v>0</v>
      </c>
      <c r="T273" s="33"/>
      <c r="U273" s="24">
        <v>0</v>
      </c>
      <c r="V273" s="25">
        <v>0</v>
      </c>
      <c r="W273" s="24">
        <v>0</v>
      </c>
      <c r="X273" s="24">
        <v>0</v>
      </c>
      <c r="Y273" s="24">
        <v>0</v>
      </c>
      <c r="Z273" s="24">
        <v>0</v>
      </c>
      <c r="AB273" s="24">
        <v>10001</v>
      </c>
      <c r="AC273" s="24">
        <v>-1</v>
      </c>
      <c r="AD273" s="24">
        <v>-1</v>
      </c>
      <c r="AE273" s="24">
        <v>-1</v>
      </c>
      <c r="AG273" s="24">
        <v>1</v>
      </c>
      <c r="AH273" s="24">
        <v>0</v>
      </c>
      <c r="AI273" s="24">
        <v>0</v>
      </c>
      <c r="AJ273" s="24">
        <v>0</v>
      </c>
      <c r="AK273" s="24">
        <v>0</v>
      </c>
      <c r="AL273" s="24">
        <v>0</v>
      </c>
      <c r="AM273" s="24">
        <v>0</v>
      </c>
      <c r="AN273" s="24">
        <v>0</v>
      </c>
      <c r="AO273" s="24">
        <v>0</v>
      </c>
      <c r="AP273" s="24">
        <v>0</v>
      </c>
      <c r="AQ273" s="24">
        <v>0</v>
      </c>
      <c r="AR273" s="24">
        <v>0</v>
      </c>
      <c r="AS273" s="24">
        <v>0</v>
      </c>
      <c r="AT273" s="24">
        <v>0</v>
      </c>
      <c r="AU273" s="24">
        <v>0</v>
      </c>
      <c r="AV273" s="24">
        <v>0</v>
      </c>
      <c r="AW273" s="24">
        <v>0</v>
      </c>
      <c r="AX273" s="24">
        <v>0</v>
      </c>
      <c r="AY273" s="24">
        <v>0</v>
      </c>
      <c r="BA273" s="24">
        <v>0</v>
      </c>
      <c r="BB273" s="24">
        <v>1200</v>
      </c>
      <c r="BC273" s="24">
        <v>1500</v>
      </c>
      <c r="BD273" s="24">
        <v>0</v>
      </c>
      <c r="BE273" s="24">
        <v>0</v>
      </c>
      <c r="BF273" s="24">
        <v>1</v>
      </c>
      <c r="BG273" s="25">
        <v>512</v>
      </c>
      <c r="BH273" s="24">
        <v>4</v>
      </c>
      <c r="BI273" s="24">
        <v>35011</v>
      </c>
      <c r="BJ273" s="24">
        <v>1</v>
      </c>
      <c r="BK273" s="24">
        <v>1</v>
      </c>
      <c r="BL273" s="25">
        <v>126</v>
      </c>
      <c r="BM273" s="24">
        <v>0</v>
      </c>
      <c r="BO273" s="25">
        <v>1</v>
      </c>
      <c r="BP273" s="24">
        <v>0</v>
      </c>
      <c r="BQ273" s="24">
        <v>0</v>
      </c>
      <c r="BR273" s="24">
        <v>1</v>
      </c>
      <c r="BS273" s="24">
        <v>0</v>
      </c>
      <c r="BT273" s="24">
        <v>0</v>
      </c>
      <c r="BU273" s="24">
        <v>0</v>
      </c>
      <c r="BV273" s="24">
        <v>0</v>
      </c>
      <c r="BW273" s="24">
        <v>0</v>
      </c>
      <c r="BX273" s="24">
        <v>0</v>
      </c>
      <c r="BZ273" s="24">
        <v>-1</v>
      </c>
      <c r="CA273" s="24">
        <v>0</v>
      </c>
      <c r="CB273" s="24">
        <v>0</v>
      </c>
      <c r="CC273" s="24">
        <v>0</v>
      </c>
      <c r="CD273" s="24">
        <v>0</v>
      </c>
      <c r="CE273" s="24">
        <v>0</v>
      </c>
      <c r="CG273" s="24">
        <v>-1</v>
      </c>
      <c r="CH273" s="24">
        <v>0</v>
      </c>
      <c r="CI273" s="24">
        <v>0</v>
      </c>
      <c r="CJ273" s="24">
        <v>0</v>
      </c>
      <c r="CK273" s="24">
        <v>0</v>
      </c>
      <c r="CL273" s="24">
        <v>0</v>
      </c>
      <c r="CM273" s="24">
        <v>0</v>
      </c>
      <c r="CN273" s="24">
        <v>0</v>
      </c>
      <c r="CO273" s="24">
        <v>0</v>
      </c>
      <c r="CQ273" s="24">
        <v>0</v>
      </c>
      <c r="CR273" s="24">
        <v>0</v>
      </c>
      <c r="CS273" s="24">
        <v>0</v>
      </c>
      <c r="CT273" s="24">
        <v>0</v>
      </c>
      <c r="CV273" s="24">
        <v>0</v>
      </c>
      <c r="CW273" s="24">
        <v>0</v>
      </c>
      <c r="CX273" s="24">
        <v>-1</v>
      </c>
      <c r="CY273" s="26">
        <v>1</v>
      </c>
      <c r="CZ273" s="24">
        <v>0</v>
      </c>
      <c r="DA273" s="24">
        <v>0</v>
      </c>
      <c r="DC273" s="24">
        <v>0</v>
      </c>
      <c r="DD273" s="24">
        <v>0</v>
      </c>
      <c r="DE273" s="24">
        <v>0</v>
      </c>
      <c r="DF273" s="24">
        <v>0</v>
      </c>
      <c r="DG273" s="24">
        <v>-1</v>
      </c>
      <c r="DI273" s="24">
        <v>0</v>
      </c>
      <c r="DJ273" s="24">
        <v>0</v>
      </c>
      <c r="DL273" s="24">
        <v>0</v>
      </c>
      <c r="DM273" s="24">
        <v>0</v>
      </c>
      <c r="DO273" s="24">
        <v>0</v>
      </c>
      <c r="DP273" s="24">
        <v>0</v>
      </c>
      <c r="DQ273" s="24">
        <v>0</v>
      </c>
      <c r="DR273" s="24">
        <v>0</v>
      </c>
      <c r="DS273" s="24">
        <v>0</v>
      </c>
      <c r="DT273" s="24">
        <v>0</v>
      </c>
      <c r="DV273" s="24">
        <v>0</v>
      </c>
      <c r="DW273" s="24">
        <v>0</v>
      </c>
      <c r="DX273" s="24">
        <v>0</v>
      </c>
      <c r="DY273" s="24">
        <v>0</v>
      </c>
      <c r="DZ273" s="24">
        <v>0</v>
      </c>
    </row>
    <row r="274" spans="1:130">
      <c r="S274" s="25"/>
      <c r="T274" s="33"/>
      <c r="BO274" s="25" t="s">
        <v>639</v>
      </c>
    </row>
    <row r="275" spans="1:130">
      <c r="T275" s="33"/>
      <c r="BO275" s="25" t="s">
        <v>639</v>
      </c>
    </row>
    <row r="276" spans="1:130">
      <c r="T276" s="33"/>
      <c r="BO276" s="25" t="s">
        <v>639</v>
      </c>
    </row>
    <row r="277" spans="1:130">
      <c r="T277" s="33"/>
      <c r="BO277" s="25" t="s">
        <v>639</v>
      </c>
    </row>
    <row r="278" spans="1:130">
      <c r="T278" s="33"/>
      <c r="BO278" s="25" t="s">
        <v>639</v>
      </c>
    </row>
    <row r="279" spans="1:130">
      <c r="S279" s="25"/>
      <c r="T279" s="33"/>
      <c r="BO279" s="25" t="s">
        <v>639</v>
      </c>
    </row>
    <row r="280" spans="1:130">
      <c r="S280" s="25"/>
      <c r="T280" s="33"/>
      <c r="BO280" s="25" t="s">
        <v>639</v>
      </c>
    </row>
    <row r="281" spans="1:130">
      <c r="S281" s="25"/>
      <c r="T281" s="33"/>
      <c r="BO281" s="25" t="s">
        <v>639</v>
      </c>
    </row>
    <row r="282" spans="1:130">
      <c r="S282" s="25"/>
      <c r="T282" s="33"/>
      <c r="BO282" s="25" t="s">
        <v>639</v>
      </c>
    </row>
    <row r="283" spans="1:130">
      <c r="S283" s="25"/>
      <c r="T283" s="33"/>
      <c r="BO283" s="25" t="s">
        <v>639</v>
      </c>
    </row>
    <row r="284" spans="1:130">
      <c r="A284" s="24" t="s">
        <v>143</v>
      </c>
      <c r="B284" s="24" t="s">
        <v>143</v>
      </c>
      <c r="C284" s="24" t="s">
        <v>143</v>
      </c>
      <c r="D284" s="24" t="s">
        <v>143</v>
      </c>
      <c r="E284" s="24">
        <v>35206</v>
      </c>
      <c r="F284" s="24" t="s">
        <v>1119</v>
      </c>
      <c r="G284" s="24">
        <v>0</v>
      </c>
      <c r="H284" s="24">
        <f t="shared" ref="H284:H288" si="5">E284+500000</f>
        <v>535206</v>
      </c>
      <c r="I284" s="24" t="s">
        <v>997</v>
      </c>
      <c r="J284" s="24" t="s">
        <v>997</v>
      </c>
      <c r="K284" s="24" t="s">
        <v>877</v>
      </c>
      <c r="M284" s="24">
        <v>0</v>
      </c>
      <c r="N284" s="24">
        <v>0</v>
      </c>
      <c r="P284" s="25">
        <v>2</v>
      </c>
      <c r="Q284" s="25">
        <v>256</v>
      </c>
      <c r="R284" s="24">
        <v>0</v>
      </c>
      <c r="S284" s="25">
        <v>0</v>
      </c>
      <c r="T284" s="33"/>
      <c r="U284" s="24">
        <v>0</v>
      </c>
      <c r="V284" s="25">
        <v>0</v>
      </c>
      <c r="W284" s="24">
        <v>0</v>
      </c>
      <c r="X284" s="24">
        <v>0</v>
      </c>
      <c r="Y284" s="24">
        <v>0</v>
      </c>
      <c r="Z284" s="24">
        <v>0</v>
      </c>
      <c r="AB284" s="24">
        <v>10001</v>
      </c>
      <c r="AC284" s="24">
        <v>-1</v>
      </c>
      <c r="AD284" s="24">
        <v>-1</v>
      </c>
      <c r="AE284" s="24">
        <v>-1</v>
      </c>
      <c r="AG284" s="24">
        <v>1</v>
      </c>
      <c r="AH284" s="24">
        <v>0</v>
      </c>
      <c r="AI284" s="24">
        <v>0</v>
      </c>
      <c r="AJ284" s="24">
        <v>0</v>
      </c>
      <c r="AK284" s="24">
        <v>0</v>
      </c>
      <c r="AL284" s="24">
        <v>0</v>
      </c>
      <c r="AM284" s="24">
        <v>0</v>
      </c>
      <c r="AN284" s="24">
        <v>0</v>
      </c>
      <c r="AO284" s="24">
        <v>0</v>
      </c>
      <c r="AP284" s="24">
        <v>0</v>
      </c>
      <c r="AQ284" s="24">
        <v>0</v>
      </c>
      <c r="AR284" s="24">
        <v>0</v>
      </c>
      <c r="AS284" s="24">
        <v>0</v>
      </c>
      <c r="AT284" s="24">
        <v>0</v>
      </c>
      <c r="AU284" s="24">
        <v>0</v>
      </c>
      <c r="AV284" s="24">
        <v>0</v>
      </c>
      <c r="AW284" s="24">
        <v>0</v>
      </c>
      <c r="AX284" s="24">
        <v>0</v>
      </c>
      <c r="AY284" s="24">
        <v>0</v>
      </c>
      <c r="BA284" s="24">
        <v>0</v>
      </c>
      <c r="BB284" s="24">
        <v>3200</v>
      </c>
      <c r="BC284" s="24">
        <v>3200</v>
      </c>
      <c r="BD284" s="24">
        <v>650</v>
      </c>
      <c r="BE284" s="24">
        <v>0</v>
      </c>
      <c r="BF284" s="24">
        <v>1</v>
      </c>
      <c r="BG284" s="25">
        <v>1</v>
      </c>
      <c r="BH284" s="24">
        <v>1</v>
      </c>
      <c r="BI284" s="24">
        <v>0</v>
      </c>
      <c r="BJ284" s="24">
        <v>0</v>
      </c>
      <c r="BK284" s="24">
        <v>0</v>
      </c>
      <c r="BL284" s="25">
        <v>126</v>
      </c>
      <c r="BM284" s="24">
        <v>0</v>
      </c>
      <c r="BO284" s="25">
        <v>16</v>
      </c>
      <c r="BP284" s="24">
        <v>10</v>
      </c>
      <c r="BQ284" s="24">
        <v>0</v>
      </c>
      <c r="BR284" s="24">
        <v>2</v>
      </c>
      <c r="BS284" s="24">
        <v>80</v>
      </c>
      <c r="BT284" s="24">
        <v>0</v>
      </c>
      <c r="BU284" s="24">
        <v>0</v>
      </c>
      <c r="BV284" s="24">
        <v>6</v>
      </c>
      <c r="BW284" s="24">
        <v>0</v>
      </c>
      <c r="BX284" s="24">
        <v>10</v>
      </c>
      <c r="BZ284" s="24">
        <v>35205</v>
      </c>
      <c r="CA284" s="24">
        <v>0</v>
      </c>
      <c r="CB284" s="24">
        <v>0</v>
      </c>
      <c r="CC284" s="24">
        <v>0</v>
      </c>
      <c r="CD284" s="24">
        <v>0</v>
      </c>
      <c r="CE284" s="24">
        <v>0</v>
      </c>
      <c r="CG284" s="24">
        <v>-1</v>
      </c>
      <c r="CH284" s="24">
        <v>0</v>
      </c>
      <c r="CI284" s="24">
        <v>0</v>
      </c>
      <c r="CJ284" s="24">
        <v>0</v>
      </c>
      <c r="CK284" s="24">
        <v>0</v>
      </c>
      <c r="CL284" s="24">
        <v>0</v>
      </c>
      <c r="CM284" s="24">
        <v>0</v>
      </c>
      <c r="CN284" s="24">
        <v>0</v>
      </c>
      <c r="CO284" s="24">
        <v>0</v>
      </c>
      <c r="CQ284" s="24">
        <v>0</v>
      </c>
      <c r="CR284" s="24">
        <v>0</v>
      </c>
      <c r="CS284" s="24">
        <v>0</v>
      </c>
      <c r="CT284" s="24">
        <v>0</v>
      </c>
      <c r="CV284" s="24">
        <v>130104</v>
      </c>
      <c r="CW284" s="24">
        <v>0</v>
      </c>
      <c r="CX284" s="24">
        <v>35206</v>
      </c>
      <c r="CY284" s="26">
        <v>1</v>
      </c>
      <c r="CZ284" s="24">
        <v>0</v>
      </c>
      <c r="DA284" s="24">
        <v>0</v>
      </c>
      <c r="DC284" s="24">
        <v>1</v>
      </c>
      <c r="DD284" s="24">
        <v>1</v>
      </c>
      <c r="DE284" s="24">
        <v>0</v>
      </c>
      <c r="DF284" s="24">
        <v>0</v>
      </c>
      <c r="DG284" s="24">
        <v>-1</v>
      </c>
      <c r="DI284" s="24">
        <v>0</v>
      </c>
      <c r="DJ284" s="24">
        <v>0</v>
      </c>
      <c r="DL284" s="24">
        <v>0</v>
      </c>
      <c r="DM284" s="24">
        <v>0</v>
      </c>
      <c r="DO284" s="24">
        <v>0</v>
      </c>
      <c r="DP284" s="24">
        <v>0</v>
      </c>
      <c r="DQ284" s="24">
        <v>0</v>
      </c>
      <c r="DR284" s="24">
        <v>0</v>
      </c>
      <c r="DS284" s="24">
        <v>0</v>
      </c>
      <c r="DT284" s="24">
        <v>0</v>
      </c>
      <c r="DV284" s="24">
        <v>0</v>
      </c>
      <c r="DW284" s="24">
        <v>0</v>
      </c>
      <c r="DX284" s="24">
        <v>0</v>
      </c>
      <c r="DY284" s="24">
        <v>0</v>
      </c>
      <c r="DZ284" s="24">
        <v>0</v>
      </c>
    </row>
    <row r="285" spans="1:130">
      <c r="A285" s="24" t="s">
        <v>143</v>
      </c>
      <c r="B285" s="24" t="s">
        <v>143</v>
      </c>
      <c r="C285" s="24" t="s">
        <v>143</v>
      </c>
      <c r="D285" s="24" t="s">
        <v>143</v>
      </c>
      <c r="E285" s="24">
        <v>35207</v>
      </c>
      <c r="F285" s="24" t="s">
        <v>1120</v>
      </c>
      <c r="G285" s="24">
        <v>0</v>
      </c>
      <c r="H285" s="24">
        <f t="shared" si="5"/>
        <v>535207</v>
      </c>
      <c r="I285" s="24" t="s">
        <v>998</v>
      </c>
      <c r="J285" s="24" t="s">
        <v>998</v>
      </c>
      <c r="K285" s="24" t="s">
        <v>878</v>
      </c>
      <c r="M285" s="24">
        <v>0</v>
      </c>
      <c r="N285" s="24">
        <v>0</v>
      </c>
      <c r="P285" s="25">
        <v>2</v>
      </c>
      <c r="Q285" s="25">
        <v>1024</v>
      </c>
      <c r="R285" s="24">
        <v>0</v>
      </c>
      <c r="S285" s="25">
        <v>0</v>
      </c>
      <c r="T285" s="33"/>
      <c r="U285" s="24">
        <v>0</v>
      </c>
      <c r="V285" s="25">
        <v>0</v>
      </c>
      <c r="W285" s="24">
        <v>0</v>
      </c>
      <c r="X285" s="24">
        <v>0</v>
      </c>
      <c r="Y285" s="24">
        <v>0</v>
      </c>
      <c r="Z285" s="24">
        <v>0</v>
      </c>
      <c r="AB285" s="24">
        <v>10001</v>
      </c>
      <c r="AC285" s="24">
        <v>-1</v>
      </c>
      <c r="AD285" s="24">
        <v>-1</v>
      </c>
      <c r="AE285" s="24">
        <v>-1</v>
      </c>
      <c r="AG285" s="24">
        <v>2</v>
      </c>
      <c r="AH285" s="24">
        <v>110016</v>
      </c>
      <c r="AI285" s="24">
        <v>0</v>
      </c>
      <c r="AJ285" s="24">
        <v>0</v>
      </c>
      <c r="AK285" s="24">
        <v>2</v>
      </c>
      <c r="AL285" s="24">
        <v>4</v>
      </c>
      <c r="AM285" s="24">
        <v>20</v>
      </c>
      <c r="AN285" s="24">
        <v>4</v>
      </c>
      <c r="AO285" s="24">
        <v>0</v>
      </c>
      <c r="AP285" s="24">
        <v>8000</v>
      </c>
      <c r="AQ285" s="24">
        <v>30</v>
      </c>
      <c r="AR285" s="24">
        <v>0</v>
      </c>
      <c r="AS285" s="24">
        <v>0</v>
      </c>
      <c r="AT285" s="24">
        <v>10</v>
      </c>
      <c r="AU285" s="24">
        <v>4020</v>
      </c>
      <c r="AV285" s="24">
        <v>2030</v>
      </c>
      <c r="AW285" s="24">
        <v>2029</v>
      </c>
      <c r="AX285" s="24">
        <v>0</v>
      </c>
      <c r="AY285" s="24">
        <v>0</v>
      </c>
      <c r="BA285" s="24">
        <v>0</v>
      </c>
      <c r="BB285" s="24">
        <v>3250</v>
      </c>
      <c r="BC285" s="24">
        <v>5000</v>
      </c>
      <c r="BD285" s="24">
        <v>1800</v>
      </c>
      <c r="BE285" s="24">
        <v>1200</v>
      </c>
      <c r="BF285" s="24">
        <v>2</v>
      </c>
      <c r="BG285" s="25">
        <v>1</v>
      </c>
      <c r="BH285" s="24">
        <v>1</v>
      </c>
      <c r="BI285" s="24">
        <v>0</v>
      </c>
      <c r="BJ285" s="24">
        <v>0</v>
      </c>
      <c r="BK285" s="24">
        <v>0</v>
      </c>
      <c r="BL285" s="25">
        <v>126</v>
      </c>
      <c r="BM285" s="24">
        <v>0</v>
      </c>
      <c r="BO285" s="25">
        <v>8</v>
      </c>
      <c r="BP285" s="24">
        <v>60</v>
      </c>
      <c r="BQ285" s="24">
        <v>0</v>
      </c>
      <c r="BR285" s="24">
        <v>2</v>
      </c>
      <c r="BS285" s="24">
        <v>5</v>
      </c>
      <c r="BT285" s="24">
        <v>0</v>
      </c>
      <c r="BU285" s="24">
        <v>0</v>
      </c>
      <c r="BV285" s="24">
        <v>6</v>
      </c>
      <c r="BW285" s="24">
        <v>0</v>
      </c>
      <c r="BX285" s="24">
        <v>1</v>
      </c>
      <c r="BZ285" s="24">
        <v>35207</v>
      </c>
      <c r="CA285" s="24">
        <v>0</v>
      </c>
      <c r="CB285" s="24">
        <v>0</v>
      </c>
      <c r="CC285" s="24">
        <v>0</v>
      </c>
      <c r="CD285" s="24">
        <v>0</v>
      </c>
      <c r="CE285" s="24">
        <v>0</v>
      </c>
      <c r="CG285" s="24">
        <v>-1</v>
      </c>
      <c r="CH285" s="24">
        <v>0</v>
      </c>
      <c r="CI285" s="24">
        <v>0</v>
      </c>
      <c r="CJ285" s="24">
        <v>0</v>
      </c>
      <c r="CK285" s="24">
        <v>0</v>
      </c>
      <c r="CL285" s="24">
        <v>0</v>
      </c>
      <c r="CM285" s="24">
        <v>0</v>
      </c>
      <c r="CN285" s="24">
        <v>0</v>
      </c>
      <c r="CO285" s="24">
        <v>0</v>
      </c>
      <c r="CQ285" s="24">
        <v>0</v>
      </c>
      <c r="CR285" s="24">
        <v>0</v>
      </c>
      <c r="CS285" s="24">
        <v>0</v>
      </c>
      <c r="CT285" s="24">
        <v>0</v>
      </c>
      <c r="CV285" s="24">
        <v>130105</v>
      </c>
      <c r="CW285" s="24">
        <v>3024</v>
      </c>
      <c r="CX285" s="24">
        <v>-1</v>
      </c>
      <c r="CY285" s="26">
        <v>1</v>
      </c>
      <c r="CZ285" s="24">
        <v>0</v>
      </c>
      <c r="DA285" s="24">
        <v>0</v>
      </c>
      <c r="DC285" s="24">
        <v>1</v>
      </c>
      <c r="DD285" s="24">
        <v>1</v>
      </c>
      <c r="DE285" s="24">
        <v>0</v>
      </c>
      <c r="DF285" s="24">
        <v>0</v>
      </c>
      <c r="DG285" s="24">
        <v>-1</v>
      </c>
      <c r="DI285" s="24">
        <v>0</v>
      </c>
      <c r="DJ285" s="24">
        <v>0</v>
      </c>
      <c r="DL285" s="24">
        <v>0</v>
      </c>
      <c r="DM285" s="24">
        <v>0</v>
      </c>
      <c r="DO285" s="24">
        <v>0</v>
      </c>
      <c r="DP285" s="24">
        <v>0</v>
      </c>
      <c r="DQ285" s="24">
        <v>0</v>
      </c>
      <c r="DR285" s="24">
        <v>0</v>
      </c>
      <c r="DS285" s="24">
        <v>0</v>
      </c>
      <c r="DT285" s="24">
        <v>0</v>
      </c>
      <c r="DV285" s="24">
        <v>0</v>
      </c>
      <c r="DW285" s="24">
        <v>0</v>
      </c>
      <c r="DX285" s="24">
        <v>0</v>
      </c>
      <c r="DY285" s="24">
        <v>0</v>
      </c>
      <c r="DZ285" s="24">
        <v>0</v>
      </c>
    </row>
    <row r="286" spans="1:130">
      <c r="A286" s="24" t="s">
        <v>143</v>
      </c>
      <c r="B286" s="24" t="s">
        <v>143</v>
      </c>
      <c r="C286" s="24" t="s">
        <v>143</v>
      </c>
      <c r="D286" s="24" t="s">
        <v>143</v>
      </c>
      <c r="E286" s="24">
        <v>35209</v>
      </c>
      <c r="F286" s="24" t="s">
        <v>999</v>
      </c>
      <c r="G286" s="24">
        <v>0</v>
      </c>
      <c r="H286" s="24">
        <f t="shared" si="5"/>
        <v>535209</v>
      </c>
      <c r="I286" s="24" t="s">
        <v>999</v>
      </c>
      <c r="J286" s="24" t="s">
        <v>999</v>
      </c>
      <c r="K286" s="24" t="s">
        <v>880</v>
      </c>
      <c r="M286" s="24">
        <v>0</v>
      </c>
      <c r="N286" s="24">
        <v>0</v>
      </c>
      <c r="P286" s="25">
        <v>4</v>
      </c>
      <c r="Q286" s="25">
        <v>0</v>
      </c>
      <c r="R286" s="24">
        <v>0</v>
      </c>
      <c r="S286" s="25">
        <v>0</v>
      </c>
      <c r="T286" s="33"/>
      <c r="U286" s="24">
        <v>0</v>
      </c>
      <c r="V286" s="25">
        <v>0</v>
      </c>
      <c r="W286" s="24">
        <v>0</v>
      </c>
      <c r="X286" s="24">
        <v>0</v>
      </c>
      <c r="Y286" s="24">
        <v>0</v>
      </c>
      <c r="Z286" s="24">
        <v>0</v>
      </c>
      <c r="AB286" s="24">
        <v>20003</v>
      </c>
      <c r="AC286" s="24">
        <v>-1</v>
      </c>
      <c r="AD286" s="24">
        <v>-1</v>
      </c>
      <c r="AE286" s="24">
        <v>-1</v>
      </c>
      <c r="AG286" s="24">
        <v>1</v>
      </c>
      <c r="AH286" s="24">
        <v>0</v>
      </c>
      <c r="AI286" s="24">
        <v>0</v>
      </c>
      <c r="AJ286" s="24">
        <v>0</v>
      </c>
      <c r="AK286" s="24">
        <v>0</v>
      </c>
      <c r="AL286" s="24">
        <v>0</v>
      </c>
      <c r="AM286" s="24">
        <v>0</v>
      </c>
      <c r="AN286" s="24">
        <v>0</v>
      </c>
      <c r="AO286" s="24">
        <v>0</v>
      </c>
      <c r="AP286" s="24">
        <v>0</v>
      </c>
      <c r="AQ286" s="24">
        <v>0</v>
      </c>
      <c r="AR286" s="24">
        <v>0</v>
      </c>
      <c r="AS286" s="24">
        <v>0</v>
      </c>
      <c r="AT286" s="24">
        <v>0</v>
      </c>
      <c r="AU286" s="24">
        <v>0</v>
      </c>
      <c r="AV286" s="24">
        <v>0</v>
      </c>
      <c r="AW286" s="24">
        <v>0</v>
      </c>
      <c r="AX286" s="24">
        <v>0</v>
      </c>
      <c r="AY286" s="24">
        <v>0</v>
      </c>
      <c r="BA286" s="24">
        <v>0</v>
      </c>
      <c r="BB286" s="24">
        <v>0</v>
      </c>
      <c r="BC286" s="24">
        <v>0</v>
      </c>
      <c r="BD286" s="24">
        <v>0</v>
      </c>
      <c r="BE286" s="24">
        <v>0</v>
      </c>
      <c r="BF286" s="24">
        <v>1</v>
      </c>
      <c r="BG286" s="25">
        <v>512</v>
      </c>
      <c r="BH286" s="24">
        <v>0</v>
      </c>
      <c r="BI286" s="24">
        <v>0</v>
      </c>
      <c r="BJ286" s="24">
        <v>0</v>
      </c>
      <c r="BK286" s="24">
        <v>0</v>
      </c>
      <c r="BL286" s="25">
        <v>126</v>
      </c>
      <c r="BM286" s="24">
        <v>0</v>
      </c>
      <c r="BO286" s="25">
        <v>1</v>
      </c>
      <c r="BP286" s="24">
        <v>0</v>
      </c>
      <c r="BQ286" s="24">
        <v>0</v>
      </c>
      <c r="BR286" s="24">
        <v>1</v>
      </c>
      <c r="BS286" s="24">
        <v>0</v>
      </c>
      <c r="BT286" s="24">
        <v>0</v>
      </c>
      <c r="BU286" s="24">
        <v>0</v>
      </c>
      <c r="BV286" s="24">
        <v>0</v>
      </c>
      <c r="BW286" s="24">
        <v>0</v>
      </c>
      <c r="BX286" s="24">
        <v>0</v>
      </c>
      <c r="BZ286" s="24">
        <v>-1</v>
      </c>
      <c r="CA286" s="24">
        <v>0</v>
      </c>
      <c r="CB286" s="24">
        <v>0</v>
      </c>
      <c r="CC286" s="24">
        <v>0</v>
      </c>
      <c r="CD286" s="24">
        <v>0</v>
      </c>
      <c r="CE286" s="24">
        <v>0</v>
      </c>
      <c r="CG286" s="24">
        <v>-1</v>
      </c>
      <c r="CH286" s="24">
        <v>0</v>
      </c>
      <c r="CI286" s="24">
        <v>0</v>
      </c>
      <c r="CJ286" s="24">
        <v>0</v>
      </c>
      <c r="CK286" s="24">
        <v>0</v>
      </c>
      <c r="CL286" s="24">
        <v>0</v>
      </c>
      <c r="CM286" s="24">
        <v>0</v>
      </c>
      <c r="CN286" s="24">
        <v>0</v>
      </c>
      <c r="CO286" s="24">
        <v>0</v>
      </c>
      <c r="CQ286" s="24">
        <v>0</v>
      </c>
      <c r="CR286" s="24">
        <v>0</v>
      </c>
      <c r="CS286" s="24">
        <v>0</v>
      </c>
      <c r="CT286" s="24">
        <v>0</v>
      </c>
      <c r="CV286" s="24">
        <v>0</v>
      </c>
      <c r="CW286" s="24">
        <v>0</v>
      </c>
      <c r="CX286" s="24">
        <v>-1</v>
      </c>
      <c r="CY286" s="26">
        <v>1</v>
      </c>
      <c r="CZ286" s="24">
        <v>0</v>
      </c>
      <c r="DA286" s="24">
        <v>0</v>
      </c>
      <c r="DC286" s="24">
        <v>0</v>
      </c>
      <c r="DD286" s="24">
        <v>0</v>
      </c>
      <c r="DE286" s="24">
        <v>0</v>
      </c>
      <c r="DF286" s="24">
        <v>0</v>
      </c>
      <c r="DG286" s="24">
        <v>-1</v>
      </c>
      <c r="DI286" s="24">
        <v>0</v>
      </c>
      <c r="DJ286" s="24">
        <v>0</v>
      </c>
      <c r="DL286" s="24">
        <v>0</v>
      </c>
      <c r="DM286" s="24">
        <v>0</v>
      </c>
      <c r="DO286" s="24">
        <v>0</v>
      </c>
      <c r="DP286" s="24">
        <v>0</v>
      </c>
      <c r="DQ286" s="24">
        <v>0</v>
      </c>
      <c r="DR286" s="24">
        <v>0</v>
      </c>
      <c r="DS286" s="24">
        <v>0</v>
      </c>
      <c r="DT286" s="24">
        <v>0</v>
      </c>
      <c r="DV286" s="24">
        <v>0</v>
      </c>
      <c r="DW286" s="24">
        <v>0</v>
      </c>
      <c r="DX286" s="24">
        <v>0</v>
      </c>
      <c r="DY286" s="24">
        <v>0</v>
      </c>
      <c r="DZ286" s="24">
        <v>0</v>
      </c>
    </row>
    <row r="287" spans="1:130">
      <c r="A287" s="24" t="s">
        <v>143</v>
      </c>
      <c r="B287" s="24" t="s">
        <v>143</v>
      </c>
      <c r="C287" s="24" t="s">
        <v>143</v>
      </c>
      <c r="D287" s="24" t="s">
        <v>143</v>
      </c>
      <c r="E287" s="24">
        <v>35211</v>
      </c>
      <c r="F287" s="24" t="s">
        <v>1000</v>
      </c>
      <c r="G287" s="24">
        <v>0</v>
      </c>
      <c r="H287" s="24">
        <f t="shared" si="5"/>
        <v>535211</v>
      </c>
      <c r="I287" s="24" t="s">
        <v>1000</v>
      </c>
      <c r="J287" s="24" t="s">
        <v>1000</v>
      </c>
      <c r="K287" s="24" t="s">
        <v>882</v>
      </c>
      <c r="M287" s="24">
        <v>0</v>
      </c>
      <c r="N287" s="24">
        <v>0</v>
      </c>
      <c r="P287" s="25">
        <v>2</v>
      </c>
      <c r="Q287" s="25">
        <v>0</v>
      </c>
      <c r="R287" s="24">
        <v>0</v>
      </c>
      <c r="S287" s="25">
        <v>0</v>
      </c>
      <c r="T287" s="33"/>
      <c r="U287" s="24">
        <v>0</v>
      </c>
      <c r="V287" s="25">
        <v>0</v>
      </c>
      <c r="W287" s="24">
        <v>0</v>
      </c>
      <c r="X287" s="24">
        <v>0</v>
      </c>
      <c r="Y287" s="24">
        <v>0</v>
      </c>
      <c r="Z287" s="24">
        <v>0</v>
      </c>
      <c r="AB287" s="24">
        <v>10001</v>
      </c>
      <c r="AC287" s="24">
        <v>-1</v>
      </c>
      <c r="AD287" s="24">
        <v>-1</v>
      </c>
      <c r="AE287" s="24">
        <v>-1</v>
      </c>
      <c r="AG287" s="24">
        <v>1</v>
      </c>
      <c r="AH287" s="24">
        <v>0</v>
      </c>
      <c r="AI287" s="24">
        <v>0</v>
      </c>
      <c r="AJ287" s="24">
        <v>0</v>
      </c>
      <c r="AK287" s="24">
        <v>0</v>
      </c>
      <c r="AL287" s="24">
        <v>0</v>
      </c>
      <c r="AM287" s="24">
        <v>0</v>
      </c>
      <c r="AN287" s="24">
        <v>0</v>
      </c>
      <c r="AO287" s="24">
        <v>0</v>
      </c>
      <c r="AP287" s="24">
        <v>0</v>
      </c>
      <c r="AQ287" s="24">
        <v>0</v>
      </c>
      <c r="AR287" s="24">
        <v>0</v>
      </c>
      <c r="AS287" s="24">
        <v>0</v>
      </c>
      <c r="AT287" s="24">
        <v>0</v>
      </c>
      <c r="AU287" s="24">
        <v>0</v>
      </c>
      <c r="AV287" s="24">
        <v>0</v>
      </c>
      <c r="AW287" s="24">
        <v>0</v>
      </c>
      <c r="AX287" s="24">
        <v>0</v>
      </c>
      <c r="AY287" s="24">
        <v>0</v>
      </c>
      <c r="BA287" s="24">
        <v>0</v>
      </c>
      <c r="BB287" s="24">
        <v>1200</v>
      </c>
      <c r="BC287" s="24">
        <v>1500</v>
      </c>
      <c r="BD287" s="24">
        <v>0</v>
      </c>
      <c r="BE287" s="24">
        <v>0</v>
      </c>
      <c r="BF287" s="24">
        <v>1</v>
      </c>
      <c r="BG287" s="25">
        <v>512</v>
      </c>
      <c r="BH287" s="24">
        <v>4</v>
      </c>
      <c r="BI287" s="24">
        <v>35211</v>
      </c>
      <c r="BJ287" s="24">
        <v>1</v>
      </c>
      <c r="BK287" s="24">
        <v>1</v>
      </c>
      <c r="BL287" s="25">
        <v>126</v>
      </c>
      <c r="BM287" s="24">
        <v>0</v>
      </c>
      <c r="BO287" s="25">
        <v>1</v>
      </c>
      <c r="BP287" s="24">
        <v>0</v>
      </c>
      <c r="BQ287" s="24">
        <v>0</v>
      </c>
      <c r="BR287" s="24">
        <v>1</v>
      </c>
      <c r="BS287" s="24">
        <v>0</v>
      </c>
      <c r="BT287" s="24">
        <v>0</v>
      </c>
      <c r="BU287" s="24">
        <v>0</v>
      </c>
      <c r="BV287" s="24">
        <v>0</v>
      </c>
      <c r="BW287" s="24">
        <v>0</v>
      </c>
      <c r="BX287" s="24">
        <v>0</v>
      </c>
      <c r="BZ287" s="24">
        <v>-1</v>
      </c>
      <c r="CA287" s="24">
        <v>0</v>
      </c>
      <c r="CB287" s="24">
        <v>0</v>
      </c>
      <c r="CC287" s="24">
        <v>0</v>
      </c>
      <c r="CD287" s="24">
        <v>0</v>
      </c>
      <c r="CE287" s="24">
        <v>0</v>
      </c>
      <c r="CG287" s="24">
        <v>-1</v>
      </c>
      <c r="CH287" s="24">
        <v>0</v>
      </c>
      <c r="CI287" s="24">
        <v>0</v>
      </c>
      <c r="CJ287" s="24">
        <v>0</v>
      </c>
      <c r="CK287" s="24">
        <v>0</v>
      </c>
      <c r="CL287" s="24">
        <v>0</v>
      </c>
      <c r="CM287" s="24">
        <v>0</v>
      </c>
      <c r="CN287" s="24">
        <v>0</v>
      </c>
      <c r="CO287" s="24">
        <v>0</v>
      </c>
      <c r="CQ287" s="24">
        <v>0</v>
      </c>
      <c r="CR287" s="24">
        <v>0</v>
      </c>
      <c r="CS287" s="24">
        <v>0</v>
      </c>
      <c r="CT287" s="24">
        <v>0</v>
      </c>
      <c r="CV287" s="24">
        <v>0</v>
      </c>
      <c r="CW287" s="24">
        <v>0</v>
      </c>
      <c r="CX287" s="24">
        <v>-1</v>
      </c>
      <c r="CY287" s="26">
        <v>1</v>
      </c>
      <c r="CZ287" s="24">
        <v>0</v>
      </c>
      <c r="DA287" s="24">
        <v>0</v>
      </c>
      <c r="DC287" s="24">
        <v>0</v>
      </c>
      <c r="DD287" s="24">
        <v>0</v>
      </c>
      <c r="DE287" s="24">
        <v>0</v>
      </c>
      <c r="DF287" s="24">
        <v>0</v>
      </c>
      <c r="DG287" s="24">
        <v>-1</v>
      </c>
      <c r="DI287" s="24">
        <v>0</v>
      </c>
      <c r="DJ287" s="24">
        <v>0</v>
      </c>
      <c r="DL287" s="24">
        <v>0</v>
      </c>
      <c r="DM287" s="24">
        <v>0</v>
      </c>
      <c r="DO287" s="24">
        <v>0</v>
      </c>
      <c r="DP287" s="24">
        <v>0</v>
      </c>
      <c r="DQ287" s="24">
        <v>0</v>
      </c>
      <c r="DR287" s="24">
        <v>0</v>
      </c>
      <c r="DS287" s="24">
        <v>0</v>
      </c>
      <c r="DT287" s="24">
        <v>0</v>
      </c>
      <c r="DV287" s="24">
        <v>0</v>
      </c>
      <c r="DW287" s="24">
        <v>0</v>
      </c>
      <c r="DX287" s="24">
        <v>0</v>
      </c>
      <c r="DY287" s="24">
        <v>0</v>
      </c>
      <c r="DZ287" s="24">
        <v>0</v>
      </c>
    </row>
    <row r="288" spans="1:130">
      <c r="A288" s="24" t="s">
        <v>142</v>
      </c>
      <c r="B288" s="24" t="s">
        <v>142</v>
      </c>
      <c r="C288" s="24" t="s">
        <v>142</v>
      </c>
      <c r="D288" s="24" t="s">
        <v>142</v>
      </c>
      <c r="E288" s="24">
        <v>35212</v>
      </c>
      <c r="F288" s="24" t="s">
        <v>1122</v>
      </c>
      <c r="G288" s="24">
        <v>0</v>
      </c>
      <c r="H288" s="24">
        <f t="shared" si="5"/>
        <v>535212</v>
      </c>
      <c r="I288" s="24" t="s">
        <v>1002</v>
      </c>
      <c r="J288" s="24" t="s">
        <v>1002</v>
      </c>
      <c r="K288" s="24" t="s">
        <v>794</v>
      </c>
      <c r="M288" s="24">
        <v>0</v>
      </c>
      <c r="N288" s="24">
        <v>0</v>
      </c>
      <c r="P288" s="25">
        <v>2</v>
      </c>
      <c r="Q288" s="25">
        <v>131072</v>
      </c>
      <c r="R288" s="24">
        <v>0</v>
      </c>
      <c r="S288" s="27">
        <v>0</v>
      </c>
      <c r="T288" s="33"/>
      <c r="U288" s="24">
        <v>0</v>
      </c>
      <c r="V288" s="25">
        <v>0</v>
      </c>
      <c r="W288" s="24">
        <v>0</v>
      </c>
      <c r="X288" s="24">
        <v>0</v>
      </c>
      <c r="Y288" s="24">
        <v>0</v>
      </c>
      <c r="Z288" s="24">
        <v>0</v>
      </c>
      <c r="AB288" s="24">
        <v>10001</v>
      </c>
      <c r="AC288" s="24">
        <v>-1</v>
      </c>
      <c r="AD288" s="24">
        <v>-1</v>
      </c>
      <c r="AE288" s="24">
        <v>-1</v>
      </c>
      <c r="AG288" s="24">
        <v>1</v>
      </c>
      <c r="AH288" s="24">
        <v>0</v>
      </c>
      <c r="AI288" s="24">
        <v>0</v>
      </c>
      <c r="AJ288" s="24">
        <v>0</v>
      </c>
      <c r="AK288" s="24">
        <v>0</v>
      </c>
      <c r="AL288" s="24">
        <v>0</v>
      </c>
      <c r="AM288" s="24">
        <v>0</v>
      </c>
      <c r="AN288" s="24">
        <v>0</v>
      </c>
      <c r="AO288" s="24">
        <v>0</v>
      </c>
      <c r="AP288" s="24">
        <v>0</v>
      </c>
      <c r="AQ288" s="24">
        <v>0</v>
      </c>
      <c r="AR288" s="24">
        <v>0</v>
      </c>
      <c r="AS288" s="24">
        <v>0</v>
      </c>
      <c r="AT288" s="24">
        <v>0</v>
      </c>
      <c r="AU288" s="24">
        <v>0</v>
      </c>
      <c r="AV288" s="24">
        <v>0</v>
      </c>
      <c r="AW288" s="24">
        <v>0</v>
      </c>
      <c r="AX288" s="24">
        <v>0</v>
      </c>
      <c r="AY288" s="24">
        <v>0</v>
      </c>
      <c r="BA288" s="24">
        <v>0</v>
      </c>
      <c r="BB288" s="24">
        <v>4000</v>
      </c>
      <c r="BC288" s="24">
        <v>4200</v>
      </c>
      <c r="BD288" s="24">
        <v>500</v>
      </c>
      <c r="BE288" s="24">
        <v>200</v>
      </c>
      <c r="BF288" s="24">
        <v>30</v>
      </c>
      <c r="BG288" s="25">
        <v>1</v>
      </c>
      <c r="BH288" s="24">
        <v>1</v>
      </c>
      <c r="BI288" s="24">
        <v>0</v>
      </c>
      <c r="BJ288" s="24">
        <v>0</v>
      </c>
      <c r="BK288" s="24">
        <v>0</v>
      </c>
      <c r="BL288" s="25">
        <v>126</v>
      </c>
      <c r="BM288" s="24">
        <v>0</v>
      </c>
      <c r="BO288" s="25">
        <v>16</v>
      </c>
      <c r="BP288" s="24">
        <v>4</v>
      </c>
      <c r="BQ288" s="24">
        <v>0</v>
      </c>
      <c r="BR288" s="24">
        <v>3</v>
      </c>
      <c r="BS288" s="24">
        <v>1</v>
      </c>
      <c r="BT288" s="24">
        <v>60</v>
      </c>
      <c r="BU288" s="24">
        <v>60</v>
      </c>
      <c r="BV288" s="24">
        <v>6</v>
      </c>
      <c r="BW288" s="24">
        <v>0</v>
      </c>
      <c r="BX288" s="24">
        <v>4</v>
      </c>
      <c r="BZ288" s="24">
        <v>35212</v>
      </c>
      <c r="CA288" s="24">
        <v>0</v>
      </c>
      <c r="CB288" s="24">
        <v>0</v>
      </c>
      <c r="CC288" s="24">
        <v>0</v>
      </c>
      <c r="CD288" s="24">
        <v>0</v>
      </c>
      <c r="CE288" s="24">
        <v>0</v>
      </c>
      <c r="CG288" s="24">
        <v>2</v>
      </c>
      <c r="CH288" s="24">
        <v>0</v>
      </c>
      <c r="CI288" s="24">
        <v>0</v>
      </c>
      <c r="CJ288" s="24">
        <v>0</v>
      </c>
      <c r="CK288" s="24">
        <v>0</v>
      </c>
      <c r="CL288" s="24">
        <v>1</v>
      </c>
      <c r="CM288" s="24">
        <v>0</v>
      </c>
      <c r="CN288" s="24">
        <v>300</v>
      </c>
      <c r="CO288" s="24">
        <v>300</v>
      </c>
      <c r="CQ288" s="24">
        <v>5.7</v>
      </c>
      <c r="CR288" s="24">
        <v>0</v>
      </c>
      <c r="CS288" s="24">
        <v>0</v>
      </c>
      <c r="CT288" s="24">
        <v>0</v>
      </c>
      <c r="CV288" s="24">
        <v>130106</v>
      </c>
      <c r="CW288" s="24">
        <v>0</v>
      </c>
      <c r="CX288" s="24">
        <v>101</v>
      </c>
      <c r="CY288" s="26">
        <v>1</v>
      </c>
      <c r="CZ288" s="24">
        <v>0</v>
      </c>
      <c r="DA288" s="24">
        <v>0</v>
      </c>
      <c r="DC288" s="24">
        <v>1</v>
      </c>
      <c r="DD288" s="24">
        <v>1</v>
      </c>
      <c r="DE288" s="24">
        <v>0</v>
      </c>
      <c r="DF288" s="24">
        <v>0</v>
      </c>
      <c r="DG288" s="24">
        <v>-1</v>
      </c>
      <c r="DI288" s="24">
        <v>0</v>
      </c>
      <c r="DJ288" s="24">
        <v>0</v>
      </c>
      <c r="DL288" s="24">
        <v>0</v>
      </c>
      <c r="DM288" s="24">
        <v>0</v>
      </c>
      <c r="DO288" s="24">
        <v>0</v>
      </c>
      <c r="DP288" s="24">
        <v>0</v>
      </c>
      <c r="DQ288" s="24">
        <v>0</v>
      </c>
      <c r="DR288" s="24">
        <v>0</v>
      </c>
      <c r="DS288" s="24">
        <v>0</v>
      </c>
      <c r="DT288" s="24">
        <v>0</v>
      </c>
      <c r="DV288" s="24">
        <v>0</v>
      </c>
      <c r="DW288" s="24">
        <v>0</v>
      </c>
      <c r="DX288" s="24">
        <v>0</v>
      </c>
      <c r="DY288" s="24">
        <v>0</v>
      </c>
      <c r="DZ288" s="24">
        <v>0</v>
      </c>
    </row>
    <row r="289" spans="1:130">
      <c r="A289" s="24" t="s">
        <v>142</v>
      </c>
      <c r="B289" s="24" t="s">
        <v>142</v>
      </c>
      <c r="C289" s="24" t="s">
        <v>142</v>
      </c>
      <c r="D289" s="24" t="s">
        <v>142</v>
      </c>
      <c r="E289" s="24">
        <v>35213</v>
      </c>
      <c r="F289" s="24" t="s">
        <v>1134</v>
      </c>
      <c r="G289" s="24">
        <v>0</v>
      </c>
      <c r="H289" s="24">
        <v>535213</v>
      </c>
      <c r="I289" s="24" t="s">
        <v>1134</v>
      </c>
      <c r="J289" s="24" t="s">
        <v>1134</v>
      </c>
      <c r="K289" s="24" t="s">
        <v>473</v>
      </c>
      <c r="M289" s="24">
        <v>0</v>
      </c>
      <c r="N289" s="24">
        <v>0</v>
      </c>
      <c r="P289" s="25">
        <v>2</v>
      </c>
      <c r="Q289" s="25">
        <v>1024</v>
      </c>
      <c r="R289" s="24">
        <v>0</v>
      </c>
      <c r="S289" s="27">
        <v>0</v>
      </c>
      <c r="U289" s="24">
        <v>0</v>
      </c>
      <c r="V289" s="25">
        <v>0</v>
      </c>
      <c r="W289" s="24">
        <v>0</v>
      </c>
      <c r="X289" s="24">
        <v>0</v>
      </c>
      <c r="Y289" s="24">
        <v>0</v>
      </c>
      <c r="Z289" s="24">
        <v>0</v>
      </c>
      <c r="AB289" s="24">
        <v>10001</v>
      </c>
      <c r="AC289" s="24">
        <v>-1</v>
      </c>
      <c r="AD289" s="24">
        <v>-1</v>
      </c>
      <c r="AE289" s="24">
        <v>-1</v>
      </c>
      <c r="AG289" s="24">
        <v>2</v>
      </c>
      <c r="AH289" s="24">
        <v>0</v>
      </c>
      <c r="AI289" s="24">
        <v>0</v>
      </c>
      <c r="AJ289" s="24">
        <v>0</v>
      </c>
      <c r="AK289" s="24">
        <v>2</v>
      </c>
      <c r="AL289" s="24">
        <v>5</v>
      </c>
      <c r="AM289" s="24">
        <v>5</v>
      </c>
      <c r="AN289" s="24">
        <v>0</v>
      </c>
      <c r="AO289" s="24">
        <v>0</v>
      </c>
      <c r="AP289" s="24">
        <v>2000</v>
      </c>
      <c r="AQ289" s="24">
        <v>90</v>
      </c>
      <c r="AR289" s="24">
        <v>0</v>
      </c>
      <c r="AS289" s="24">
        <v>0</v>
      </c>
      <c r="AT289" s="24">
        <v>10</v>
      </c>
      <c r="AU289" s="24">
        <v>2012</v>
      </c>
      <c r="AV289" s="24">
        <v>2013</v>
      </c>
      <c r="AW289" s="24">
        <v>0</v>
      </c>
      <c r="AX289" s="24">
        <v>0</v>
      </c>
      <c r="AY289" s="24">
        <v>0</v>
      </c>
      <c r="BA289" s="24">
        <v>0</v>
      </c>
      <c r="BB289" s="24">
        <v>500</v>
      </c>
      <c r="BC289" s="24">
        <v>1500</v>
      </c>
      <c r="BD289" s="24">
        <v>100</v>
      </c>
      <c r="BE289" s="24">
        <v>200</v>
      </c>
      <c r="BF289" s="24">
        <v>10</v>
      </c>
      <c r="BG289" s="25">
        <v>1</v>
      </c>
      <c r="BH289" s="24">
        <v>1</v>
      </c>
      <c r="BI289" s="24">
        <v>0</v>
      </c>
      <c r="BJ289" s="24">
        <v>0</v>
      </c>
      <c r="BK289" s="24">
        <v>0</v>
      </c>
      <c r="BL289" s="25">
        <v>126</v>
      </c>
      <c r="BM289" s="24">
        <v>0</v>
      </c>
      <c r="BO289" s="25">
        <v>4</v>
      </c>
      <c r="BP289" s="24">
        <v>40</v>
      </c>
      <c r="BQ289" s="24">
        <v>0</v>
      </c>
      <c r="BR289" s="24">
        <v>2</v>
      </c>
      <c r="BS289" s="24">
        <v>5</v>
      </c>
      <c r="BT289" s="24">
        <v>0</v>
      </c>
      <c r="BU289" s="24">
        <v>0</v>
      </c>
      <c r="BV289" s="24">
        <v>6</v>
      </c>
      <c r="BW289" s="24">
        <v>0</v>
      </c>
      <c r="BX289" s="24">
        <v>1</v>
      </c>
      <c r="BZ289" s="24">
        <v>-1</v>
      </c>
      <c r="CA289" s="24">
        <v>0</v>
      </c>
      <c r="CB289" s="24">
        <v>0</v>
      </c>
      <c r="CC289" s="24">
        <v>0</v>
      </c>
      <c r="CD289" s="24">
        <v>0</v>
      </c>
      <c r="CE289" s="24">
        <v>0</v>
      </c>
      <c r="CG289" s="24">
        <v>-1</v>
      </c>
      <c r="CH289" s="24">
        <v>0</v>
      </c>
      <c r="CI289" s="24">
        <v>0</v>
      </c>
      <c r="CJ289" s="24">
        <v>0</v>
      </c>
      <c r="CK289" s="24">
        <v>0</v>
      </c>
      <c r="CL289" s="24">
        <v>0</v>
      </c>
      <c r="CM289" s="24">
        <v>0</v>
      </c>
      <c r="CN289" s="24">
        <v>0</v>
      </c>
      <c r="CO289" s="24">
        <v>0</v>
      </c>
      <c r="CQ289" s="24">
        <v>0</v>
      </c>
      <c r="CR289" s="24">
        <v>0</v>
      </c>
      <c r="CS289" s="24">
        <v>0</v>
      </c>
      <c r="CT289" s="24">
        <v>0</v>
      </c>
      <c r="CV289" s="24">
        <v>130101</v>
      </c>
      <c r="CW289" s="24">
        <v>3023</v>
      </c>
      <c r="CX289" s="24">
        <v>-1</v>
      </c>
      <c r="CY289" s="26">
        <v>1</v>
      </c>
      <c r="CZ289" s="24">
        <v>0</v>
      </c>
      <c r="DA289" s="24">
        <v>0</v>
      </c>
      <c r="DC289" s="24">
        <v>1</v>
      </c>
      <c r="DD289" s="24">
        <v>1</v>
      </c>
      <c r="DE289" s="24">
        <v>0</v>
      </c>
      <c r="DF289" s="24">
        <v>0</v>
      </c>
      <c r="DG289" s="24">
        <v>-1</v>
      </c>
      <c r="DI289" s="24">
        <v>1</v>
      </c>
      <c r="DJ289" s="24">
        <v>0</v>
      </c>
      <c r="DL289" s="24">
        <v>0</v>
      </c>
      <c r="DM289" s="24">
        <v>0</v>
      </c>
      <c r="DO289" s="24">
        <v>0</v>
      </c>
      <c r="DP289" s="24">
        <v>0</v>
      </c>
      <c r="DQ289" s="24">
        <v>0</v>
      </c>
      <c r="DR289" s="24">
        <v>0</v>
      </c>
      <c r="DS289" s="24">
        <v>0</v>
      </c>
      <c r="DT289" s="24">
        <v>0</v>
      </c>
      <c r="DV289" s="24">
        <v>0</v>
      </c>
      <c r="DW289" s="24">
        <v>0</v>
      </c>
      <c r="DX289" s="24">
        <v>0</v>
      </c>
      <c r="DY289" s="24">
        <v>0</v>
      </c>
      <c r="DZ289" s="24">
        <v>0</v>
      </c>
    </row>
    <row r="290" spans="1:130">
      <c r="BO290" s="25" t="s">
        <v>639</v>
      </c>
    </row>
    <row r="291" spans="1:130">
      <c r="BO291" s="25" t="s">
        <v>639</v>
      </c>
    </row>
    <row r="292" spans="1:130">
      <c r="BO292" s="25" t="s">
        <v>639</v>
      </c>
    </row>
    <row r="293" spans="1:130" s="43" customFormat="1">
      <c r="A293" s="47"/>
      <c r="F293" s="47" t="s">
        <v>1127</v>
      </c>
      <c r="S293" s="44"/>
      <c r="T293" s="45"/>
      <c r="BO293" s="43" t="s">
        <v>639</v>
      </c>
      <c r="CY293" s="46"/>
    </row>
    <row r="294" spans="1:130">
      <c r="BO294" s="25" t="s">
        <v>639</v>
      </c>
    </row>
    <row r="295" spans="1:130">
      <c r="E295" s="48" t="s">
        <v>823</v>
      </c>
      <c r="BO295" s="25" t="s">
        <v>639</v>
      </c>
    </row>
    <row r="296" spans="1:130">
      <c r="BO296" s="25" t="s">
        <v>639</v>
      </c>
    </row>
    <row r="297" spans="1:130">
      <c r="A297" s="24" t="s">
        <v>142</v>
      </c>
      <c r="B297" s="24" t="s">
        <v>142</v>
      </c>
      <c r="C297" s="24" t="s">
        <v>142</v>
      </c>
      <c r="D297" s="24" t="s">
        <v>142</v>
      </c>
      <c r="E297" s="24">
        <v>94900</v>
      </c>
      <c r="F297" s="24" t="s">
        <v>381</v>
      </c>
      <c r="G297" s="24">
        <v>0</v>
      </c>
      <c r="H297" s="24">
        <v>505001</v>
      </c>
      <c r="I297" s="24" t="s">
        <v>381</v>
      </c>
      <c r="J297" s="24" t="s">
        <v>381</v>
      </c>
      <c r="K297" s="24" t="s">
        <v>473</v>
      </c>
      <c r="M297" s="24">
        <v>0</v>
      </c>
      <c r="N297" s="24">
        <v>0</v>
      </c>
      <c r="P297" s="25">
        <v>4</v>
      </c>
      <c r="Q297" s="25">
        <v>0</v>
      </c>
      <c r="R297" s="24">
        <v>0</v>
      </c>
      <c r="S297" s="25">
        <v>0</v>
      </c>
      <c r="T297" s="24"/>
      <c r="U297" s="24">
        <v>0</v>
      </c>
      <c r="V297" s="25">
        <v>0</v>
      </c>
      <c r="W297" s="24">
        <v>0</v>
      </c>
      <c r="X297" s="24">
        <v>0</v>
      </c>
      <c r="Y297" s="24">
        <v>0</v>
      </c>
      <c r="Z297" s="24">
        <v>0</v>
      </c>
      <c r="AB297" s="24">
        <v>20003</v>
      </c>
      <c r="AC297" s="24">
        <v>0</v>
      </c>
      <c r="AD297" s="24">
        <v>0</v>
      </c>
      <c r="AE297" s="24">
        <v>0</v>
      </c>
      <c r="AG297" s="24">
        <v>1</v>
      </c>
      <c r="AH297" s="24">
        <v>0</v>
      </c>
      <c r="AI297" s="24">
        <v>0</v>
      </c>
      <c r="AJ297" s="24">
        <v>0</v>
      </c>
      <c r="AK297" s="24">
        <v>0</v>
      </c>
      <c r="AL297" s="24">
        <v>0</v>
      </c>
      <c r="AM297" s="24">
        <v>0</v>
      </c>
      <c r="AN297" s="24">
        <v>0</v>
      </c>
      <c r="AO297" s="24">
        <v>0</v>
      </c>
      <c r="AP297" s="24">
        <v>0</v>
      </c>
      <c r="AQ297" s="24">
        <v>0</v>
      </c>
      <c r="AR297" s="24">
        <v>0</v>
      </c>
      <c r="AS297" s="24">
        <v>0</v>
      </c>
      <c r="AT297" s="24">
        <v>0</v>
      </c>
      <c r="AU297" s="24">
        <v>0</v>
      </c>
      <c r="AV297" s="24">
        <v>0</v>
      </c>
      <c r="AW297" s="24">
        <v>0</v>
      </c>
      <c r="AX297" s="24">
        <v>0</v>
      </c>
      <c r="AY297" s="24">
        <v>0</v>
      </c>
      <c r="BA297" s="24">
        <v>0</v>
      </c>
      <c r="BB297" s="24">
        <v>0</v>
      </c>
      <c r="BC297" s="24">
        <v>0</v>
      </c>
      <c r="BD297" s="24">
        <v>0</v>
      </c>
      <c r="BE297" s="24">
        <v>0</v>
      </c>
      <c r="BF297" s="24">
        <v>1</v>
      </c>
      <c r="BG297" s="25">
        <v>512</v>
      </c>
      <c r="BH297" s="24">
        <v>0</v>
      </c>
      <c r="BI297" s="24">
        <v>0</v>
      </c>
      <c r="BJ297" s="24">
        <v>0</v>
      </c>
      <c r="BK297" s="24">
        <v>0</v>
      </c>
      <c r="BL297" s="25">
        <v>126</v>
      </c>
      <c r="BM297" s="24">
        <v>0</v>
      </c>
      <c r="BO297" s="25">
        <v>1</v>
      </c>
      <c r="BP297" s="24">
        <v>0</v>
      </c>
      <c r="BQ297" s="24">
        <v>0</v>
      </c>
      <c r="BR297" s="24">
        <v>1</v>
      </c>
      <c r="BS297" s="24">
        <v>0</v>
      </c>
      <c r="BT297" s="24">
        <v>0</v>
      </c>
      <c r="BU297" s="24">
        <v>0</v>
      </c>
      <c r="BV297" s="24">
        <v>0</v>
      </c>
      <c r="BW297" s="24">
        <v>0</v>
      </c>
      <c r="BX297" s="24">
        <v>0</v>
      </c>
      <c r="BZ297" s="24">
        <v>-1</v>
      </c>
      <c r="CA297" s="24">
        <v>0</v>
      </c>
      <c r="CB297" s="24">
        <v>0</v>
      </c>
      <c r="CC297" s="24">
        <v>0</v>
      </c>
      <c r="CD297" s="24">
        <v>0</v>
      </c>
      <c r="CE297" s="24">
        <v>0</v>
      </c>
      <c r="CG297" s="24">
        <v>-1</v>
      </c>
      <c r="CH297" s="24">
        <v>0</v>
      </c>
      <c r="CI297" s="24">
        <v>0</v>
      </c>
      <c r="CJ297" s="24">
        <v>0</v>
      </c>
      <c r="CK297" s="24">
        <v>0</v>
      </c>
      <c r="CL297" s="24">
        <v>0</v>
      </c>
      <c r="CM297" s="24">
        <v>0</v>
      </c>
      <c r="CN297" s="24">
        <v>0</v>
      </c>
      <c r="CO297" s="24">
        <v>0</v>
      </c>
      <c r="CQ297" s="24">
        <v>0</v>
      </c>
      <c r="CR297" s="24">
        <v>0</v>
      </c>
      <c r="CS297" s="24">
        <v>0</v>
      </c>
      <c r="CT297" s="24">
        <v>0</v>
      </c>
      <c r="CV297" s="24">
        <v>0</v>
      </c>
      <c r="CW297" s="24">
        <v>0</v>
      </c>
      <c r="CX297" s="24">
        <v>-1</v>
      </c>
      <c r="CY297" s="26">
        <v>0</v>
      </c>
      <c r="CZ297" s="24">
        <v>0</v>
      </c>
      <c r="DA297" s="24">
        <v>0</v>
      </c>
      <c r="DC297" s="24">
        <v>1</v>
      </c>
      <c r="DD297" s="24">
        <v>1</v>
      </c>
      <c r="DE297" s="24">
        <v>0</v>
      </c>
      <c r="DF297" s="24">
        <v>0</v>
      </c>
      <c r="DG297" s="24">
        <v>-1</v>
      </c>
      <c r="DI297" s="24">
        <v>0</v>
      </c>
      <c r="DJ297" s="24">
        <v>0</v>
      </c>
      <c r="DL297" s="24">
        <v>0</v>
      </c>
      <c r="DM297" s="24">
        <v>0</v>
      </c>
      <c r="DO297" s="24">
        <v>0</v>
      </c>
      <c r="DP297" s="24">
        <v>0</v>
      </c>
      <c r="DQ297" s="24">
        <v>0</v>
      </c>
      <c r="DR297" s="24">
        <v>0</v>
      </c>
      <c r="DS297" s="24">
        <v>0</v>
      </c>
      <c r="DT297" s="24">
        <v>0</v>
      </c>
      <c r="DV297" s="24">
        <v>0</v>
      </c>
      <c r="DW297" s="24">
        <v>0</v>
      </c>
      <c r="DX297" s="24">
        <v>0</v>
      </c>
      <c r="DY297" s="24">
        <v>0</v>
      </c>
      <c r="DZ297" s="24">
        <v>0</v>
      </c>
    </row>
    <row r="298" spans="1:130">
      <c r="A298" s="24" t="s">
        <v>142</v>
      </c>
      <c r="B298" s="24" t="s">
        <v>142</v>
      </c>
      <c r="C298" s="24" t="s">
        <v>142</v>
      </c>
      <c r="D298" s="24" t="s">
        <v>142</v>
      </c>
      <c r="E298" s="24">
        <v>94901</v>
      </c>
      <c r="F298" s="24" t="s">
        <v>243</v>
      </c>
      <c r="G298" s="24">
        <v>0</v>
      </c>
      <c r="H298" s="24">
        <v>505002</v>
      </c>
      <c r="I298" s="24" t="s">
        <v>243</v>
      </c>
      <c r="J298" s="24" t="s">
        <v>243</v>
      </c>
      <c r="K298" s="24" t="s">
        <v>559</v>
      </c>
      <c r="M298" s="24">
        <v>102</v>
      </c>
      <c r="N298" s="24">
        <v>0</v>
      </c>
      <c r="P298" s="25">
        <v>2</v>
      </c>
      <c r="Q298" s="25">
        <v>655360</v>
      </c>
      <c r="R298" s="24">
        <v>0</v>
      </c>
      <c r="S298" s="25">
        <v>0</v>
      </c>
      <c r="T298" s="24"/>
      <c r="U298" s="24">
        <v>0</v>
      </c>
      <c r="V298" s="25">
        <v>0</v>
      </c>
      <c r="W298" s="24">
        <v>0</v>
      </c>
      <c r="X298" s="24">
        <v>0</v>
      </c>
      <c r="Y298" s="24">
        <v>0</v>
      </c>
      <c r="Z298" s="24">
        <v>0</v>
      </c>
      <c r="AB298" s="24">
        <v>10001</v>
      </c>
      <c r="AC298" s="24">
        <v>-1</v>
      </c>
      <c r="AD298" s="24">
        <v>-1</v>
      </c>
      <c r="AE298" s="24">
        <v>-1</v>
      </c>
      <c r="AG298" s="24">
        <v>1</v>
      </c>
      <c r="AH298" s="24">
        <v>0</v>
      </c>
      <c r="AI298" s="24">
        <v>0</v>
      </c>
      <c r="AJ298" s="24">
        <v>0</v>
      </c>
      <c r="AK298" s="24">
        <v>0</v>
      </c>
      <c r="AL298" s="24">
        <v>0</v>
      </c>
      <c r="AM298" s="24">
        <v>0</v>
      </c>
      <c r="AN298" s="24">
        <v>0</v>
      </c>
      <c r="AO298" s="24">
        <v>0</v>
      </c>
      <c r="AP298" s="24">
        <v>0</v>
      </c>
      <c r="AQ298" s="24">
        <v>0</v>
      </c>
      <c r="AR298" s="24">
        <v>0</v>
      </c>
      <c r="AS298" s="24">
        <v>0</v>
      </c>
      <c r="AT298" s="24">
        <v>0</v>
      </c>
      <c r="AU298" s="24">
        <v>0</v>
      </c>
      <c r="AV298" s="24">
        <v>0</v>
      </c>
      <c r="AW298" s="24">
        <v>0</v>
      </c>
      <c r="AX298" s="24">
        <v>0</v>
      </c>
      <c r="AY298" s="24">
        <v>0</v>
      </c>
      <c r="BA298" s="24">
        <v>0</v>
      </c>
      <c r="BB298" s="24">
        <v>400</v>
      </c>
      <c r="BC298" s="24">
        <v>700</v>
      </c>
      <c r="BD298" s="24">
        <v>0</v>
      </c>
      <c r="BE298" s="24">
        <v>200</v>
      </c>
      <c r="BF298" s="24">
        <v>1</v>
      </c>
      <c r="BG298" s="25">
        <v>1</v>
      </c>
      <c r="BH298" s="24">
        <v>1</v>
      </c>
      <c r="BI298" s="24">
        <v>0</v>
      </c>
      <c r="BJ298" s="24">
        <v>0</v>
      </c>
      <c r="BK298" s="24">
        <v>0</v>
      </c>
      <c r="BL298" s="25">
        <v>126</v>
      </c>
      <c r="BM298" s="24">
        <v>0</v>
      </c>
      <c r="BO298" s="25">
        <v>16</v>
      </c>
      <c r="BP298" s="24">
        <v>3</v>
      </c>
      <c r="BQ298" s="24">
        <v>2</v>
      </c>
      <c r="BR298" s="24">
        <v>3</v>
      </c>
      <c r="BS298" s="24">
        <v>1</v>
      </c>
      <c r="BT298" s="24">
        <v>30</v>
      </c>
      <c r="BU298" s="24">
        <v>60</v>
      </c>
      <c r="BV298" s="24">
        <v>6</v>
      </c>
      <c r="BW298" s="24">
        <v>0</v>
      </c>
      <c r="BX298" s="24">
        <v>3</v>
      </c>
      <c r="BZ298" s="24">
        <v>-1</v>
      </c>
      <c r="CA298" s="24">
        <v>0</v>
      </c>
      <c r="CB298" s="24">
        <v>0</v>
      </c>
      <c r="CC298" s="24">
        <v>0</v>
      </c>
      <c r="CD298" s="24">
        <v>0</v>
      </c>
      <c r="CE298" s="24">
        <v>0</v>
      </c>
      <c r="CG298" s="24">
        <v>-1</v>
      </c>
      <c r="CH298" s="24">
        <v>0</v>
      </c>
      <c r="CI298" s="24">
        <v>0</v>
      </c>
      <c r="CJ298" s="24">
        <v>0</v>
      </c>
      <c r="CK298" s="24">
        <v>0</v>
      </c>
      <c r="CL298" s="24">
        <v>0</v>
      </c>
      <c r="CM298" s="24">
        <v>0</v>
      </c>
      <c r="CN298" s="24">
        <v>0</v>
      </c>
      <c r="CO298" s="24">
        <v>0</v>
      </c>
      <c r="CQ298" s="24">
        <v>0</v>
      </c>
      <c r="CR298" s="24">
        <v>0</v>
      </c>
      <c r="CS298" s="24">
        <v>0</v>
      </c>
      <c r="CT298" s="24">
        <v>0</v>
      </c>
      <c r="CV298" s="24">
        <v>100101</v>
      </c>
      <c r="CW298" s="24">
        <v>17</v>
      </c>
      <c r="CX298" s="24">
        <v>1001</v>
      </c>
      <c r="CY298" s="26">
        <v>1</v>
      </c>
      <c r="CZ298" s="24">
        <v>1</v>
      </c>
      <c r="DA298" s="24">
        <v>0</v>
      </c>
      <c r="DC298" s="24">
        <v>0</v>
      </c>
      <c r="DD298" s="24">
        <v>0</v>
      </c>
      <c r="DE298" s="24">
        <v>0</v>
      </c>
      <c r="DF298" s="24">
        <v>0</v>
      </c>
      <c r="DG298" s="24">
        <v>-1</v>
      </c>
      <c r="DI298" s="24">
        <v>0</v>
      </c>
      <c r="DJ298" s="24">
        <v>0</v>
      </c>
      <c r="DL298" s="24">
        <v>0</v>
      </c>
      <c r="DM298" s="24">
        <v>0</v>
      </c>
      <c r="DO298" s="24">
        <v>0</v>
      </c>
      <c r="DP298" s="24">
        <v>0</v>
      </c>
      <c r="DQ298" s="24">
        <v>0</v>
      </c>
      <c r="DR298" s="24">
        <v>0</v>
      </c>
      <c r="DS298" s="24">
        <v>0</v>
      </c>
      <c r="DT298" s="24">
        <v>0</v>
      </c>
      <c r="DV298" s="24">
        <v>0</v>
      </c>
      <c r="DW298" s="24">
        <v>0</v>
      </c>
      <c r="DX298" s="24">
        <v>0</v>
      </c>
      <c r="DY298" s="24">
        <v>0</v>
      </c>
      <c r="DZ298" s="24">
        <v>0</v>
      </c>
    </row>
    <row r="299" spans="1:130">
      <c r="A299" s="24" t="s">
        <v>142</v>
      </c>
      <c r="B299" s="24" t="s">
        <v>142</v>
      </c>
      <c r="C299" s="24" t="s">
        <v>142</v>
      </c>
      <c r="D299" s="24" t="s">
        <v>142</v>
      </c>
      <c r="E299" s="24">
        <v>94902</v>
      </c>
      <c r="F299" s="24" t="s">
        <v>382</v>
      </c>
      <c r="G299" s="24">
        <v>0</v>
      </c>
      <c r="H299" s="24">
        <v>505003</v>
      </c>
      <c r="I299" s="24" t="s">
        <v>244</v>
      </c>
      <c r="J299" s="24" t="s">
        <v>244</v>
      </c>
      <c r="K299" s="24" t="s">
        <v>473</v>
      </c>
      <c r="M299" s="24">
        <v>102</v>
      </c>
      <c r="N299" s="24">
        <v>0</v>
      </c>
      <c r="P299" s="25">
        <v>2</v>
      </c>
      <c r="Q299" s="25">
        <v>655360</v>
      </c>
      <c r="R299" s="24">
        <v>94901</v>
      </c>
      <c r="S299" s="25">
        <v>0</v>
      </c>
      <c r="T299" s="24"/>
      <c r="U299" s="24">
        <v>0</v>
      </c>
      <c r="V299" s="25">
        <v>0</v>
      </c>
      <c r="W299" s="24">
        <v>0</v>
      </c>
      <c r="X299" s="24">
        <v>0</v>
      </c>
      <c r="Y299" s="24">
        <v>0</v>
      </c>
      <c r="Z299" s="24">
        <v>0</v>
      </c>
      <c r="AB299" s="24">
        <v>10001</v>
      </c>
      <c r="AC299" s="24">
        <v>-1</v>
      </c>
      <c r="AD299" s="24">
        <v>-1</v>
      </c>
      <c r="AE299" s="24">
        <v>-1</v>
      </c>
      <c r="AG299" s="24">
        <v>1</v>
      </c>
      <c r="AH299" s="24">
        <v>0</v>
      </c>
      <c r="AI299" s="24">
        <v>0</v>
      </c>
      <c r="AJ299" s="24">
        <v>0</v>
      </c>
      <c r="AK299" s="24">
        <v>0</v>
      </c>
      <c r="AL299" s="24">
        <v>0</v>
      </c>
      <c r="AM299" s="24">
        <v>0</v>
      </c>
      <c r="AN299" s="24">
        <v>0</v>
      </c>
      <c r="AO299" s="24">
        <v>0</v>
      </c>
      <c r="AP299" s="24">
        <v>0</v>
      </c>
      <c r="AQ299" s="24">
        <v>0</v>
      </c>
      <c r="AR299" s="24">
        <v>0</v>
      </c>
      <c r="AS299" s="24">
        <v>0</v>
      </c>
      <c r="AT299" s="24">
        <v>0</v>
      </c>
      <c r="AU299" s="24">
        <v>0</v>
      </c>
      <c r="AV299" s="24">
        <v>0</v>
      </c>
      <c r="AW299" s="24">
        <v>0</v>
      </c>
      <c r="AX299" s="24">
        <v>0</v>
      </c>
      <c r="AY299" s="24">
        <v>0</v>
      </c>
      <c r="BA299" s="24">
        <v>0</v>
      </c>
      <c r="BB299" s="24">
        <v>500</v>
      </c>
      <c r="BC299" s="24">
        <v>800</v>
      </c>
      <c r="BD299" s="24">
        <v>0</v>
      </c>
      <c r="BE299" s="24">
        <v>200</v>
      </c>
      <c r="BF299" s="24">
        <v>1</v>
      </c>
      <c r="BG299" s="25">
        <v>1</v>
      </c>
      <c r="BH299" s="24">
        <v>1</v>
      </c>
      <c r="BI299" s="24">
        <v>0</v>
      </c>
      <c r="BJ299" s="24">
        <v>0</v>
      </c>
      <c r="BK299" s="24">
        <v>0</v>
      </c>
      <c r="BL299" s="25">
        <v>126</v>
      </c>
      <c r="BM299" s="24">
        <v>0</v>
      </c>
      <c r="BO299" s="25">
        <v>16</v>
      </c>
      <c r="BP299" s="24">
        <v>3</v>
      </c>
      <c r="BQ299" s="24">
        <v>2</v>
      </c>
      <c r="BR299" s="24">
        <v>3</v>
      </c>
      <c r="BS299" s="24">
        <v>1</v>
      </c>
      <c r="BT299" s="24">
        <v>30</v>
      </c>
      <c r="BU299" s="24">
        <v>60</v>
      </c>
      <c r="BV299" s="24">
        <v>6</v>
      </c>
      <c r="BW299" s="24">
        <v>0</v>
      </c>
      <c r="BX299" s="24">
        <v>3</v>
      </c>
      <c r="BZ299" s="24">
        <v>-1</v>
      </c>
      <c r="CA299" s="24">
        <v>0</v>
      </c>
      <c r="CB299" s="24">
        <v>0</v>
      </c>
      <c r="CC299" s="24">
        <v>0</v>
      </c>
      <c r="CD299" s="24">
        <v>0</v>
      </c>
      <c r="CE299" s="24">
        <v>0</v>
      </c>
      <c r="CG299" s="24">
        <v>-1</v>
      </c>
      <c r="CH299" s="24">
        <v>0</v>
      </c>
      <c r="CI299" s="24">
        <v>0</v>
      </c>
      <c r="CJ299" s="24">
        <v>0</v>
      </c>
      <c r="CK299" s="24">
        <v>0</v>
      </c>
      <c r="CL299" s="24">
        <v>0</v>
      </c>
      <c r="CM299" s="24">
        <v>0</v>
      </c>
      <c r="CN299" s="24">
        <v>0</v>
      </c>
      <c r="CO299" s="24">
        <v>0</v>
      </c>
      <c r="CQ299" s="24">
        <v>0</v>
      </c>
      <c r="CR299" s="24">
        <v>0</v>
      </c>
      <c r="CS299" s="24">
        <v>0</v>
      </c>
      <c r="CT299" s="24">
        <v>0</v>
      </c>
      <c r="CV299" s="24">
        <v>100102</v>
      </c>
      <c r="CW299" s="24">
        <v>17</v>
      </c>
      <c r="CX299" s="24">
        <v>1002</v>
      </c>
      <c r="CY299" s="26">
        <v>1</v>
      </c>
      <c r="CZ299" s="24">
        <v>1</v>
      </c>
      <c r="DA299" s="24">
        <v>0</v>
      </c>
      <c r="DC299" s="24">
        <v>0</v>
      </c>
      <c r="DD299" s="24">
        <v>0</v>
      </c>
      <c r="DE299" s="24">
        <v>0</v>
      </c>
      <c r="DF299" s="24">
        <v>0</v>
      </c>
      <c r="DG299" s="24">
        <v>-1</v>
      </c>
      <c r="DI299" s="24">
        <v>0</v>
      </c>
      <c r="DJ299" s="24">
        <v>0</v>
      </c>
      <c r="DL299" s="24">
        <v>0</v>
      </c>
      <c r="DM299" s="24">
        <v>0</v>
      </c>
      <c r="DO299" s="24">
        <v>0</v>
      </c>
      <c r="DP299" s="24">
        <v>0</v>
      </c>
      <c r="DQ299" s="24">
        <v>0</v>
      </c>
      <c r="DR299" s="24">
        <v>0</v>
      </c>
      <c r="DS299" s="24">
        <v>0</v>
      </c>
      <c r="DT299" s="24">
        <v>0</v>
      </c>
      <c r="DV299" s="24">
        <v>0</v>
      </c>
      <c r="DW299" s="24">
        <v>0</v>
      </c>
      <c r="DX299" s="24">
        <v>0</v>
      </c>
      <c r="DY299" s="24">
        <v>0</v>
      </c>
      <c r="DZ299" s="24">
        <v>0</v>
      </c>
    </row>
    <row r="300" spans="1:130">
      <c r="A300" s="24" t="s">
        <v>142</v>
      </c>
      <c r="B300" s="24" t="s">
        <v>142</v>
      </c>
      <c r="C300" s="24" t="s">
        <v>142</v>
      </c>
      <c r="D300" s="24" t="s">
        <v>142</v>
      </c>
      <c r="E300" s="24">
        <v>94903</v>
      </c>
      <c r="F300" s="24" t="s">
        <v>245</v>
      </c>
      <c r="G300" s="24">
        <v>0</v>
      </c>
      <c r="H300" s="24">
        <v>505004</v>
      </c>
      <c r="I300" s="24" t="s">
        <v>245</v>
      </c>
      <c r="J300" s="24" t="s">
        <v>245</v>
      </c>
      <c r="K300" s="24" t="s">
        <v>473</v>
      </c>
      <c r="M300" s="24">
        <v>102</v>
      </c>
      <c r="N300" s="24">
        <v>0</v>
      </c>
      <c r="P300" s="25">
        <v>2</v>
      </c>
      <c r="Q300" s="25">
        <v>655360</v>
      </c>
      <c r="R300" s="24">
        <v>94901</v>
      </c>
      <c r="S300" s="25">
        <v>0</v>
      </c>
      <c r="T300" s="24"/>
      <c r="U300" s="24">
        <v>0</v>
      </c>
      <c r="V300" s="25">
        <v>0</v>
      </c>
      <c r="W300" s="24">
        <v>0</v>
      </c>
      <c r="X300" s="24">
        <v>0</v>
      </c>
      <c r="Y300" s="24">
        <v>0</v>
      </c>
      <c r="Z300" s="24">
        <v>0</v>
      </c>
      <c r="AB300" s="24">
        <v>10001</v>
      </c>
      <c r="AC300" s="24">
        <v>-1</v>
      </c>
      <c r="AD300" s="24">
        <v>-1</v>
      </c>
      <c r="AE300" s="24">
        <v>-1</v>
      </c>
      <c r="AG300" s="24">
        <v>1</v>
      </c>
      <c r="AH300" s="24">
        <v>0</v>
      </c>
      <c r="AI300" s="24">
        <v>0</v>
      </c>
      <c r="AJ300" s="24">
        <v>0</v>
      </c>
      <c r="AK300" s="24">
        <v>0</v>
      </c>
      <c r="AL300" s="24">
        <v>0</v>
      </c>
      <c r="AM300" s="24">
        <v>0</v>
      </c>
      <c r="AN300" s="24">
        <v>0</v>
      </c>
      <c r="AO300" s="24">
        <v>0</v>
      </c>
      <c r="AP300" s="24">
        <v>0</v>
      </c>
      <c r="AQ300" s="24">
        <v>0</v>
      </c>
      <c r="AR300" s="24">
        <v>0</v>
      </c>
      <c r="AS300" s="24">
        <v>0</v>
      </c>
      <c r="AT300" s="24">
        <v>0</v>
      </c>
      <c r="AU300" s="24">
        <v>0</v>
      </c>
      <c r="AV300" s="24">
        <v>0</v>
      </c>
      <c r="AW300" s="24">
        <v>0</v>
      </c>
      <c r="AX300" s="24">
        <v>0</v>
      </c>
      <c r="AY300" s="24">
        <v>0</v>
      </c>
      <c r="BA300" s="24">
        <v>0</v>
      </c>
      <c r="BB300" s="24">
        <v>700</v>
      </c>
      <c r="BC300" s="24">
        <v>1000</v>
      </c>
      <c r="BD300" s="24">
        <v>0</v>
      </c>
      <c r="BE300" s="24">
        <v>200</v>
      </c>
      <c r="BF300" s="24">
        <v>1</v>
      </c>
      <c r="BG300" s="25">
        <v>1</v>
      </c>
      <c r="BH300" s="24">
        <v>1</v>
      </c>
      <c r="BI300" s="24">
        <v>0</v>
      </c>
      <c r="BJ300" s="24">
        <v>0</v>
      </c>
      <c r="BK300" s="24">
        <v>0</v>
      </c>
      <c r="BL300" s="25">
        <v>126</v>
      </c>
      <c r="BM300" s="24">
        <v>0</v>
      </c>
      <c r="BO300" s="25">
        <v>16</v>
      </c>
      <c r="BP300" s="24">
        <v>3</v>
      </c>
      <c r="BQ300" s="24">
        <v>2</v>
      </c>
      <c r="BR300" s="24">
        <v>3</v>
      </c>
      <c r="BS300" s="24">
        <v>1</v>
      </c>
      <c r="BT300" s="24">
        <v>30</v>
      </c>
      <c r="BU300" s="24">
        <v>60</v>
      </c>
      <c r="BV300" s="24">
        <v>6</v>
      </c>
      <c r="BW300" s="24">
        <v>0</v>
      </c>
      <c r="BX300" s="24">
        <v>3</v>
      </c>
      <c r="BZ300" s="24">
        <v>-1</v>
      </c>
      <c r="CA300" s="24">
        <v>0</v>
      </c>
      <c r="CB300" s="24">
        <v>0</v>
      </c>
      <c r="CC300" s="24">
        <v>0</v>
      </c>
      <c r="CD300" s="24">
        <v>0</v>
      </c>
      <c r="CE300" s="24">
        <v>0</v>
      </c>
      <c r="CG300" s="24">
        <v>-1</v>
      </c>
      <c r="CH300" s="24">
        <v>0</v>
      </c>
      <c r="CI300" s="24">
        <v>0</v>
      </c>
      <c r="CJ300" s="24">
        <v>0</v>
      </c>
      <c r="CK300" s="24">
        <v>0</v>
      </c>
      <c r="CL300" s="24">
        <v>0</v>
      </c>
      <c r="CM300" s="24">
        <v>0</v>
      </c>
      <c r="CN300" s="24">
        <v>0</v>
      </c>
      <c r="CO300" s="24">
        <v>0</v>
      </c>
      <c r="CQ300" s="24">
        <v>0</v>
      </c>
      <c r="CR300" s="24">
        <v>0</v>
      </c>
      <c r="CS300" s="24">
        <v>0</v>
      </c>
      <c r="CT300" s="24">
        <v>0</v>
      </c>
      <c r="CV300" s="24">
        <v>100103</v>
      </c>
      <c r="CW300" s="24">
        <v>17</v>
      </c>
      <c r="CX300" s="24">
        <v>1003</v>
      </c>
      <c r="CY300" s="26">
        <v>1</v>
      </c>
      <c r="CZ300" s="24">
        <v>1</v>
      </c>
      <c r="DA300" s="24">
        <v>0</v>
      </c>
      <c r="DC300" s="24">
        <v>0</v>
      </c>
      <c r="DD300" s="24">
        <v>0</v>
      </c>
      <c r="DE300" s="24">
        <v>0</v>
      </c>
      <c r="DF300" s="24">
        <v>0</v>
      </c>
      <c r="DG300" s="24">
        <v>-1</v>
      </c>
      <c r="DI300" s="24">
        <v>0</v>
      </c>
      <c r="DJ300" s="24">
        <v>0</v>
      </c>
      <c r="DL300" s="24">
        <v>0</v>
      </c>
      <c r="DM300" s="24">
        <v>0</v>
      </c>
      <c r="DO300" s="24">
        <v>0</v>
      </c>
      <c r="DP300" s="24">
        <v>0</v>
      </c>
      <c r="DQ300" s="24">
        <v>0</v>
      </c>
      <c r="DR300" s="24">
        <v>0</v>
      </c>
      <c r="DS300" s="24">
        <v>0</v>
      </c>
      <c r="DT300" s="24">
        <v>0</v>
      </c>
      <c r="DV300" s="24">
        <v>0</v>
      </c>
      <c r="DW300" s="24">
        <v>0</v>
      </c>
      <c r="DX300" s="24">
        <v>0</v>
      </c>
      <c r="DY300" s="24">
        <v>0</v>
      </c>
      <c r="DZ300" s="24">
        <v>0</v>
      </c>
    </row>
    <row r="301" spans="1:130">
      <c r="A301" s="24" t="s">
        <v>142</v>
      </c>
      <c r="B301" s="24" t="s">
        <v>142</v>
      </c>
      <c r="C301" s="24" t="s">
        <v>142</v>
      </c>
      <c r="D301" s="24" t="s">
        <v>142</v>
      </c>
      <c r="E301" s="24">
        <v>94904</v>
      </c>
      <c r="F301" s="24" t="s">
        <v>384</v>
      </c>
      <c r="G301" s="24">
        <v>0</v>
      </c>
      <c r="H301" s="24">
        <v>505006</v>
      </c>
      <c r="I301" s="24" t="s">
        <v>384</v>
      </c>
      <c r="J301" s="24" t="s">
        <v>384</v>
      </c>
      <c r="K301" s="24" t="s">
        <v>560</v>
      </c>
      <c r="M301" s="24">
        <v>102</v>
      </c>
      <c r="N301" s="24">
        <v>0</v>
      </c>
      <c r="P301" s="25">
        <v>2</v>
      </c>
      <c r="Q301" s="25">
        <v>528640</v>
      </c>
      <c r="R301" s="24">
        <v>0</v>
      </c>
      <c r="S301" s="25">
        <v>0</v>
      </c>
      <c r="T301" s="24"/>
      <c r="U301" s="24">
        <v>0</v>
      </c>
      <c r="V301" s="25">
        <v>0</v>
      </c>
      <c r="W301" s="24">
        <v>0</v>
      </c>
      <c r="X301" s="24">
        <v>0</v>
      </c>
      <c r="Y301" s="24">
        <v>0</v>
      </c>
      <c r="Z301" s="24">
        <v>0</v>
      </c>
      <c r="AB301" s="24">
        <v>10001</v>
      </c>
      <c r="AC301" s="24">
        <v>-1</v>
      </c>
      <c r="AD301" s="24">
        <v>-1</v>
      </c>
      <c r="AE301" s="24">
        <v>-1</v>
      </c>
      <c r="AG301" s="24">
        <v>2</v>
      </c>
      <c r="AH301" s="24">
        <v>0</v>
      </c>
      <c r="AI301" s="24">
        <v>0</v>
      </c>
      <c r="AJ301" s="24">
        <v>0</v>
      </c>
      <c r="AK301" s="24">
        <v>0</v>
      </c>
      <c r="AL301" s="24">
        <v>1</v>
      </c>
      <c r="AM301" s="24">
        <v>0</v>
      </c>
      <c r="AN301" s="24">
        <v>0</v>
      </c>
      <c r="AO301" s="24">
        <v>0</v>
      </c>
      <c r="AP301" s="24">
        <v>900</v>
      </c>
      <c r="AQ301" s="24">
        <v>11</v>
      </c>
      <c r="AR301" s="24">
        <v>0</v>
      </c>
      <c r="AS301" s="24">
        <v>0</v>
      </c>
      <c r="AT301" s="24">
        <v>0</v>
      </c>
      <c r="AU301" s="24">
        <v>0</v>
      </c>
      <c r="AV301" s="24">
        <v>0</v>
      </c>
      <c r="AW301" s="24">
        <v>0</v>
      </c>
      <c r="AX301" s="24">
        <v>0</v>
      </c>
      <c r="AY301" s="24">
        <v>0</v>
      </c>
      <c r="BA301" s="24">
        <v>0</v>
      </c>
      <c r="BB301" s="24">
        <v>500</v>
      </c>
      <c r="BC301" s="24">
        <v>1900</v>
      </c>
      <c r="BD301" s="24">
        <v>0</v>
      </c>
      <c r="BE301" s="24">
        <v>200</v>
      </c>
      <c r="BF301" s="24">
        <v>1</v>
      </c>
      <c r="BG301" s="25">
        <v>1024</v>
      </c>
      <c r="BH301" s="24">
        <v>0</v>
      </c>
      <c r="BI301" s="24">
        <v>0</v>
      </c>
      <c r="BJ301" s="24">
        <v>0</v>
      </c>
      <c r="BK301" s="24">
        <v>0</v>
      </c>
      <c r="BL301" s="25">
        <v>126</v>
      </c>
      <c r="BM301" s="24">
        <v>0</v>
      </c>
      <c r="BO301" s="25">
        <v>16</v>
      </c>
      <c r="BP301" s="24">
        <v>0</v>
      </c>
      <c r="BQ301" s="24">
        <v>0</v>
      </c>
      <c r="BR301" s="24">
        <v>0</v>
      </c>
      <c r="BS301" s="24">
        <v>0</v>
      </c>
      <c r="BT301" s="24">
        <v>0</v>
      </c>
      <c r="BU301" s="24">
        <v>0</v>
      </c>
      <c r="BV301" s="24">
        <v>0</v>
      </c>
      <c r="BW301" s="24">
        <v>0</v>
      </c>
      <c r="BX301" s="24">
        <v>0</v>
      </c>
      <c r="BZ301" s="24">
        <v>94904</v>
      </c>
      <c r="CA301" s="24">
        <v>0</v>
      </c>
      <c r="CB301" s="24">
        <v>0</v>
      </c>
      <c r="CC301" s="24">
        <v>0</v>
      </c>
      <c r="CD301" s="24">
        <v>0</v>
      </c>
      <c r="CE301" s="24">
        <v>0</v>
      </c>
      <c r="CG301" s="24">
        <v>-1</v>
      </c>
      <c r="CH301" s="24">
        <v>0</v>
      </c>
      <c r="CI301" s="24">
        <v>0</v>
      </c>
      <c r="CJ301" s="24">
        <v>0</v>
      </c>
      <c r="CK301" s="24">
        <v>0</v>
      </c>
      <c r="CL301" s="24">
        <v>0</v>
      </c>
      <c r="CM301" s="24">
        <v>0</v>
      </c>
      <c r="CN301" s="24">
        <v>0</v>
      </c>
      <c r="CO301" s="24">
        <v>0</v>
      </c>
      <c r="CQ301" s="24">
        <v>0</v>
      </c>
      <c r="CR301" s="24">
        <v>0</v>
      </c>
      <c r="CS301" s="24">
        <v>0</v>
      </c>
      <c r="CT301" s="24">
        <v>0</v>
      </c>
      <c r="CV301" s="24">
        <v>100104</v>
      </c>
      <c r="CW301" s="24">
        <v>17</v>
      </c>
      <c r="CX301" s="24">
        <v>-1</v>
      </c>
      <c r="CY301" s="26">
        <v>0</v>
      </c>
      <c r="CZ301" s="24">
        <v>2</v>
      </c>
      <c r="DA301" s="24">
        <v>0</v>
      </c>
      <c r="DC301" s="24">
        <v>3</v>
      </c>
      <c r="DD301" s="24">
        <v>0</v>
      </c>
      <c r="DE301" s="24">
        <v>0</v>
      </c>
      <c r="DF301" s="24">
        <v>0</v>
      </c>
      <c r="DG301" s="24">
        <v>-1</v>
      </c>
      <c r="DI301" s="24">
        <v>0</v>
      </c>
      <c r="DJ301" s="24">
        <v>0</v>
      </c>
      <c r="DL301" s="24">
        <v>0</v>
      </c>
      <c r="DM301" s="24">
        <v>0</v>
      </c>
      <c r="DO301" s="24">
        <v>0</v>
      </c>
      <c r="DP301" s="24">
        <v>0</v>
      </c>
      <c r="DQ301" s="24">
        <v>0</v>
      </c>
      <c r="DR301" s="24">
        <v>0</v>
      </c>
      <c r="DS301" s="24">
        <v>0</v>
      </c>
      <c r="DT301" s="24">
        <v>0</v>
      </c>
      <c r="DV301" s="24">
        <v>0</v>
      </c>
      <c r="DW301" s="24">
        <v>0</v>
      </c>
      <c r="DX301" s="24">
        <v>0</v>
      </c>
      <c r="DY301" s="24">
        <v>0</v>
      </c>
      <c r="DZ301" s="24">
        <v>0</v>
      </c>
    </row>
    <row r="302" spans="1:130">
      <c r="A302" s="24" t="s">
        <v>142</v>
      </c>
      <c r="B302" s="24" t="s">
        <v>142</v>
      </c>
      <c r="C302" s="24" t="s">
        <v>142</v>
      </c>
      <c r="D302" s="24" t="s">
        <v>142</v>
      </c>
      <c r="E302" s="24">
        <v>94905</v>
      </c>
      <c r="F302" s="24" t="s">
        <v>496</v>
      </c>
      <c r="G302" s="24">
        <v>0</v>
      </c>
      <c r="H302" s="24">
        <v>505007</v>
      </c>
      <c r="I302" s="24" t="s">
        <v>496</v>
      </c>
      <c r="J302" s="24" t="s">
        <v>496</v>
      </c>
      <c r="K302" s="24" t="s">
        <v>473</v>
      </c>
      <c r="M302" s="24">
        <v>0</v>
      </c>
      <c r="N302" s="24">
        <v>0</v>
      </c>
      <c r="P302" s="25">
        <v>12</v>
      </c>
      <c r="Q302" s="25">
        <v>0</v>
      </c>
      <c r="R302" s="24">
        <v>0</v>
      </c>
      <c r="S302" s="25">
        <v>0</v>
      </c>
      <c r="T302" s="24"/>
      <c r="U302" s="24">
        <v>11</v>
      </c>
      <c r="V302" s="25">
        <v>2050</v>
      </c>
      <c r="W302" s="24">
        <v>4</v>
      </c>
      <c r="X302" s="24">
        <v>94904</v>
      </c>
      <c r="Y302" s="24">
        <v>0</v>
      </c>
      <c r="Z302" s="24">
        <v>1000</v>
      </c>
      <c r="AB302" s="24">
        <v>30001</v>
      </c>
      <c r="AC302" s="24">
        <v>0</v>
      </c>
      <c r="AD302" s="24">
        <v>0</v>
      </c>
      <c r="AE302" s="24">
        <v>0</v>
      </c>
      <c r="AG302" s="24">
        <v>1</v>
      </c>
      <c r="AH302" s="24">
        <v>0</v>
      </c>
      <c r="AI302" s="24">
        <v>0</v>
      </c>
      <c r="AJ302" s="24">
        <v>0</v>
      </c>
      <c r="AK302" s="24">
        <v>0</v>
      </c>
      <c r="AL302" s="24">
        <v>0</v>
      </c>
      <c r="AM302" s="24">
        <v>0</v>
      </c>
      <c r="AN302" s="24">
        <v>0</v>
      </c>
      <c r="AO302" s="24">
        <v>0</v>
      </c>
      <c r="AP302" s="24">
        <v>0</v>
      </c>
      <c r="AQ302" s="24">
        <v>0</v>
      </c>
      <c r="AR302" s="24">
        <v>0</v>
      </c>
      <c r="AS302" s="24">
        <v>0</v>
      </c>
      <c r="AT302" s="24">
        <v>0</v>
      </c>
      <c r="AU302" s="24">
        <v>0</v>
      </c>
      <c r="AV302" s="24">
        <v>0</v>
      </c>
      <c r="AW302" s="24">
        <v>0</v>
      </c>
      <c r="AX302" s="24">
        <v>0</v>
      </c>
      <c r="AY302" s="24">
        <v>0</v>
      </c>
      <c r="BA302" s="24">
        <v>0</v>
      </c>
      <c r="BB302" s="24">
        <v>0</v>
      </c>
      <c r="BC302" s="24">
        <v>0</v>
      </c>
      <c r="BD302" s="24">
        <v>0</v>
      </c>
      <c r="BE302" s="24">
        <v>0</v>
      </c>
      <c r="BF302" s="24">
        <v>1</v>
      </c>
      <c r="BG302" s="25">
        <v>1</v>
      </c>
      <c r="BH302" s="24">
        <v>1</v>
      </c>
      <c r="BI302" s="24">
        <v>0</v>
      </c>
      <c r="BJ302" s="24">
        <v>0</v>
      </c>
      <c r="BK302" s="24">
        <v>0</v>
      </c>
      <c r="BL302" s="25">
        <v>126</v>
      </c>
      <c r="BM302" s="24">
        <v>0</v>
      </c>
      <c r="BO302" s="25">
        <v>8</v>
      </c>
      <c r="BP302" s="24">
        <v>0</v>
      </c>
      <c r="BQ302" s="24">
        <v>0</v>
      </c>
      <c r="BR302" s="24">
        <v>2</v>
      </c>
      <c r="BS302" s="24">
        <v>50</v>
      </c>
      <c r="BT302" s="24">
        <v>0</v>
      </c>
      <c r="BU302" s="24">
        <v>0</v>
      </c>
      <c r="BV302" s="24">
        <v>0</v>
      </c>
      <c r="BW302" s="24">
        <v>0</v>
      </c>
      <c r="BX302" s="24">
        <v>4</v>
      </c>
      <c r="BZ302" s="24">
        <v>-1</v>
      </c>
      <c r="CA302" s="24">
        <v>0</v>
      </c>
      <c r="CB302" s="24">
        <v>0</v>
      </c>
      <c r="CC302" s="24">
        <v>0</v>
      </c>
      <c r="CD302" s="24">
        <v>0</v>
      </c>
      <c r="CE302" s="24">
        <v>0</v>
      </c>
      <c r="CG302" s="24">
        <v>-1</v>
      </c>
      <c r="CH302" s="24">
        <v>0</v>
      </c>
      <c r="CI302" s="24">
        <v>0</v>
      </c>
      <c r="CJ302" s="24">
        <v>0</v>
      </c>
      <c r="CK302" s="24">
        <v>0</v>
      </c>
      <c r="CL302" s="24">
        <v>0</v>
      </c>
      <c r="CM302" s="24">
        <v>0</v>
      </c>
      <c r="CN302" s="24">
        <v>0</v>
      </c>
      <c r="CO302" s="24">
        <v>0</v>
      </c>
      <c r="CQ302" s="24">
        <v>0</v>
      </c>
      <c r="CR302" s="24">
        <v>0</v>
      </c>
      <c r="CS302" s="24">
        <v>0</v>
      </c>
      <c r="CT302" s="24">
        <v>0</v>
      </c>
      <c r="CV302" s="24">
        <v>0</v>
      </c>
      <c r="CW302" s="24">
        <v>0</v>
      </c>
      <c r="CX302" s="24">
        <v>100</v>
      </c>
      <c r="CY302" s="26">
        <v>3</v>
      </c>
      <c r="CZ302" s="24">
        <v>0</v>
      </c>
      <c r="DA302" s="24">
        <v>0</v>
      </c>
      <c r="DC302" s="24">
        <v>1</v>
      </c>
      <c r="DD302" s="24">
        <v>1</v>
      </c>
      <c r="DE302" s="24">
        <v>0</v>
      </c>
      <c r="DF302" s="24">
        <v>0</v>
      </c>
      <c r="DG302" s="24">
        <v>-1</v>
      </c>
      <c r="DI302" s="24">
        <v>0</v>
      </c>
      <c r="DJ302" s="24">
        <v>0</v>
      </c>
      <c r="DL302" s="24">
        <v>0</v>
      </c>
      <c r="DM302" s="24">
        <v>0</v>
      </c>
      <c r="DO302" s="24">
        <v>0</v>
      </c>
      <c r="DP302" s="24">
        <v>0</v>
      </c>
      <c r="DQ302" s="24">
        <v>0</v>
      </c>
      <c r="DR302" s="24">
        <v>0</v>
      </c>
      <c r="DS302" s="24">
        <v>0</v>
      </c>
      <c r="DT302" s="24">
        <v>0</v>
      </c>
      <c r="DV302" s="24">
        <v>0</v>
      </c>
      <c r="DW302" s="24">
        <v>0</v>
      </c>
      <c r="DX302" s="24">
        <v>0</v>
      </c>
      <c r="DY302" s="24">
        <v>0</v>
      </c>
      <c r="DZ302" s="24">
        <v>0</v>
      </c>
    </row>
    <row r="303" spans="1:130">
      <c r="A303" s="24" t="s">
        <v>142</v>
      </c>
      <c r="B303" s="24" t="s">
        <v>142</v>
      </c>
      <c r="C303" s="24" t="s">
        <v>142</v>
      </c>
      <c r="D303" s="24" t="s">
        <v>142</v>
      </c>
      <c r="E303" s="24">
        <v>94906</v>
      </c>
      <c r="F303" s="24" t="s">
        <v>497</v>
      </c>
      <c r="G303" s="24">
        <v>0</v>
      </c>
      <c r="H303" s="24">
        <v>505008</v>
      </c>
      <c r="I303" s="24" t="s">
        <v>497</v>
      </c>
      <c r="J303" s="24" t="s">
        <v>497</v>
      </c>
      <c r="K303" s="24" t="s">
        <v>637</v>
      </c>
      <c r="M303" s="24">
        <v>102</v>
      </c>
      <c r="N303" s="24">
        <v>0</v>
      </c>
      <c r="P303" s="25">
        <v>2</v>
      </c>
      <c r="Q303" s="25">
        <v>524288</v>
      </c>
      <c r="R303" s="24">
        <v>0</v>
      </c>
      <c r="S303" s="25">
        <v>0</v>
      </c>
      <c r="T303" s="24"/>
      <c r="U303" s="24">
        <v>0</v>
      </c>
      <c r="V303" s="25">
        <v>0</v>
      </c>
      <c r="W303" s="24">
        <v>0</v>
      </c>
      <c r="X303" s="24">
        <v>0</v>
      </c>
      <c r="Y303" s="24">
        <v>0</v>
      </c>
      <c r="Z303" s="24">
        <v>0</v>
      </c>
      <c r="AB303" s="24">
        <v>10001</v>
      </c>
      <c r="AC303" s="24">
        <v>-1</v>
      </c>
      <c r="AD303" s="24">
        <v>-1</v>
      </c>
      <c r="AE303" s="24">
        <v>-1</v>
      </c>
      <c r="AG303" s="24">
        <v>1</v>
      </c>
      <c r="AH303" s="24">
        <v>0</v>
      </c>
      <c r="AI303" s="24">
        <v>0</v>
      </c>
      <c r="AJ303" s="24">
        <v>0</v>
      </c>
      <c r="AK303" s="24">
        <v>0</v>
      </c>
      <c r="AL303" s="24">
        <v>0</v>
      </c>
      <c r="AM303" s="24">
        <v>0</v>
      </c>
      <c r="AN303" s="24">
        <v>0</v>
      </c>
      <c r="AO303" s="24">
        <v>0</v>
      </c>
      <c r="AP303" s="24">
        <v>0</v>
      </c>
      <c r="AQ303" s="24">
        <v>0</v>
      </c>
      <c r="AR303" s="24">
        <v>0</v>
      </c>
      <c r="AS303" s="24">
        <v>0</v>
      </c>
      <c r="AT303" s="24">
        <v>0</v>
      </c>
      <c r="AU303" s="24">
        <v>0</v>
      </c>
      <c r="AV303" s="24">
        <v>0</v>
      </c>
      <c r="AW303" s="24">
        <v>0</v>
      </c>
      <c r="AX303" s="24">
        <v>0</v>
      </c>
      <c r="AY303" s="24">
        <v>0</v>
      </c>
      <c r="BA303" s="24">
        <v>0</v>
      </c>
      <c r="BB303" s="24">
        <v>500</v>
      </c>
      <c r="BC303" s="24">
        <v>1100</v>
      </c>
      <c r="BD303" s="24">
        <v>0</v>
      </c>
      <c r="BE303" s="24">
        <v>200</v>
      </c>
      <c r="BF303" s="24">
        <v>1</v>
      </c>
      <c r="BG303" s="25">
        <v>512</v>
      </c>
      <c r="BH303" s="24">
        <v>4</v>
      </c>
      <c r="BI303" s="24">
        <v>5008</v>
      </c>
      <c r="BJ303" s="24">
        <v>1</v>
      </c>
      <c r="BK303" s="24">
        <v>1</v>
      </c>
      <c r="BL303" s="25">
        <v>126</v>
      </c>
      <c r="BM303" s="24">
        <v>0</v>
      </c>
      <c r="BO303" s="25">
        <v>1</v>
      </c>
      <c r="BP303" s="24">
        <v>0</v>
      </c>
      <c r="BQ303" s="24">
        <v>0</v>
      </c>
      <c r="BR303" s="24">
        <v>1</v>
      </c>
      <c r="BS303" s="24">
        <v>0</v>
      </c>
      <c r="BT303" s="24">
        <v>0</v>
      </c>
      <c r="BU303" s="24">
        <v>0</v>
      </c>
      <c r="BV303" s="24">
        <v>0</v>
      </c>
      <c r="BW303" s="24">
        <v>0</v>
      </c>
      <c r="BX303" s="24">
        <v>1</v>
      </c>
      <c r="BZ303" s="24">
        <v>94906</v>
      </c>
      <c r="CA303" s="24">
        <v>0</v>
      </c>
      <c r="CB303" s="24">
        <v>0</v>
      </c>
      <c r="CC303" s="24">
        <v>0</v>
      </c>
      <c r="CD303" s="24">
        <v>0</v>
      </c>
      <c r="CE303" s="24">
        <v>0</v>
      </c>
      <c r="CG303" s="24">
        <v>-1</v>
      </c>
      <c r="CH303" s="24">
        <v>0</v>
      </c>
      <c r="CI303" s="24">
        <v>0</v>
      </c>
      <c r="CJ303" s="24">
        <v>0</v>
      </c>
      <c r="CK303" s="24">
        <v>0</v>
      </c>
      <c r="CL303" s="24">
        <v>0</v>
      </c>
      <c r="CM303" s="24">
        <v>0</v>
      </c>
      <c r="CN303" s="24">
        <v>0</v>
      </c>
      <c r="CO303" s="24">
        <v>0</v>
      </c>
      <c r="CQ303" s="24">
        <v>0</v>
      </c>
      <c r="CR303" s="24">
        <v>0</v>
      </c>
      <c r="CS303" s="24">
        <v>0</v>
      </c>
      <c r="CT303" s="24">
        <v>0</v>
      </c>
      <c r="CV303" s="24">
        <v>100105</v>
      </c>
      <c r="CW303" s="24">
        <v>0</v>
      </c>
      <c r="CX303" s="24">
        <v>-1</v>
      </c>
      <c r="CY303" s="26">
        <v>0</v>
      </c>
      <c r="CZ303" s="24">
        <v>2</v>
      </c>
      <c r="DA303" s="24">
        <v>0</v>
      </c>
      <c r="DC303" s="24">
        <v>1</v>
      </c>
      <c r="DD303" s="24">
        <v>1</v>
      </c>
      <c r="DE303" s="24">
        <v>0</v>
      </c>
      <c r="DF303" s="24">
        <v>0</v>
      </c>
      <c r="DG303" s="24">
        <v>-1</v>
      </c>
      <c r="DI303" s="24">
        <v>0</v>
      </c>
      <c r="DJ303" s="24">
        <v>0</v>
      </c>
      <c r="DL303" s="24">
        <v>0</v>
      </c>
      <c r="DM303" s="24">
        <v>0</v>
      </c>
      <c r="DO303" s="24">
        <v>0</v>
      </c>
      <c r="DP303" s="24">
        <v>0</v>
      </c>
      <c r="DQ303" s="24">
        <v>0</v>
      </c>
      <c r="DR303" s="24">
        <v>0</v>
      </c>
      <c r="DS303" s="24">
        <v>0</v>
      </c>
      <c r="DT303" s="24">
        <v>0</v>
      </c>
      <c r="DV303" s="24">
        <v>0</v>
      </c>
      <c r="DW303" s="24">
        <v>0</v>
      </c>
      <c r="DX303" s="24">
        <v>0</v>
      </c>
      <c r="DY303" s="24">
        <v>0</v>
      </c>
      <c r="DZ303" s="24">
        <v>0</v>
      </c>
    </row>
    <row r="304" spans="1:130">
      <c r="A304" s="24" t="s">
        <v>142</v>
      </c>
      <c r="B304" s="24" t="s">
        <v>142</v>
      </c>
      <c r="C304" s="24" t="s">
        <v>142</v>
      </c>
      <c r="D304" s="24" t="s">
        <v>142</v>
      </c>
      <c r="E304" s="24">
        <v>94907</v>
      </c>
      <c r="F304" s="24" t="s">
        <v>385</v>
      </c>
      <c r="G304" s="24">
        <v>0</v>
      </c>
      <c r="H304" s="24">
        <v>505009</v>
      </c>
      <c r="I304" s="24" t="s">
        <v>385</v>
      </c>
      <c r="J304" s="24" t="s">
        <v>385</v>
      </c>
      <c r="K304" s="24" t="s">
        <v>638</v>
      </c>
      <c r="M304" s="24">
        <v>102</v>
      </c>
      <c r="N304" s="24">
        <v>0</v>
      </c>
      <c r="P304" s="25">
        <v>2</v>
      </c>
      <c r="Q304" s="25">
        <v>2097152</v>
      </c>
      <c r="R304" s="24">
        <v>0</v>
      </c>
      <c r="S304" s="25">
        <v>0</v>
      </c>
      <c r="T304" s="24"/>
      <c r="U304" s="24">
        <v>0</v>
      </c>
      <c r="V304" s="25">
        <v>0</v>
      </c>
      <c r="W304" s="24">
        <v>0</v>
      </c>
      <c r="X304" s="24">
        <v>0</v>
      </c>
      <c r="Y304" s="24">
        <v>0</v>
      </c>
      <c r="Z304" s="24">
        <v>0</v>
      </c>
      <c r="AB304" s="24">
        <v>10001</v>
      </c>
      <c r="AC304" s="24">
        <v>-1</v>
      </c>
      <c r="AD304" s="24">
        <v>-1</v>
      </c>
      <c r="AE304" s="24">
        <v>-1</v>
      </c>
      <c r="AG304" s="24">
        <v>1</v>
      </c>
      <c r="AH304" s="24">
        <v>0</v>
      </c>
      <c r="AI304" s="24">
        <v>0</v>
      </c>
      <c r="AJ304" s="24">
        <v>0</v>
      </c>
      <c r="AK304" s="24">
        <v>0</v>
      </c>
      <c r="AL304" s="24">
        <v>0</v>
      </c>
      <c r="AM304" s="24">
        <v>0</v>
      </c>
      <c r="AN304" s="24">
        <v>0</v>
      </c>
      <c r="AO304" s="24">
        <v>0</v>
      </c>
      <c r="AP304" s="24">
        <v>0</v>
      </c>
      <c r="AQ304" s="24">
        <v>0</v>
      </c>
      <c r="AR304" s="24">
        <v>0</v>
      </c>
      <c r="AS304" s="24">
        <v>0</v>
      </c>
      <c r="AT304" s="24">
        <v>0</v>
      </c>
      <c r="AU304" s="24">
        <v>0</v>
      </c>
      <c r="AV304" s="24">
        <v>0</v>
      </c>
      <c r="AW304" s="24">
        <v>0</v>
      </c>
      <c r="AX304" s="24">
        <v>0</v>
      </c>
      <c r="AY304" s="24">
        <v>0</v>
      </c>
      <c r="BA304" s="24">
        <v>0</v>
      </c>
      <c r="BB304" s="24">
        <v>500</v>
      </c>
      <c r="BC304" s="24">
        <v>967</v>
      </c>
      <c r="BD304" s="24">
        <v>0</v>
      </c>
      <c r="BE304" s="24">
        <v>200</v>
      </c>
      <c r="BF304" s="24">
        <v>1</v>
      </c>
      <c r="BG304" s="25">
        <v>512</v>
      </c>
      <c r="BH304" s="24">
        <v>4</v>
      </c>
      <c r="BI304" s="24">
        <v>5010</v>
      </c>
      <c r="BJ304" s="24">
        <v>1</v>
      </c>
      <c r="BK304" s="24">
        <v>1</v>
      </c>
      <c r="BL304" s="25">
        <v>126</v>
      </c>
      <c r="BM304" s="24">
        <v>0</v>
      </c>
      <c r="BO304" s="25">
        <v>1</v>
      </c>
      <c r="BP304" s="24">
        <v>0</v>
      </c>
      <c r="BQ304" s="24">
        <v>0</v>
      </c>
      <c r="BR304" s="24">
        <v>1</v>
      </c>
      <c r="BS304" s="24">
        <v>0</v>
      </c>
      <c r="BT304" s="24">
        <v>0</v>
      </c>
      <c r="BU304" s="24">
        <v>0</v>
      </c>
      <c r="BV304" s="24">
        <v>0</v>
      </c>
      <c r="BW304" s="24">
        <v>0</v>
      </c>
      <c r="BX304" s="24">
        <v>1</v>
      </c>
      <c r="BZ304" s="24">
        <v>-1</v>
      </c>
      <c r="CA304" s="24">
        <v>0</v>
      </c>
      <c r="CB304" s="24">
        <v>0</v>
      </c>
      <c r="CC304" s="24">
        <v>0</v>
      </c>
      <c r="CD304" s="24">
        <v>0</v>
      </c>
      <c r="CE304" s="24">
        <v>0</v>
      </c>
      <c r="CG304" s="24">
        <v>-1</v>
      </c>
      <c r="CH304" s="24">
        <v>0</v>
      </c>
      <c r="CI304" s="24">
        <v>0</v>
      </c>
      <c r="CJ304" s="24">
        <v>0</v>
      </c>
      <c r="CK304" s="24">
        <v>0</v>
      </c>
      <c r="CL304" s="24">
        <v>0</v>
      </c>
      <c r="CM304" s="24">
        <v>0</v>
      </c>
      <c r="CN304" s="24">
        <v>0</v>
      </c>
      <c r="CO304" s="24">
        <v>0</v>
      </c>
      <c r="CQ304" s="24">
        <v>0</v>
      </c>
      <c r="CR304" s="24">
        <v>0</v>
      </c>
      <c r="CS304" s="24">
        <v>0</v>
      </c>
      <c r="CT304" s="24">
        <v>0</v>
      </c>
      <c r="CV304" s="24">
        <v>100106</v>
      </c>
      <c r="CW304" s="24">
        <v>0</v>
      </c>
      <c r="CX304" s="24">
        <v>-1</v>
      </c>
      <c r="CY304" s="26">
        <v>0</v>
      </c>
      <c r="CZ304" s="24">
        <v>10</v>
      </c>
      <c r="DA304" s="24">
        <v>0</v>
      </c>
      <c r="DC304" s="24">
        <v>1</v>
      </c>
      <c r="DD304" s="24">
        <v>1</v>
      </c>
      <c r="DE304" s="24">
        <v>0</v>
      </c>
      <c r="DF304" s="24">
        <v>0</v>
      </c>
      <c r="DG304" s="24">
        <v>-1</v>
      </c>
      <c r="DI304" s="24">
        <v>0</v>
      </c>
      <c r="DJ304" s="24">
        <v>0</v>
      </c>
      <c r="DL304" s="24">
        <v>0</v>
      </c>
      <c r="DM304" s="24">
        <v>0</v>
      </c>
      <c r="DO304" s="24">
        <v>0</v>
      </c>
      <c r="DP304" s="24">
        <v>0</v>
      </c>
      <c r="DQ304" s="24">
        <v>0</v>
      </c>
      <c r="DR304" s="24">
        <v>0</v>
      </c>
      <c r="DS304" s="24">
        <v>0</v>
      </c>
      <c r="DT304" s="24">
        <v>0</v>
      </c>
      <c r="DV304" s="24">
        <v>0</v>
      </c>
      <c r="DW304" s="24">
        <v>0</v>
      </c>
      <c r="DX304" s="24">
        <v>0</v>
      </c>
      <c r="DY304" s="24">
        <v>0</v>
      </c>
      <c r="DZ304" s="24">
        <v>0</v>
      </c>
    </row>
    <row r="305" spans="1:130">
      <c r="A305" s="24" t="s">
        <v>142</v>
      </c>
      <c r="B305" s="24" t="s">
        <v>142</v>
      </c>
      <c r="C305" s="24" t="s">
        <v>142</v>
      </c>
      <c r="D305" s="24" t="s">
        <v>142</v>
      </c>
      <c r="E305" s="24">
        <v>94908</v>
      </c>
      <c r="F305" s="24" t="s">
        <v>386</v>
      </c>
      <c r="G305" s="24">
        <v>0</v>
      </c>
      <c r="H305" s="24">
        <v>505011</v>
      </c>
      <c r="I305" s="24" t="s">
        <v>249</v>
      </c>
      <c r="J305" s="24" t="s">
        <v>249</v>
      </c>
      <c r="K305" s="24" t="s">
        <v>473</v>
      </c>
      <c r="M305" s="24">
        <v>102</v>
      </c>
      <c r="N305" s="24">
        <v>0</v>
      </c>
      <c r="P305" s="25">
        <v>2</v>
      </c>
      <c r="Q305" s="25">
        <v>2097153</v>
      </c>
      <c r="R305" s="24">
        <v>94907</v>
      </c>
      <c r="S305" s="25">
        <v>0</v>
      </c>
      <c r="T305" s="24"/>
      <c r="U305" s="24">
        <v>0</v>
      </c>
      <c r="V305" s="25">
        <v>0</v>
      </c>
      <c r="W305" s="24">
        <v>0</v>
      </c>
      <c r="X305" s="24">
        <v>0</v>
      </c>
      <c r="Y305" s="24">
        <v>0</v>
      </c>
      <c r="Z305" s="24">
        <v>0</v>
      </c>
      <c r="AB305" s="24">
        <v>10005</v>
      </c>
      <c r="AC305" s="24">
        <v>1000</v>
      </c>
      <c r="AD305" s="24">
        <v>3</v>
      </c>
      <c r="AE305" s="24">
        <v>100107</v>
      </c>
      <c r="AG305" s="24">
        <v>1</v>
      </c>
      <c r="AH305" s="24">
        <v>0</v>
      </c>
      <c r="AI305" s="24">
        <v>0</v>
      </c>
      <c r="AJ305" s="24">
        <v>0</v>
      </c>
      <c r="AK305" s="24">
        <v>0</v>
      </c>
      <c r="AL305" s="24">
        <v>0</v>
      </c>
      <c r="AM305" s="24">
        <v>0</v>
      </c>
      <c r="AN305" s="24">
        <v>0</v>
      </c>
      <c r="AO305" s="24">
        <v>0</v>
      </c>
      <c r="AP305" s="24">
        <v>0</v>
      </c>
      <c r="AQ305" s="24">
        <v>0</v>
      </c>
      <c r="AR305" s="24">
        <v>0</v>
      </c>
      <c r="AS305" s="24">
        <v>0</v>
      </c>
      <c r="AT305" s="24">
        <v>0</v>
      </c>
      <c r="AU305" s="24">
        <v>0</v>
      </c>
      <c r="AV305" s="24">
        <v>0</v>
      </c>
      <c r="AW305" s="24">
        <v>0</v>
      </c>
      <c r="AX305" s="24">
        <v>0</v>
      </c>
      <c r="AY305" s="24">
        <v>0</v>
      </c>
      <c r="BA305" s="24">
        <v>0</v>
      </c>
      <c r="BB305" s="24">
        <v>500</v>
      </c>
      <c r="BC305" s="24">
        <v>967</v>
      </c>
      <c r="BD305" s="24">
        <v>0</v>
      </c>
      <c r="BE305" s="24">
        <v>0</v>
      </c>
      <c r="BF305" s="24">
        <v>1</v>
      </c>
      <c r="BG305" s="25">
        <v>512</v>
      </c>
      <c r="BH305" s="24">
        <v>3</v>
      </c>
      <c r="BI305" s="24">
        <v>0</v>
      </c>
      <c r="BJ305" s="24">
        <v>0</v>
      </c>
      <c r="BK305" s="24">
        <v>0</v>
      </c>
      <c r="BL305" s="25">
        <v>126</v>
      </c>
      <c r="BM305" s="24">
        <v>0</v>
      </c>
      <c r="BO305" s="25">
        <v>1</v>
      </c>
      <c r="BP305" s="24">
        <v>0</v>
      </c>
      <c r="BQ305" s="24">
        <v>0</v>
      </c>
      <c r="BR305" s="24">
        <v>1</v>
      </c>
      <c r="BS305" s="24">
        <v>0</v>
      </c>
      <c r="BT305" s="24">
        <v>0</v>
      </c>
      <c r="BU305" s="24">
        <v>0</v>
      </c>
      <c r="BV305" s="24">
        <v>0</v>
      </c>
      <c r="BW305" s="24">
        <v>0</v>
      </c>
      <c r="BX305" s="24">
        <v>1</v>
      </c>
      <c r="BZ305" s="24">
        <v>94908</v>
      </c>
      <c r="CA305" s="24">
        <v>0</v>
      </c>
      <c r="CB305" s="24">
        <v>0</v>
      </c>
      <c r="CC305" s="24">
        <v>0</v>
      </c>
      <c r="CD305" s="24">
        <v>0</v>
      </c>
      <c r="CE305" s="24">
        <v>0</v>
      </c>
      <c r="CG305" s="24">
        <v>-1</v>
      </c>
      <c r="CH305" s="24">
        <v>0</v>
      </c>
      <c r="CI305" s="24">
        <v>0</v>
      </c>
      <c r="CJ305" s="24">
        <v>0</v>
      </c>
      <c r="CK305" s="24">
        <v>0</v>
      </c>
      <c r="CL305" s="24">
        <v>0</v>
      </c>
      <c r="CM305" s="24">
        <v>0</v>
      </c>
      <c r="CN305" s="24">
        <v>0</v>
      </c>
      <c r="CO305" s="24">
        <v>0</v>
      </c>
      <c r="CQ305" s="24">
        <v>0</v>
      </c>
      <c r="CR305" s="24">
        <v>0</v>
      </c>
      <c r="CS305" s="24">
        <v>0</v>
      </c>
      <c r="CT305" s="24">
        <v>0</v>
      </c>
      <c r="CV305" s="24">
        <v>100106</v>
      </c>
      <c r="CW305" s="24">
        <v>0</v>
      </c>
      <c r="CX305" s="24">
        <v>-1</v>
      </c>
      <c r="CY305" s="26">
        <v>0</v>
      </c>
      <c r="CZ305" s="24">
        <v>10</v>
      </c>
      <c r="DA305" s="24">
        <v>0</v>
      </c>
      <c r="DC305" s="24">
        <v>1</v>
      </c>
      <c r="DD305" s="24">
        <v>1</v>
      </c>
      <c r="DE305" s="24">
        <v>0</v>
      </c>
      <c r="DF305" s="24">
        <v>0</v>
      </c>
      <c r="DG305" s="24">
        <v>-1</v>
      </c>
      <c r="DI305" s="24">
        <v>0</v>
      </c>
      <c r="DJ305" s="24">
        <v>0</v>
      </c>
      <c r="DL305" s="24">
        <v>0</v>
      </c>
      <c r="DM305" s="24">
        <v>0</v>
      </c>
      <c r="DO305" s="24">
        <v>0</v>
      </c>
      <c r="DP305" s="24">
        <v>0</v>
      </c>
      <c r="DQ305" s="24">
        <v>0</v>
      </c>
      <c r="DR305" s="24">
        <v>0</v>
      </c>
      <c r="DS305" s="24">
        <v>0</v>
      </c>
      <c r="DT305" s="24">
        <v>0</v>
      </c>
      <c r="DV305" s="24">
        <v>0</v>
      </c>
      <c r="DW305" s="24">
        <v>3001</v>
      </c>
      <c r="DX305" s="24">
        <v>3002</v>
      </c>
      <c r="DY305" s="24">
        <v>0</v>
      </c>
      <c r="DZ305" s="24">
        <v>0</v>
      </c>
    </row>
    <row r="306" spans="1:130">
      <c r="A306" s="24" t="s">
        <v>142</v>
      </c>
      <c r="B306" s="24" t="s">
        <v>142</v>
      </c>
      <c r="C306" s="24" t="s">
        <v>142</v>
      </c>
      <c r="D306" s="24" t="s">
        <v>142</v>
      </c>
      <c r="E306" s="24">
        <v>94909</v>
      </c>
      <c r="F306" s="24" t="s">
        <v>383</v>
      </c>
      <c r="G306" s="24">
        <v>0</v>
      </c>
      <c r="H306" s="24">
        <v>505012</v>
      </c>
      <c r="I306" s="24" t="s">
        <v>383</v>
      </c>
      <c r="J306" s="24" t="s">
        <v>383</v>
      </c>
      <c r="K306" s="24" t="s">
        <v>473</v>
      </c>
      <c r="M306" s="24">
        <v>0</v>
      </c>
      <c r="N306" s="24">
        <v>0</v>
      </c>
      <c r="P306" s="25">
        <v>12</v>
      </c>
      <c r="Q306" s="25">
        <v>0</v>
      </c>
      <c r="R306" s="24">
        <v>0</v>
      </c>
      <c r="S306" s="25">
        <v>0</v>
      </c>
      <c r="T306" s="24"/>
      <c r="U306" s="24">
        <v>1</v>
      </c>
      <c r="V306" s="25">
        <v>2050</v>
      </c>
      <c r="W306" s="24">
        <v>1</v>
      </c>
      <c r="X306" s="24">
        <v>94904</v>
      </c>
      <c r="Y306" s="24">
        <v>0</v>
      </c>
      <c r="Z306" s="24">
        <v>1000</v>
      </c>
      <c r="AB306" s="24">
        <v>30001</v>
      </c>
      <c r="AC306" s="24">
        <v>-1</v>
      </c>
      <c r="AD306" s="24">
        <v>-1</v>
      </c>
      <c r="AE306" s="24">
        <v>-1</v>
      </c>
      <c r="AG306" s="24">
        <v>1</v>
      </c>
      <c r="AH306" s="24">
        <v>0</v>
      </c>
      <c r="AI306" s="24">
        <v>0</v>
      </c>
      <c r="AJ306" s="24">
        <v>0</v>
      </c>
      <c r="AK306" s="24">
        <v>0</v>
      </c>
      <c r="AL306" s="24">
        <v>0</v>
      </c>
      <c r="AM306" s="24">
        <v>0</v>
      </c>
      <c r="AN306" s="24">
        <v>0</v>
      </c>
      <c r="AO306" s="24">
        <v>0</v>
      </c>
      <c r="AP306" s="24">
        <v>0</v>
      </c>
      <c r="AQ306" s="24">
        <v>0</v>
      </c>
      <c r="AR306" s="24">
        <v>0</v>
      </c>
      <c r="AS306" s="24">
        <v>0</v>
      </c>
      <c r="AT306" s="24">
        <v>0</v>
      </c>
      <c r="AU306" s="24">
        <v>0</v>
      </c>
      <c r="AV306" s="24">
        <v>0</v>
      </c>
      <c r="AW306" s="24">
        <v>0</v>
      </c>
      <c r="AX306" s="24">
        <v>0</v>
      </c>
      <c r="AY306" s="24">
        <v>0</v>
      </c>
      <c r="BA306" s="24">
        <v>0</v>
      </c>
      <c r="BB306" s="24">
        <v>0</v>
      </c>
      <c r="BC306" s="24">
        <v>0</v>
      </c>
      <c r="BD306" s="24">
        <v>0</v>
      </c>
      <c r="BE306" s="24">
        <v>200</v>
      </c>
      <c r="BF306" s="24">
        <v>1</v>
      </c>
      <c r="BG306" s="25">
        <v>512</v>
      </c>
      <c r="BH306" s="24">
        <v>4</v>
      </c>
      <c r="BI306" s="24">
        <v>5009</v>
      </c>
      <c r="BJ306" s="24">
        <v>1</v>
      </c>
      <c r="BK306" s="24">
        <v>1</v>
      </c>
      <c r="BL306" s="25">
        <v>126</v>
      </c>
      <c r="BM306" s="24">
        <v>0</v>
      </c>
      <c r="BO306" s="25">
        <v>1</v>
      </c>
      <c r="BP306" s="24">
        <v>0</v>
      </c>
      <c r="BQ306" s="24">
        <v>0</v>
      </c>
      <c r="BR306" s="24">
        <v>1</v>
      </c>
      <c r="BS306" s="24">
        <v>0</v>
      </c>
      <c r="BT306" s="24">
        <v>0</v>
      </c>
      <c r="BU306" s="24">
        <v>0</v>
      </c>
      <c r="BV306" s="24">
        <v>0</v>
      </c>
      <c r="BW306" s="24">
        <v>0</v>
      </c>
      <c r="BX306" s="24">
        <v>1</v>
      </c>
      <c r="BZ306" s="24">
        <v>-1</v>
      </c>
      <c r="CA306" s="24">
        <v>0</v>
      </c>
      <c r="CB306" s="24">
        <v>0</v>
      </c>
      <c r="CC306" s="24">
        <v>0</v>
      </c>
      <c r="CD306" s="24">
        <v>0</v>
      </c>
      <c r="CE306" s="24">
        <v>0</v>
      </c>
      <c r="CG306" s="24">
        <v>-1</v>
      </c>
      <c r="CH306" s="24">
        <v>0</v>
      </c>
      <c r="CI306" s="24">
        <v>0</v>
      </c>
      <c r="CJ306" s="24">
        <v>0</v>
      </c>
      <c r="CK306" s="24">
        <v>0</v>
      </c>
      <c r="CL306" s="24">
        <v>0</v>
      </c>
      <c r="CM306" s="24">
        <v>0</v>
      </c>
      <c r="CN306" s="24">
        <v>0</v>
      </c>
      <c r="CO306" s="24">
        <v>0</v>
      </c>
      <c r="CQ306" s="24">
        <v>0</v>
      </c>
      <c r="CR306" s="24">
        <v>0</v>
      </c>
      <c r="CS306" s="24">
        <v>0</v>
      </c>
      <c r="CT306" s="24">
        <v>0</v>
      </c>
      <c r="CV306" s="24">
        <v>0</v>
      </c>
      <c r="CW306" s="24">
        <v>0</v>
      </c>
      <c r="CX306" s="24">
        <v>-1</v>
      </c>
      <c r="CY306" s="26">
        <v>0</v>
      </c>
      <c r="CZ306" s="24">
        <v>0</v>
      </c>
      <c r="DA306" s="24">
        <v>0</v>
      </c>
      <c r="DC306" s="24">
        <v>1</v>
      </c>
      <c r="DD306" s="24">
        <v>1</v>
      </c>
      <c r="DE306" s="24">
        <v>0</v>
      </c>
      <c r="DF306" s="24">
        <v>0</v>
      </c>
      <c r="DG306" s="24">
        <v>-1</v>
      </c>
      <c r="DI306" s="24">
        <v>0</v>
      </c>
      <c r="DJ306" s="24">
        <v>0</v>
      </c>
      <c r="DL306" s="24">
        <v>0</v>
      </c>
      <c r="DM306" s="24">
        <v>0</v>
      </c>
      <c r="DO306" s="24">
        <v>0</v>
      </c>
      <c r="DP306" s="24">
        <v>0</v>
      </c>
      <c r="DQ306" s="24">
        <v>0</v>
      </c>
      <c r="DR306" s="24">
        <v>0</v>
      </c>
      <c r="DS306" s="24">
        <v>0</v>
      </c>
      <c r="DT306" s="24">
        <v>0</v>
      </c>
      <c r="DV306" s="24">
        <v>0</v>
      </c>
      <c r="DW306" s="24">
        <v>0</v>
      </c>
      <c r="DX306" s="24">
        <v>0</v>
      </c>
      <c r="DY306" s="24">
        <v>0</v>
      </c>
      <c r="DZ306" s="24">
        <v>0</v>
      </c>
    </row>
    <row r="307" spans="1:130">
      <c r="A307" s="24" t="s">
        <v>142</v>
      </c>
      <c r="B307" s="24" t="s">
        <v>142</v>
      </c>
      <c r="C307" s="24" t="s">
        <v>142</v>
      </c>
      <c r="D307" s="24" t="s">
        <v>142</v>
      </c>
      <c r="E307" s="24">
        <v>94910</v>
      </c>
      <c r="F307" s="24" t="s">
        <v>392</v>
      </c>
      <c r="G307" s="24">
        <v>0</v>
      </c>
      <c r="H307" s="24">
        <v>505013</v>
      </c>
      <c r="I307" s="24" t="s">
        <v>392</v>
      </c>
      <c r="J307" s="24" t="s">
        <v>392</v>
      </c>
      <c r="K307" s="24" t="s">
        <v>473</v>
      </c>
      <c r="M307" s="24">
        <v>0</v>
      </c>
      <c r="N307" s="24">
        <v>0</v>
      </c>
      <c r="P307" s="25">
        <v>28</v>
      </c>
      <c r="Q307" s="25">
        <v>0</v>
      </c>
      <c r="R307" s="24">
        <v>0</v>
      </c>
      <c r="S307" s="25">
        <v>0</v>
      </c>
      <c r="T307" s="24"/>
      <c r="U307" s="24">
        <v>3</v>
      </c>
      <c r="V307" s="25">
        <v>1052673</v>
      </c>
      <c r="W307" s="24">
        <v>1</v>
      </c>
      <c r="X307" s="24">
        <v>0</v>
      </c>
      <c r="Y307" s="24">
        <v>0</v>
      </c>
      <c r="Z307" s="24">
        <v>1000</v>
      </c>
      <c r="AB307" s="24">
        <v>30001</v>
      </c>
      <c r="AC307" s="24">
        <v>0</v>
      </c>
      <c r="AD307" s="24">
        <v>0</v>
      </c>
      <c r="AE307" s="24">
        <v>0</v>
      </c>
      <c r="AG307" s="24">
        <v>1</v>
      </c>
      <c r="AH307" s="24">
        <v>0</v>
      </c>
      <c r="AI307" s="24">
        <v>0</v>
      </c>
      <c r="AJ307" s="24">
        <v>0</v>
      </c>
      <c r="AK307" s="24">
        <v>0</v>
      </c>
      <c r="AL307" s="24">
        <v>0</v>
      </c>
      <c r="AM307" s="24">
        <v>0</v>
      </c>
      <c r="AN307" s="24">
        <v>0</v>
      </c>
      <c r="AO307" s="24">
        <v>0</v>
      </c>
      <c r="AP307" s="24">
        <v>0</v>
      </c>
      <c r="AQ307" s="24">
        <v>0</v>
      </c>
      <c r="AR307" s="24">
        <v>0</v>
      </c>
      <c r="AS307" s="24">
        <v>0</v>
      </c>
      <c r="AT307" s="24">
        <v>0</v>
      </c>
      <c r="AU307" s="24">
        <v>0</v>
      </c>
      <c r="AV307" s="24">
        <v>0</v>
      </c>
      <c r="AW307" s="24">
        <v>0</v>
      </c>
      <c r="AX307" s="24">
        <v>0</v>
      </c>
      <c r="AY307" s="24">
        <v>0</v>
      </c>
      <c r="BA307" s="24">
        <v>0</v>
      </c>
      <c r="BB307" s="24">
        <v>0</v>
      </c>
      <c r="BC307" s="24">
        <v>0</v>
      </c>
      <c r="BD307" s="24">
        <v>0</v>
      </c>
      <c r="BE307" s="24">
        <v>0</v>
      </c>
      <c r="BF307" s="24">
        <v>1</v>
      </c>
      <c r="BG307" s="25">
        <v>1024</v>
      </c>
      <c r="BH307" s="24">
        <v>4</v>
      </c>
      <c r="BI307" s="24">
        <v>5014</v>
      </c>
      <c r="BJ307" s="24">
        <v>1</v>
      </c>
      <c r="BK307" s="24">
        <v>1</v>
      </c>
      <c r="BL307" s="25">
        <v>126</v>
      </c>
      <c r="BM307" s="24">
        <v>0</v>
      </c>
      <c r="BO307" s="25">
        <v>4</v>
      </c>
      <c r="BP307" s="24">
        <v>0</v>
      </c>
      <c r="BQ307" s="24">
        <v>0</v>
      </c>
      <c r="BR307" s="24">
        <v>1</v>
      </c>
      <c r="BS307" s="24">
        <v>0</v>
      </c>
      <c r="BT307" s="24">
        <v>0</v>
      </c>
      <c r="BU307" s="24">
        <v>0</v>
      </c>
      <c r="BV307" s="24">
        <v>0</v>
      </c>
      <c r="BW307" s="24">
        <v>0</v>
      </c>
      <c r="BX307" s="24">
        <v>1</v>
      </c>
      <c r="BZ307" s="24">
        <v>-1</v>
      </c>
      <c r="CA307" s="24">
        <v>0</v>
      </c>
      <c r="CB307" s="24">
        <v>0</v>
      </c>
      <c r="CC307" s="24">
        <v>0</v>
      </c>
      <c r="CD307" s="24">
        <v>0</v>
      </c>
      <c r="CE307" s="24">
        <v>0</v>
      </c>
      <c r="CG307" s="24">
        <v>-1</v>
      </c>
      <c r="CH307" s="24">
        <v>0</v>
      </c>
      <c r="CI307" s="24">
        <v>0</v>
      </c>
      <c r="CJ307" s="24">
        <v>0</v>
      </c>
      <c r="CK307" s="24">
        <v>0</v>
      </c>
      <c r="CL307" s="24">
        <v>0</v>
      </c>
      <c r="CM307" s="24">
        <v>0</v>
      </c>
      <c r="CN307" s="24">
        <v>0</v>
      </c>
      <c r="CO307" s="24">
        <v>0</v>
      </c>
      <c r="CQ307" s="24">
        <v>0</v>
      </c>
      <c r="CR307" s="24">
        <v>0</v>
      </c>
      <c r="CS307" s="24">
        <v>0</v>
      </c>
      <c r="CT307" s="24">
        <v>0</v>
      </c>
      <c r="CV307" s="24">
        <v>0</v>
      </c>
      <c r="CW307" s="24">
        <v>0</v>
      </c>
      <c r="CX307" s="24">
        <v>-1</v>
      </c>
      <c r="CY307" s="26">
        <v>0</v>
      </c>
      <c r="CZ307" s="24">
        <v>0</v>
      </c>
      <c r="DA307" s="24">
        <v>0</v>
      </c>
      <c r="DC307" s="24">
        <v>1</v>
      </c>
      <c r="DD307" s="24">
        <v>1</v>
      </c>
      <c r="DE307" s="24">
        <v>0</v>
      </c>
      <c r="DF307" s="24">
        <v>0</v>
      </c>
      <c r="DG307" s="24">
        <v>-1</v>
      </c>
      <c r="DI307" s="24">
        <v>0</v>
      </c>
      <c r="DJ307" s="24">
        <v>0</v>
      </c>
      <c r="DL307" s="24">
        <v>0</v>
      </c>
      <c r="DM307" s="24">
        <v>0</v>
      </c>
      <c r="DO307" s="24">
        <v>0</v>
      </c>
      <c r="DP307" s="24">
        <v>0</v>
      </c>
      <c r="DQ307" s="24">
        <v>0</v>
      </c>
      <c r="DR307" s="24">
        <v>0</v>
      </c>
      <c r="DS307" s="24">
        <v>0</v>
      </c>
      <c r="DT307" s="24">
        <v>0</v>
      </c>
      <c r="DV307" s="24">
        <v>0</v>
      </c>
      <c r="DW307" s="24">
        <v>0</v>
      </c>
      <c r="DX307" s="24">
        <v>0</v>
      </c>
      <c r="DY307" s="24">
        <v>0</v>
      </c>
      <c r="DZ307" s="24">
        <v>0</v>
      </c>
    </row>
    <row r="308" spans="1:130">
      <c r="A308" s="24" t="s">
        <v>142</v>
      </c>
      <c r="B308" s="24" t="s">
        <v>142</v>
      </c>
      <c r="C308" s="24" t="s">
        <v>142</v>
      </c>
      <c r="D308" s="24" t="s">
        <v>142</v>
      </c>
      <c r="E308" s="24">
        <v>94911</v>
      </c>
      <c r="F308" s="24" t="s">
        <v>500</v>
      </c>
      <c r="G308" s="24">
        <v>0</v>
      </c>
      <c r="H308" s="24">
        <v>505014</v>
      </c>
      <c r="I308" s="24" t="s">
        <v>500</v>
      </c>
      <c r="J308" s="24" t="s">
        <v>500</v>
      </c>
      <c r="K308" s="24" t="s">
        <v>473</v>
      </c>
      <c r="M308" s="24">
        <v>102</v>
      </c>
      <c r="N308" s="24">
        <v>0</v>
      </c>
      <c r="P308" s="25">
        <v>2</v>
      </c>
      <c r="Q308" s="25">
        <v>524288</v>
      </c>
      <c r="R308" s="24">
        <v>0</v>
      </c>
      <c r="S308" s="25">
        <v>0</v>
      </c>
      <c r="T308" s="24"/>
      <c r="U308" s="24">
        <v>0</v>
      </c>
      <c r="V308" s="25">
        <v>0</v>
      </c>
      <c r="W308" s="24">
        <v>0</v>
      </c>
      <c r="X308" s="24">
        <v>0</v>
      </c>
      <c r="Y308" s="24">
        <v>0</v>
      </c>
      <c r="Z308" s="24">
        <v>0</v>
      </c>
      <c r="AB308" s="24">
        <v>10001</v>
      </c>
      <c r="AC308" s="24">
        <v>-1</v>
      </c>
      <c r="AD308" s="24">
        <v>-1</v>
      </c>
      <c r="AE308" s="24">
        <v>-1</v>
      </c>
      <c r="AG308" s="24">
        <v>1</v>
      </c>
      <c r="AH308" s="24">
        <v>0</v>
      </c>
      <c r="AI308" s="24">
        <v>0</v>
      </c>
      <c r="AJ308" s="24">
        <v>0</v>
      </c>
      <c r="AK308" s="24">
        <v>0</v>
      </c>
      <c r="AL308" s="24">
        <v>0</v>
      </c>
      <c r="AM308" s="24">
        <v>0</v>
      </c>
      <c r="AN308" s="24">
        <v>0</v>
      </c>
      <c r="AO308" s="24">
        <v>0</v>
      </c>
      <c r="AP308" s="24">
        <v>0</v>
      </c>
      <c r="AQ308" s="24">
        <v>0</v>
      </c>
      <c r="AR308" s="24">
        <v>0</v>
      </c>
      <c r="AS308" s="24">
        <v>0</v>
      </c>
      <c r="AT308" s="24">
        <v>0</v>
      </c>
      <c r="AU308" s="24">
        <v>0</v>
      </c>
      <c r="AV308" s="24">
        <v>0</v>
      </c>
      <c r="AW308" s="24">
        <v>0</v>
      </c>
      <c r="AX308" s="24">
        <v>0</v>
      </c>
      <c r="AY308" s="24">
        <v>0</v>
      </c>
      <c r="BA308" s="24">
        <v>0</v>
      </c>
      <c r="BB308" s="24">
        <v>1233</v>
      </c>
      <c r="BC308" s="24">
        <v>1533</v>
      </c>
      <c r="BD308" s="24">
        <v>0</v>
      </c>
      <c r="BE308" s="24">
        <v>300</v>
      </c>
      <c r="BF308" s="24">
        <v>1</v>
      </c>
      <c r="BG308" s="25">
        <v>512</v>
      </c>
      <c r="BH308" s="24">
        <v>4</v>
      </c>
      <c r="BI308" s="24">
        <v>5015</v>
      </c>
      <c r="BJ308" s="24">
        <v>1</v>
      </c>
      <c r="BK308" s="24">
        <v>1</v>
      </c>
      <c r="BL308" s="25">
        <v>126</v>
      </c>
      <c r="BM308" s="24">
        <v>0</v>
      </c>
      <c r="BO308" s="25">
        <v>1</v>
      </c>
      <c r="BP308" s="24">
        <v>10</v>
      </c>
      <c r="BQ308" s="24">
        <v>0</v>
      </c>
      <c r="BR308" s="24">
        <v>2</v>
      </c>
      <c r="BS308" s="24">
        <v>100</v>
      </c>
      <c r="BT308" s="24">
        <v>0</v>
      </c>
      <c r="BU308" s="24">
        <v>0</v>
      </c>
      <c r="BV308" s="24">
        <v>5</v>
      </c>
      <c r="BW308" s="24">
        <v>0</v>
      </c>
      <c r="BX308" s="24">
        <v>4</v>
      </c>
      <c r="BZ308" s="24">
        <v>-1</v>
      </c>
      <c r="CA308" s="24">
        <v>0</v>
      </c>
      <c r="CB308" s="24">
        <v>0</v>
      </c>
      <c r="CC308" s="24">
        <v>0</v>
      </c>
      <c r="CD308" s="24">
        <v>0</v>
      </c>
      <c r="CE308" s="24">
        <v>0</v>
      </c>
      <c r="CG308" s="24">
        <v>-1</v>
      </c>
      <c r="CH308" s="24">
        <v>0</v>
      </c>
      <c r="CI308" s="24">
        <v>0</v>
      </c>
      <c r="CJ308" s="24">
        <v>0</v>
      </c>
      <c r="CK308" s="24">
        <v>0</v>
      </c>
      <c r="CL308" s="24">
        <v>0</v>
      </c>
      <c r="CM308" s="24">
        <v>0</v>
      </c>
      <c r="CN308" s="24">
        <v>0</v>
      </c>
      <c r="CO308" s="24">
        <v>0</v>
      </c>
      <c r="CQ308" s="24">
        <v>0</v>
      </c>
      <c r="CR308" s="24">
        <v>0</v>
      </c>
      <c r="CS308" s="24">
        <v>0</v>
      </c>
      <c r="CT308" s="24">
        <v>0</v>
      </c>
      <c r="CV308" s="24">
        <v>100108</v>
      </c>
      <c r="CW308" s="24">
        <v>17</v>
      </c>
      <c r="CX308" s="24">
        <v>1004</v>
      </c>
      <c r="CY308" s="26">
        <v>1</v>
      </c>
      <c r="CZ308" s="24">
        <v>3</v>
      </c>
      <c r="DA308" s="24">
        <v>0</v>
      </c>
      <c r="DC308" s="24">
        <v>1</v>
      </c>
      <c r="DD308" s="24">
        <v>1</v>
      </c>
      <c r="DE308" s="24">
        <v>0</v>
      </c>
      <c r="DF308" s="24">
        <v>0</v>
      </c>
      <c r="DG308" s="24">
        <v>-1</v>
      </c>
      <c r="DI308" s="24">
        <v>0</v>
      </c>
      <c r="DJ308" s="24">
        <v>0</v>
      </c>
      <c r="DL308" s="24">
        <v>0</v>
      </c>
      <c r="DM308" s="24">
        <v>0</v>
      </c>
      <c r="DO308" s="24">
        <v>0</v>
      </c>
      <c r="DP308" s="24">
        <v>0</v>
      </c>
      <c r="DQ308" s="24">
        <v>0</v>
      </c>
      <c r="DR308" s="24">
        <v>0</v>
      </c>
      <c r="DS308" s="24">
        <v>0</v>
      </c>
      <c r="DT308" s="24">
        <v>0</v>
      </c>
      <c r="DV308" s="24">
        <v>0</v>
      </c>
      <c r="DW308" s="24">
        <v>0</v>
      </c>
      <c r="DX308" s="24">
        <v>0</v>
      </c>
      <c r="DY308" s="24">
        <v>0</v>
      </c>
      <c r="DZ308" s="24">
        <v>0</v>
      </c>
    </row>
    <row r="309" spans="1:130">
      <c r="BO309" s="25" t="s">
        <v>639</v>
      </c>
    </row>
    <row r="310" spans="1:130">
      <c r="BO310" s="25" t="s">
        <v>639</v>
      </c>
    </row>
    <row r="311" spans="1:130">
      <c r="E311" s="48" t="s">
        <v>1128</v>
      </c>
      <c r="K311" s="24">
        <v>0</v>
      </c>
      <c r="S311" s="25"/>
      <c r="T311" s="24"/>
      <c r="BO311" s="25" t="s">
        <v>639</v>
      </c>
      <c r="CV311" s="24" t="s">
        <v>639</v>
      </c>
    </row>
    <row r="312" spans="1:130">
      <c r="G312" s="24" t="s">
        <v>639</v>
      </c>
      <c r="K312" s="24" t="s">
        <v>639</v>
      </c>
      <c r="S312" s="25"/>
      <c r="T312" s="24"/>
      <c r="BO312" s="25" t="s">
        <v>639</v>
      </c>
      <c r="CV312" s="24" t="s">
        <v>639</v>
      </c>
      <c r="DC312" s="24" t="s">
        <v>639</v>
      </c>
      <c r="DD312" s="24" t="s">
        <v>639</v>
      </c>
      <c r="DE312" s="24" t="s">
        <v>639</v>
      </c>
      <c r="DF312" s="24" t="s">
        <v>639</v>
      </c>
      <c r="DG312" s="24" t="s">
        <v>639</v>
      </c>
      <c r="DI312" s="24" t="s">
        <v>639</v>
      </c>
      <c r="DJ312" s="24" t="s">
        <v>639</v>
      </c>
      <c r="DL312" s="24" t="s">
        <v>639</v>
      </c>
      <c r="DM312" s="24" t="s">
        <v>639</v>
      </c>
      <c r="DO312" s="24" t="s">
        <v>639</v>
      </c>
      <c r="DP312" s="24" t="s">
        <v>639</v>
      </c>
      <c r="DQ312" s="24" t="s">
        <v>639</v>
      </c>
      <c r="DR312" s="24" t="s">
        <v>639</v>
      </c>
      <c r="DS312" s="24" t="s">
        <v>639</v>
      </c>
      <c r="DT312" s="24" t="s">
        <v>639</v>
      </c>
      <c r="DV312" s="24" t="s">
        <v>639</v>
      </c>
      <c r="DW312" s="24" t="s">
        <v>639</v>
      </c>
      <c r="DX312" s="24" t="s">
        <v>639</v>
      </c>
      <c r="DY312" s="24" t="s">
        <v>639</v>
      </c>
      <c r="DZ312" s="24" t="s">
        <v>639</v>
      </c>
    </row>
    <row r="313" spans="1:130">
      <c r="A313" s="24" t="s">
        <v>142</v>
      </c>
      <c r="B313" s="24" t="s">
        <v>142</v>
      </c>
      <c r="C313" s="24" t="s">
        <v>142</v>
      </c>
      <c r="D313" s="24" t="s">
        <v>142</v>
      </c>
      <c r="E313" s="24">
        <v>104900</v>
      </c>
      <c r="F313" s="24" t="s">
        <v>631</v>
      </c>
      <c r="G313" s="24">
        <v>0</v>
      </c>
      <c r="H313" s="24">
        <v>0</v>
      </c>
      <c r="I313" s="24" t="s">
        <v>591</v>
      </c>
      <c r="J313" s="24" t="s">
        <v>591</v>
      </c>
      <c r="K313" s="24" t="s">
        <v>819</v>
      </c>
      <c r="M313" s="24">
        <v>102</v>
      </c>
      <c r="N313" s="14">
        <v>0</v>
      </c>
      <c r="O313" s="14"/>
      <c r="P313" s="25">
        <v>2</v>
      </c>
      <c r="Q313" s="25">
        <v>590848</v>
      </c>
      <c r="R313" s="24">
        <v>0</v>
      </c>
      <c r="S313" s="25">
        <v>0</v>
      </c>
      <c r="T313" s="24"/>
      <c r="U313" s="24">
        <v>0</v>
      </c>
      <c r="V313" s="25">
        <v>0</v>
      </c>
      <c r="W313" s="24">
        <v>0</v>
      </c>
      <c r="X313" s="14">
        <v>0</v>
      </c>
      <c r="Y313" s="24">
        <v>0</v>
      </c>
      <c r="Z313" s="24">
        <v>0</v>
      </c>
      <c r="AB313" s="24">
        <v>10001</v>
      </c>
      <c r="AC313" s="24">
        <v>-1</v>
      </c>
      <c r="AD313" s="24">
        <v>-1</v>
      </c>
      <c r="AE313" s="24">
        <v>-1</v>
      </c>
      <c r="AG313" s="24">
        <v>2</v>
      </c>
      <c r="AH313" s="24">
        <v>24</v>
      </c>
      <c r="AI313" s="24">
        <v>0</v>
      </c>
      <c r="AJ313" s="24">
        <v>0</v>
      </c>
      <c r="AK313" s="24">
        <v>1</v>
      </c>
      <c r="AL313" s="24">
        <v>5</v>
      </c>
      <c r="AM313" s="24">
        <v>0</v>
      </c>
      <c r="AN313" s="24">
        <v>0</v>
      </c>
      <c r="AO313" s="24">
        <v>0</v>
      </c>
      <c r="AP313" s="24">
        <v>1000</v>
      </c>
      <c r="AQ313" s="24">
        <v>80</v>
      </c>
      <c r="AR313" s="24">
        <v>0</v>
      </c>
      <c r="AS313" s="24">
        <v>0</v>
      </c>
      <c r="AT313" s="24">
        <v>0</v>
      </c>
      <c r="AU313" s="24">
        <v>2012</v>
      </c>
      <c r="AV313" s="24">
        <v>2013</v>
      </c>
      <c r="AW313" s="24">
        <v>0</v>
      </c>
      <c r="AX313" s="24">
        <v>6007</v>
      </c>
      <c r="AY313" s="24">
        <v>0</v>
      </c>
      <c r="BA313" s="24">
        <v>0</v>
      </c>
      <c r="BB313" s="24">
        <v>1000</v>
      </c>
      <c r="BC313" s="24">
        <v>1200</v>
      </c>
      <c r="BD313" s="24">
        <v>0</v>
      </c>
      <c r="BE313" s="24">
        <v>200</v>
      </c>
      <c r="BF313" s="24">
        <v>5</v>
      </c>
      <c r="BG313" s="25">
        <v>1</v>
      </c>
      <c r="BH313" s="25">
        <v>1</v>
      </c>
      <c r="BI313" s="24">
        <v>0</v>
      </c>
      <c r="BJ313" s="24">
        <v>0</v>
      </c>
      <c r="BK313" s="24">
        <v>0</v>
      </c>
      <c r="BL313" s="25">
        <v>126</v>
      </c>
      <c r="BM313" s="24">
        <v>0</v>
      </c>
      <c r="BO313" s="25">
        <v>8</v>
      </c>
      <c r="BP313" s="14">
        <v>20</v>
      </c>
      <c r="BQ313" s="24">
        <v>0</v>
      </c>
      <c r="BR313" s="24">
        <v>1</v>
      </c>
      <c r="BS313" s="24">
        <v>0</v>
      </c>
      <c r="BT313" s="24">
        <v>0</v>
      </c>
      <c r="BU313" s="24">
        <v>0</v>
      </c>
      <c r="BV313" s="24">
        <v>6</v>
      </c>
      <c r="BW313" s="24">
        <v>0</v>
      </c>
      <c r="BX313" s="24">
        <v>0</v>
      </c>
      <c r="BZ313" s="24">
        <v>-1</v>
      </c>
      <c r="CA313" s="24">
        <v>0</v>
      </c>
      <c r="CB313" s="24">
        <v>0</v>
      </c>
      <c r="CC313" s="24">
        <v>0</v>
      </c>
      <c r="CD313" s="24">
        <v>0</v>
      </c>
      <c r="CE313" s="24">
        <v>0</v>
      </c>
      <c r="CG313" s="24">
        <v>-1</v>
      </c>
      <c r="CH313" s="24">
        <v>0</v>
      </c>
      <c r="CI313" s="24">
        <v>0</v>
      </c>
      <c r="CJ313" s="24">
        <v>0</v>
      </c>
      <c r="CK313" s="24">
        <v>0</v>
      </c>
      <c r="CL313" s="24">
        <v>0</v>
      </c>
      <c r="CM313" s="24">
        <v>0</v>
      </c>
      <c r="CN313" s="24">
        <v>0</v>
      </c>
      <c r="CO313" s="24">
        <v>0</v>
      </c>
      <c r="CQ313" s="24">
        <v>0</v>
      </c>
      <c r="CR313" s="24">
        <v>0</v>
      </c>
      <c r="CS313" s="24">
        <v>0</v>
      </c>
      <c r="CT313" s="24">
        <v>0</v>
      </c>
      <c r="CV313" s="24">
        <v>100201</v>
      </c>
      <c r="CW313" s="24">
        <v>13</v>
      </c>
      <c r="CX313" s="24">
        <v>-1</v>
      </c>
      <c r="CY313" s="26">
        <v>1</v>
      </c>
      <c r="CZ313" s="24">
        <v>2</v>
      </c>
      <c r="DA313" s="24">
        <v>0</v>
      </c>
      <c r="DC313" s="24">
        <v>1</v>
      </c>
      <c r="DD313" s="24">
        <v>1</v>
      </c>
      <c r="DE313" s="24">
        <v>0</v>
      </c>
      <c r="DF313" s="24">
        <v>0</v>
      </c>
      <c r="DG313" s="24">
        <v>-1</v>
      </c>
      <c r="DI313" s="24">
        <v>0</v>
      </c>
      <c r="DJ313" s="24">
        <v>0</v>
      </c>
      <c r="DL313" s="24">
        <v>0</v>
      </c>
      <c r="DM313" s="24">
        <v>0</v>
      </c>
      <c r="DO313" s="24">
        <v>0</v>
      </c>
      <c r="DP313" s="24">
        <v>0</v>
      </c>
      <c r="DQ313" s="24">
        <v>0</v>
      </c>
      <c r="DR313" s="24">
        <v>0</v>
      </c>
      <c r="DS313" s="24">
        <v>0</v>
      </c>
      <c r="DT313" s="24">
        <v>0</v>
      </c>
      <c r="DV313" s="24">
        <v>0</v>
      </c>
      <c r="DW313" s="24">
        <v>0</v>
      </c>
      <c r="DX313" s="24">
        <v>0</v>
      </c>
      <c r="DY313" s="24">
        <v>0</v>
      </c>
      <c r="DZ313" s="24">
        <v>0</v>
      </c>
    </row>
    <row r="314" spans="1:130">
      <c r="G314" s="24" t="s">
        <v>639</v>
      </c>
      <c r="K314" s="24" t="s">
        <v>639</v>
      </c>
      <c r="BO314" s="25" t="s">
        <v>639</v>
      </c>
      <c r="CV314" s="24" t="s">
        <v>639</v>
      </c>
      <c r="DC314" s="24" t="s">
        <v>639</v>
      </c>
      <c r="DD314" s="24" t="s">
        <v>639</v>
      </c>
      <c r="DE314" s="24" t="s">
        <v>639</v>
      </c>
      <c r="DF314" s="24" t="s">
        <v>639</v>
      </c>
      <c r="DG314" s="24" t="s">
        <v>639</v>
      </c>
      <c r="DI314" s="24" t="s">
        <v>639</v>
      </c>
      <c r="DJ314" s="24" t="s">
        <v>639</v>
      </c>
      <c r="DL314" s="24" t="s">
        <v>639</v>
      </c>
      <c r="DM314" s="24" t="s">
        <v>639</v>
      </c>
      <c r="DO314" s="24" t="s">
        <v>639</v>
      </c>
      <c r="DP314" s="24" t="s">
        <v>639</v>
      </c>
      <c r="DQ314" s="24" t="s">
        <v>639</v>
      </c>
      <c r="DR314" s="24" t="s">
        <v>639</v>
      </c>
      <c r="DS314" s="24" t="s">
        <v>639</v>
      </c>
      <c r="DT314" s="24" t="s">
        <v>639</v>
      </c>
      <c r="DV314" s="24" t="s">
        <v>639</v>
      </c>
      <c r="DW314" s="24" t="s">
        <v>639</v>
      </c>
      <c r="DX314" s="24" t="s">
        <v>639</v>
      </c>
      <c r="DY314" s="24" t="s">
        <v>639</v>
      </c>
      <c r="DZ314" s="24" t="s">
        <v>639</v>
      </c>
    </row>
    <row r="315" spans="1:130">
      <c r="A315" s="24" t="s">
        <v>142</v>
      </c>
      <c r="B315" s="24" t="s">
        <v>142</v>
      </c>
      <c r="C315" s="24" t="s">
        <v>142</v>
      </c>
      <c r="D315" s="24" t="s">
        <v>142</v>
      </c>
      <c r="E315" s="24">
        <v>104910</v>
      </c>
      <c r="F315" s="24" t="s">
        <v>591</v>
      </c>
      <c r="G315" s="24">
        <v>0</v>
      </c>
      <c r="H315" s="24">
        <v>0</v>
      </c>
      <c r="I315" s="24" t="s">
        <v>591</v>
      </c>
      <c r="J315" s="24" t="s">
        <v>591</v>
      </c>
      <c r="K315" s="24" t="s">
        <v>820</v>
      </c>
      <c r="M315" s="24">
        <v>102</v>
      </c>
      <c r="N315" s="14">
        <v>0</v>
      </c>
      <c r="O315" s="14"/>
      <c r="P315" s="25">
        <v>2</v>
      </c>
      <c r="Q315" s="25">
        <v>529408</v>
      </c>
      <c r="R315" s="24">
        <v>0</v>
      </c>
      <c r="S315" s="25">
        <v>0</v>
      </c>
      <c r="T315" s="24"/>
      <c r="U315" s="24">
        <v>0</v>
      </c>
      <c r="V315" s="25">
        <v>0</v>
      </c>
      <c r="W315" s="24">
        <v>0</v>
      </c>
      <c r="X315" s="14">
        <v>0</v>
      </c>
      <c r="Y315" s="24">
        <v>0</v>
      </c>
      <c r="Z315" s="24">
        <v>0</v>
      </c>
      <c r="AB315" s="24">
        <v>10001</v>
      </c>
      <c r="AC315" s="24">
        <v>-1</v>
      </c>
      <c r="AD315" s="24">
        <v>-1</v>
      </c>
      <c r="AE315" s="24">
        <v>-1</v>
      </c>
      <c r="AG315" s="24">
        <v>2</v>
      </c>
      <c r="AH315" s="24">
        <v>26</v>
      </c>
      <c r="AI315" s="24">
        <v>0</v>
      </c>
      <c r="AJ315" s="24">
        <v>40</v>
      </c>
      <c r="AK315" s="24">
        <v>1</v>
      </c>
      <c r="AL315" s="24">
        <v>4</v>
      </c>
      <c r="AM315" s="24">
        <v>5</v>
      </c>
      <c r="AN315" s="24">
        <v>0</v>
      </c>
      <c r="AO315" s="24">
        <v>0</v>
      </c>
      <c r="AP315" s="24">
        <v>200</v>
      </c>
      <c r="AQ315" s="24">
        <v>20</v>
      </c>
      <c r="AR315" s="24">
        <v>0</v>
      </c>
      <c r="AS315" s="24">
        <v>0</v>
      </c>
      <c r="AT315" s="24">
        <v>0</v>
      </c>
      <c r="AU315" s="24">
        <v>4006</v>
      </c>
      <c r="AV315" s="24">
        <v>2009</v>
      </c>
      <c r="AW315" s="24">
        <v>2009</v>
      </c>
      <c r="AX315" s="24">
        <v>6001</v>
      </c>
      <c r="AY315" s="24">
        <v>0</v>
      </c>
      <c r="BA315" s="24">
        <v>0</v>
      </c>
      <c r="BB315" s="24">
        <v>800</v>
      </c>
      <c r="BC315" s="24">
        <v>1000</v>
      </c>
      <c r="BD315" s="24">
        <v>0</v>
      </c>
      <c r="BE315" s="24">
        <v>300</v>
      </c>
      <c r="BF315" s="24">
        <v>1</v>
      </c>
      <c r="BG315" s="25">
        <v>1</v>
      </c>
      <c r="BH315" s="25">
        <v>1</v>
      </c>
      <c r="BI315" s="24">
        <v>0</v>
      </c>
      <c r="BJ315" s="24">
        <v>0</v>
      </c>
      <c r="BK315" s="24">
        <v>0</v>
      </c>
      <c r="BL315" s="25">
        <v>126</v>
      </c>
      <c r="BM315" s="24">
        <v>0</v>
      </c>
      <c r="BO315" s="25">
        <v>8</v>
      </c>
      <c r="BP315" s="14">
        <v>20</v>
      </c>
      <c r="BQ315" s="24">
        <v>0</v>
      </c>
      <c r="BR315" s="24">
        <v>1</v>
      </c>
      <c r="BS315" s="24">
        <v>0</v>
      </c>
      <c r="BT315" s="24">
        <v>0</v>
      </c>
      <c r="BU315" s="24">
        <v>0</v>
      </c>
      <c r="BV315" s="24">
        <v>6</v>
      </c>
      <c r="BW315" s="24">
        <v>0</v>
      </c>
      <c r="BX315" s="24">
        <v>0</v>
      </c>
      <c r="BZ315" s="24">
        <v>104910</v>
      </c>
      <c r="CA315" s="24">
        <v>0</v>
      </c>
      <c r="CB315" s="24">
        <v>0</v>
      </c>
      <c r="CC315" s="24">
        <v>0</v>
      </c>
      <c r="CD315" s="24">
        <v>0</v>
      </c>
      <c r="CE315" s="24">
        <v>0</v>
      </c>
      <c r="CG315" s="24">
        <v>-1</v>
      </c>
      <c r="CH315" s="24">
        <v>0</v>
      </c>
      <c r="CI315" s="24">
        <v>0</v>
      </c>
      <c r="CJ315" s="24">
        <v>0</v>
      </c>
      <c r="CK315" s="24">
        <v>0</v>
      </c>
      <c r="CL315" s="24">
        <v>0</v>
      </c>
      <c r="CM315" s="24">
        <v>0</v>
      </c>
      <c r="CN315" s="24">
        <v>0</v>
      </c>
      <c r="CO315" s="24">
        <v>0</v>
      </c>
      <c r="CQ315" s="24">
        <v>0</v>
      </c>
      <c r="CR315" s="24">
        <v>0</v>
      </c>
      <c r="CS315" s="24">
        <v>0</v>
      </c>
      <c r="CT315" s="24">
        <v>0</v>
      </c>
      <c r="CV315" s="24">
        <v>100302</v>
      </c>
      <c r="CW315" s="24">
        <v>13</v>
      </c>
      <c r="CX315" s="24">
        <v>1005203</v>
      </c>
      <c r="CY315" s="26">
        <v>1</v>
      </c>
      <c r="CZ315" s="24">
        <v>2</v>
      </c>
      <c r="DA315" s="24">
        <v>0</v>
      </c>
      <c r="DC315" s="24">
        <v>2</v>
      </c>
      <c r="DD315" s="24">
        <v>1</v>
      </c>
      <c r="DE315" s="24">
        <v>0</v>
      </c>
      <c r="DF315" s="24">
        <v>0</v>
      </c>
      <c r="DG315" s="24">
        <v>34</v>
      </c>
      <c r="DI315" s="24">
        <v>0</v>
      </c>
      <c r="DJ315" s="24">
        <v>0</v>
      </c>
      <c r="DL315" s="24">
        <v>0</v>
      </c>
      <c r="DM315" s="24">
        <v>0</v>
      </c>
      <c r="DO315" s="24">
        <v>0</v>
      </c>
      <c r="DP315" s="24">
        <v>0</v>
      </c>
      <c r="DQ315" s="24">
        <v>0</v>
      </c>
      <c r="DR315" s="24">
        <v>0</v>
      </c>
      <c r="DS315" s="24">
        <v>0</v>
      </c>
      <c r="DT315" s="24">
        <v>0</v>
      </c>
      <c r="DV315" s="24">
        <v>0</v>
      </c>
      <c r="DW315" s="24">
        <v>0</v>
      </c>
      <c r="DX315" s="24">
        <v>0</v>
      </c>
      <c r="DY315" s="24">
        <v>0</v>
      </c>
      <c r="DZ315" s="24">
        <v>0</v>
      </c>
    </row>
    <row r="316" spans="1:130">
      <c r="A316" s="24" t="s">
        <v>142</v>
      </c>
      <c r="B316" s="24" t="s">
        <v>142</v>
      </c>
      <c r="C316" s="24" t="s">
        <v>142</v>
      </c>
      <c r="D316" s="24" t="s">
        <v>142</v>
      </c>
      <c r="E316" s="24">
        <v>104911</v>
      </c>
      <c r="F316" s="24" t="s">
        <v>592</v>
      </c>
      <c r="G316" s="24">
        <v>0</v>
      </c>
      <c r="H316" s="24">
        <v>0</v>
      </c>
      <c r="I316" s="24" t="s">
        <v>592</v>
      </c>
      <c r="J316" s="24" t="s">
        <v>592</v>
      </c>
      <c r="K316" s="24" t="s">
        <v>473</v>
      </c>
      <c r="M316" s="24">
        <v>0</v>
      </c>
      <c r="N316" s="14">
        <v>0</v>
      </c>
      <c r="O316" s="14"/>
      <c r="P316" s="25">
        <v>12</v>
      </c>
      <c r="Q316" s="25">
        <v>0</v>
      </c>
      <c r="R316" s="24">
        <v>0</v>
      </c>
      <c r="S316" s="25">
        <v>0</v>
      </c>
      <c r="T316" s="24"/>
      <c r="U316" s="24">
        <v>11</v>
      </c>
      <c r="V316" s="25">
        <v>2048</v>
      </c>
      <c r="W316" s="24">
        <v>8</v>
      </c>
      <c r="X316" s="14">
        <v>104910</v>
      </c>
      <c r="Y316" s="24">
        <v>0</v>
      </c>
      <c r="Z316" s="24">
        <v>1000</v>
      </c>
      <c r="AB316" s="24">
        <v>30001</v>
      </c>
      <c r="AC316" s="24">
        <v>0</v>
      </c>
      <c r="AD316" s="24">
        <v>0</v>
      </c>
      <c r="AE316" s="24">
        <v>0</v>
      </c>
      <c r="AG316" s="24">
        <v>2</v>
      </c>
      <c r="AH316" s="24">
        <v>30008</v>
      </c>
      <c r="AI316" s="24">
        <v>0</v>
      </c>
      <c r="AJ316" s="24">
        <v>0</v>
      </c>
      <c r="AK316" s="24">
        <v>1</v>
      </c>
      <c r="AL316" s="24">
        <v>4</v>
      </c>
      <c r="AM316" s="24">
        <v>25</v>
      </c>
      <c r="AN316" s="24">
        <v>0</v>
      </c>
      <c r="AO316" s="24">
        <v>0</v>
      </c>
      <c r="AP316" s="24">
        <v>200</v>
      </c>
      <c r="AQ316" s="24">
        <v>30</v>
      </c>
      <c r="AR316" s="24">
        <v>0</v>
      </c>
      <c r="AS316" s="24">
        <v>0</v>
      </c>
      <c r="AT316" s="24">
        <v>0</v>
      </c>
      <c r="AU316" s="24">
        <v>4006</v>
      </c>
      <c r="AV316" s="24">
        <v>2009</v>
      </c>
      <c r="AW316" s="24">
        <v>2009</v>
      </c>
      <c r="AX316" s="24">
        <v>6001</v>
      </c>
      <c r="AY316" s="24">
        <v>0</v>
      </c>
      <c r="BA316" s="24">
        <v>0</v>
      </c>
      <c r="BB316" s="24">
        <v>0</v>
      </c>
      <c r="BC316" s="24">
        <v>0</v>
      </c>
      <c r="BD316" s="24">
        <v>0</v>
      </c>
      <c r="BE316" s="24">
        <v>0</v>
      </c>
      <c r="BF316" s="24">
        <v>3</v>
      </c>
      <c r="BG316" s="25">
        <v>0</v>
      </c>
      <c r="BH316" s="24">
        <v>0</v>
      </c>
      <c r="BI316" s="24">
        <v>0</v>
      </c>
      <c r="BJ316" s="24">
        <v>0</v>
      </c>
      <c r="BK316" s="24">
        <v>0</v>
      </c>
      <c r="BL316" s="25">
        <v>126</v>
      </c>
      <c r="BM316" s="24">
        <v>0</v>
      </c>
      <c r="BO316" s="25">
        <v>8</v>
      </c>
      <c r="BP316" s="14">
        <v>0</v>
      </c>
      <c r="BQ316" s="24">
        <v>0</v>
      </c>
      <c r="BR316" s="24">
        <v>2</v>
      </c>
      <c r="BS316" s="24">
        <v>50</v>
      </c>
      <c r="BT316" s="24">
        <v>0</v>
      </c>
      <c r="BU316" s="24">
        <v>45</v>
      </c>
      <c r="BV316" s="24">
        <v>6</v>
      </c>
      <c r="BW316" s="24">
        <v>0</v>
      </c>
      <c r="BX316" s="24">
        <v>3</v>
      </c>
      <c r="BZ316" s="24">
        <v>-1</v>
      </c>
      <c r="CA316" s="24">
        <v>0</v>
      </c>
      <c r="CB316" s="24">
        <v>0</v>
      </c>
      <c r="CC316" s="24">
        <v>0</v>
      </c>
      <c r="CD316" s="24">
        <v>0</v>
      </c>
      <c r="CE316" s="24">
        <v>0</v>
      </c>
      <c r="CG316" s="24">
        <v>-1</v>
      </c>
      <c r="CH316" s="24">
        <v>0</v>
      </c>
      <c r="CI316" s="24">
        <v>0</v>
      </c>
      <c r="CJ316" s="24">
        <v>0</v>
      </c>
      <c r="CK316" s="24">
        <v>0</v>
      </c>
      <c r="CL316" s="24">
        <v>0</v>
      </c>
      <c r="CM316" s="24">
        <v>0</v>
      </c>
      <c r="CN316" s="24">
        <v>0</v>
      </c>
      <c r="CO316" s="24">
        <v>0</v>
      </c>
      <c r="CQ316" s="24">
        <v>0</v>
      </c>
      <c r="CR316" s="24">
        <v>0</v>
      </c>
      <c r="CS316" s="24">
        <v>0</v>
      </c>
      <c r="CT316" s="24">
        <v>0</v>
      </c>
      <c r="CV316" s="24">
        <v>0</v>
      </c>
      <c r="CW316" s="24">
        <v>0</v>
      </c>
      <c r="CX316" s="24">
        <v>1005203</v>
      </c>
      <c r="CY316" s="26">
        <v>1</v>
      </c>
      <c r="CZ316" s="24">
        <v>2</v>
      </c>
      <c r="DA316" s="24">
        <v>0</v>
      </c>
      <c r="DC316" s="24">
        <v>1</v>
      </c>
      <c r="DD316" s="24">
        <v>1</v>
      </c>
      <c r="DE316" s="24">
        <v>0</v>
      </c>
      <c r="DF316" s="24">
        <v>0</v>
      </c>
      <c r="DG316" s="24">
        <v>-1</v>
      </c>
      <c r="DI316" s="24">
        <v>0</v>
      </c>
      <c r="DJ316" s="24">
        <v>0</v>
      </c>
      <c r="DL316" s="24">
        <v>0</v>
      </c>
      <c r="DM316" s="24">
        <v>0</v>
      </c>
      <c r="DO316" s="24">
        <v>0</v>
      </c>
      <c r="DP316" s="24">
        <v>0</v>
      </c>
      <c r="DQ316" s="24">
        <v>0</v>
      </c>
      <c r="DR316" s="24">
        <v>0</v>
      </c>
      <c r="DS316" s="24">
        <v>0</v>
      </c>
      <c r="DT316" s="24">
        <v>0</v>
      </c>
      <c r="DV316" s="24">
        <v>0</v>
      </c>
      <c r="DW316" s="24">
        <v>0</v>
      </c>
      <c r="DX316" s="24">
        <v>0</v>
      </c>
      <c r="DY316" s="24">
        <v>0</v>
      </c>
      <c r="DZ316" s="24">
        <v>0</v>
      </c>
    </row>
    <row r="317" spans="1:130">
      <c r="G317" s="24" t="s">
        <v>639</v>
      </c>
      <c r="K317" s="24" t="s">
        <v>639</v>
      </c>
      <c r="N317" s="14"/>
      <c r="O317" s="14"/>
      <c r="S317" s="25"/>
      <c r="T317" s="24"/>
      <c r="X317" s="14"/>
      <c r="BO317" s="25" t="s">
        <v>639</v>
      </c>
      <c r="BP317" s="14"/>
      <c r="CV317" s="24" t="s">
        <v>639</v>
      </c>
      <c r="DC317" s="24" t="s">
        <v>639</v>
      </c>
      <c r="DD317" s="24" t="s">
        <v>639</v>
      </c>
      <c r="DE317" s="24" t="s">
        <v>639</v>
      </c>
      <c r="DF317" s="24" t="s">
        <v>639</v>
      </c>
      <c r="DG317" s="24" t="s">
        <v>639</v>
      </c>
      <c r="DI317" s="24" t="s">
        <v>639</v>
      </c>
      <c r="DJ317" s="24" t="s">
        <v>639</v>
      </c>
      <c r="DL317" s="24" t="s">
        <v>639</v>
      </c>
      <c r="DM317" s="24" t="s">
        <v>639</v>
      </c>
      <c r="DO317" s="24" t="s">
        <v>639</v>
      </c>
      <c r="DP317" s="24" t="s">
        <v>639</v>
      </c>
      <c r="DQ317" s="24" t="s">
        <v>639</v>
      </c>
      <c r="DR317" s="24" t="s">
        <v>639</v>
      </c>
      <c r="DS317" s="24" t="s">
        <v>639</v>
      </c>
      <c r="DT317" s="24" t="s">
        <v>639</v>
      </c>
      <c r="DV317" s="24" t="s">
        <v>639</v>
      </c>
      <c r="DW317" s="24" t="s">
        <v>639</v>
      </c>
      <c r="DX317" s="24" t="s">
        <v>639</v>
      </c>
      <c r="DY317" s="24" t="s">
        <v>639</v>
      </c>
      <c r="DZ317" s="24" t="s">
        <v>639</v>
      </c>
    </row>
    <row r="318" spans="1:130">
      <c r="A318" s="24" t="s">
        <v>142</v>
      </c>
      <c r="B318" s="24" t="s">
        <v>142</v>
      </c>
      <c r="C318" s="24" t="s">
        <v>142</v>
      </c>
      <c r="D318" s="24" t="s">
        <v>142</v>
      </c>
      <c r="E318" s="24">
        <v>104920</v>
      </c>
      <c r="F318" s="24" t="s">
        <v>632</v>
      </c>
      <c r="G318" s="24">
        <v>0</v>
      </c>
      <c r="H318" s="24">
        <v>0</v>
      </c>
      <c r="I318" s="24" t="s">
        <v>591</v>
      </c>
      <c r="J318" s="24" t="s">
        <v>591</v>
      </c>
      <c r="K318" s="24" t="s">
        <v>821</v>
      </c>
      <c r="M318" s="24">
        <v>102</v>
      </c>
      <c r="N318" s="14">
        <v>0</v>
      </c>
      <c r="O318" s="14"/>
      <c r="P318" s="25">
        <v>2</v>
      </c>
      <c r="Q318" s="25">
        <v>525312</v>
      </c>
      <c r="R318" s="24">
        <v>0</v>
      </c>
      <c r="S318" s="25">
        <v>0</v>
      </c>
      <c r="T318" s="24"/>
      <c r="U318" s="24">
        <v>0</v>
      </c>
      <c r="V318" s="25">
        <v>0</v>
      </c>
      <c r="W318" s="24">
        <v>0</v>
      </c>
      <c r="X318" s="14">
        <v>0</v>
      </c>
      <c r="Y318" s="24">
        <v>0</v>
      </c>
      <c r="Z318" s="24">
        <v>0</v>
      </c>
      <c r="AB318" s="24">
        <v>10001</v>
      </c>
      <c r="AC318" s="24">
        <v>-1</v>
      </c>
      <c r="AD318" s="24">
        <v>-1</v>
      </c>
      <c r="AE318" s="24">
        <v>-1</v>
      </c>
      <c r="AG318" s="24">
        <v>2</v>
      </c>
      <c r="AH318" s="24">
        <v>100016</v>
      </c>
      <c r="AI318" s="24">
        <v>0</v>
      </c>
      <c r="AJ318" s="24">
        <v>0</v>
      </c>
      <c r="AK318" s="24">
        <v>1</v>
      </c>
      <c r="AL318" s="24">
        <v>4</v>
      </c>
      <c r="AM318" s="24">
        <v>5</v>
      </c>
      <c r="AN318" s="24">
        <v>0</v>
      </c>
      <c r="AO318" s="24">
        <v>0</v>
      </c>
      <c r="AP318" s="24">
        <v>200</v>
      </c>
      <c r="AQ318" s="24">
        <v>20</v>
      </c>
      <c r="AR318" s="24">
        <v>0</v>
      </c>
      <c r="AS318" s="24">
        <v>0</v>
      </c>
      <c r="AT318" s="24">
        <v>0</v>
      </c>
      <c r="AU318" s="24">
        <v>4006</v>
      </c>
      <c r="AV318" s="24">
        <v>2010</v>
      </c>
      <c r="AW318" s="24">
        <v>2010</v>
      </c>
      <c r="AX318" s="24">
        <v>6007</v>
      </c>
      <c r="AY318" s="24">
        <v>0</v>
      </c>
      <c r="BA318" s="24">
        <v>0</v>
      </c>
      <c r="BB318" s="24">
        <v>1200</v>
      </c>
      <c r="BC318" s="24">
        <v>1300</v>
      </c>
      <c r="BD318" s="24">
        <v>0</v>
      </c>
      <c r="BE318" s="24">
        <v>300</v>
      </c>
      <c r="BF318" s="24">
        <v>4</v>
      </c>
      <c r="BG318" s="25">
        <v>1</v>
      </c>
      <c r="BH318" s="25">
        <v>1</v>
      </c>
      <c r="BI318" s="24">
        <v>0</v>
      </c>
      <c r="BJ318" s="24">
        <v>0</v>
      </c>
      <c r="BK318" s="24">
        <v>0</v>
      </c>
      <c r="BL318" s="25">
        <v>126</v>
      </c>
      <c r="BM318" s="24">
        <v>0</v>
      </c>
      <c r="BO318" s="25">
        <v>8</v>
      </c>
      <c r="BP318" s="14">
        <v>20</v>
      </c>
      <c r="BQ318" s="24">
        <v>0</v>
      </c>
      <c r="BR318" s="24">
        <v>1</v>
      </c>
      <c r="BS318" s="24">
        <v>0</v>
      </c>
      <c r="BT318" s="24">
        <v>0</v>
      </c>
      <c r="BU318" s="24">
        <v>0</v>
      </c>
      <c r="BV318" s="24">
        <v>6</v>
      </c>
      <c r="BW318" s="24">
        <v>0</v>
      </c>
      <c r="BX318" s="24">
        <v>0</v>
      </c>
      <c r="BZ318" s="24">
        <v>104920</v>
      </c>
      <c r="CA318" s="24">
        <v>0</v>
      </c>
      <c r="CB318" s="24">
        <v>0</v>
      </c>
      <c r="CC318" s="24">
        <v>0</v>
      </c>
      <c r="CD318" s="24">
        <v>0</v>
      </c>
      <c r="CE318" s="24">
        <v>0</v>
      </c>
      <c r="CG318" s="24">
        <v>-1</v>
      </c>
      <c r="CH318" s="24">
        <v>0</v>
      </c>
      <c r="CI318" s="24">
        <v>0</v>
      </c>
      <c r="CJ318" s="24">
        <v>0</v>
      </c>
      <c r="CK318" s="24">
        <v>0</v>
      </c>
      <c r="CL318" s="24">
        <v>0</v>
      </c>
      <c r="CM318" s="24">
        <v>0</v>
      </c>
      <c r="CN318" s="24">
        <v>0</v>
      </c>
      <c r="CO318" s="24">
        <v>0</v>
      </c>
      <c r="CQ318" s="24">
        <v>0</v>
      </c>
      <c r="CR318" s="24">
        <v>0</v>
      </c>
      <c r="CS318" s="24">
        <v>0</v>
      </c>
      <c r="CT318" s="24">
        <v>0</v>
      </c>
      <c r="CV318" s="24">
        <v>100302</v>
      </c>
      <c r="CW318" s="24">
        <v>13</v>
      </c>
      <c r="CX318" s="24">
        <v>1005203</v>
      </c>
      <c r="CY318" s="26">
        <v>1</v>
      </c>
      <c r="CZ318" s="24">
        <v>2</v>
      </c>
      <c r="DA318" s="24">
        <v>0</v>
      </c>
      <c r="DC318" s="24">
        <v>2</v>
      </c>
      <c r="DD318" s="24">
        <v>1</v>
      </c>
      <c r="DE318" s="24">
        <v>0</v>
      </c>
      <c r="DF318" s="24">
        <v>0</v>
      </c>
      <c r="DG318" s="24">
        <v>34</v>
      </c>
      <c r="DI318" s="24">
        <v>0</v>
      </c>
      <c r="DJ318" s="24">
        <v>0</v>
      </c>
      <c r="DL318" s="24">
        <v>0</v>
      </c>
      <c r="DM318" s="24">
        <v>0</v>
      </c>
      <c r="DO318" s="24">
        <v>0</v>
      </c>
      <c r="DP318" s="24">
        <v>0</v>
      </c>
      <c r="DQ318" s="24">
        <v>0</v>
      </c>
      <c r="DR318" s="24">
        <v>0</v>
      </c>
      <c r="DS318" s="24">
        <v>0</v>
      </c>
      <c r="DT318" s="24">
        <v>0</v>
      </c>
      <c r="DV318" s="24">
        <v>0</v>
      </c>
      <c r="DW318" s="24">
        <v>0</v>
      </c>
      <c r="DX318" s="24">
        <v>0</v>
      </c>
      <c r="DY318" s="24">
        <v>0</v>
      </c>
      <c r="DZ318" s="24">
        <v>0</v>
      </c>
    </row>
    <row r="319" spans="1:130">
      <c r="G319" s="24" t="s">
        <v>639</v>
      </c>
      <c r="K319" s="24" t="s">
        <v>639</v>
      </c>
      <c r="S319" s="25"/>
      <c r="T319" s="24"/>
      <c r="BO319" s="25" t="s">
        <v>639</v>
      </c>
      <c r="CV319" s="24" t="s">
        <v>639</v>
      </c>
      <c r="DC319" s="24" t="s">
        <v>639</v>
      </c>
      <c r="DD319" s="24" t="s">
        <v>639</v>
      </c>
      <c r="DE319" s="24" t="s">
        <v>639</v>
      </c>
      <c r="DF319" s="24" t="s">
        <v>639</v>
      </c>
      <c r="DG319" s="24" t="s">
        <v>639</v>
      </c>
      <c r="DI319" s="24" t="s">
        <v>639</v>
      </c>
      <c r="DJ319" s="24" t="s">
        <v>639</v>
      </c>
      <c r="DL319" s="24" t="s">
        <v>639</v>
      </c>
      <c r="DM319" s="24" t="s">
        <v>639</v>
      </c>
      <c r="DO319" s="24" t="s">
        <v>639</v>
      </c>
      <c r="DP319" s="24" t="s">
        <v>639</v>
      </c>
      <c r="DQ319" s="24" t="s">
        <v>639</v>
      </c>
      <c r="DR319" s="24" t="s">
        <v>639</v>
      </c>
      <c r="DS319" s="24" t="s">
        <v>639</v>
      </c>
      <c r="DT319" s="24" t="s">
        <v>639</v>
      </c>
      <c r="DV319" s="24" t="s">
        <v>639</v>
      </c>
      <c r="DW319" s="24" t="s">
        <v>639</v>
      </c>
      <c r="DX319" s="24" t="s">
        <v>639</v>
      </c>
      <c r="DY319" s="24" t="s">
        <v>639</v>
      </c>
      <c r="DZ319" s="24" t="s">
        <v>639</v>
      </c>
    </row>
    <row r="320" spans="1:130">
      <c r="A320" s="24" t="s">
        <v>142</v>
      </c>
      <c r="B320" s="24" t="s">
        <v>142</v>
      </c>
      <c r="C320" s="24" t="s">
        <v>142</v>
      </c>
      <c r="D320" s="24" t="s">
        <v>142</v>
      </c>
      <c r="E320" s="24">
        <v>104930</v>
      </c>
      <c r="F320" s="24" t="s">
        <v>633</v>
      </c>
      <c r="G320" s="24">
        <v>0</v>
      </c>
      <c r="H320" s="24">
        <v>0</v>
      </c>
      <c r="I320" s="24" t="s">
        <v>591</v>
      </c>
      <c r="J320" s="24" t="s">
        <v>591</v>
      </c>
      <c r="K320" s="24" t="s">
        <v>822</v>
      </c>
      <c r="M320" s="24">
        <v>102</v>
      </c>
      <c r="N320" s="14">
        <v>0</v>
      </c>
      <c r="O320" s="14"/>
      <c r="P320" s="25">
        <v>2</v>
      </c>
      <c r="Q320" s="25">
        <v>525312</v>
      </c>
      <c r="R320" s="24">
        <v>0</v>
      </c>
      <c r="S320" s="25">
        <v>0</v>
      </c>
      <c r="T320" s="24"/>
      <c r="U320" s="24">
        <v>0</v>
      </c>
      <c r="V320" s="25">
        <v>0</v>
      </c>
      <c r="W320" s="24">
        <v>0</v>
      </c>
      <c r="X320" s="14">
        <v>0</v>
      </c>
      <c r="Y320" s="24">
        <v>0</v>
      </c>
      <c r="Z320" s="24">
        <v>0</v>
      </c>
      <c r="AB320" s="24">
        <v>10001</v>
      </c>
      <c r="AC320" s="24">
        <v>-1</v>
      </c>
      <c r="AD320" s="24">
        <v>-1</v>
      </c>
      <c r="AE320" s="24">
        <v>-1</v>
      </c>
      <c r="AG320" s="24">
        <v>2</v>
      </c>
      <c r="AH320" s="24">
        <v>30008</v>
      </c>
      <c r="AI320" s="24">
        <v>0</v>
      </c>
      <c r="AJ320" s="24">
        <v>0</v>
      </c>
      <c r="AK320" s="24">
        <v>1</v>
      </c>
      <c r="AL320" s="24">
        <v>4</v>
      </c>
      <c r="AM320" s="24">
        <v>5</v>
      </c>
      <c r="AN320" s="24">
        <v>0</v>
      </c>
      <c r="AO320" s="24">
        <v>0</v>
      </c>
      <c r="AP320" s="24">
        <v>200</v>
      </c>
      <c r="AQ320" s="24">
        <v>20</v>
      </c>
      <c r="AR320" s="24">
        <v>0</v>
      </c>
      <c r="AS320" s="24">
        <v>0</v>
      </c>
      <c r="AT320" s="24">
        <v>0</v>
      </c>
      <c r="AU320" s="24">
        <v>4007</v>
      </c>
      <c r="AV320" s="24">
        <v>2011</v>
      </c>
      <c r="AW320" s="24">
        <v>2010</v>
      </c>
      <c r="AX320" s="24">
        <v>6007</v>
      </c>
      <c r="AY320" s="24">
        <v>0</v>
      </c>
      <c r="BA320" s="24">
        <v>0</v>
      </c>
      <c r="BB320" s="24">
        <v>1000</v>
      </c>
      <c r="BC320" s="24">
        <v>3010</v>
      </c>
      <c r="BD320" s="24">
        <v>0</v>
      </c>
      <c r="BE320" s="24">
        <v>300</v>
      </c>
      <c r="BF320" s="24">
        <v>7</v>
      </c>
      <c r="BG320" s="25">
        <v>1</v>
      </c>
      <c r="BH320" s="25">
        <v>1</v>
      </c>
      <c r="BI320" s="24">
        <v>0</v>
      </c>
      <c r="BJ320" s="24">
        <v>0</v>
      </c>
      <c r="BK320" s="24">
        <v>0</v>
      </c>
      <c r="BL320" s="25">
        <v>126</v>
      </c>
      <c r="BM320" s="24">
        <v>0</v>
      </c>
      <c r="BO320" s="25">
        <v>8</v>
      </c>
      <c r="BP320" s="14">
        <v>20</v>
      </c>
      <c r="BQ320" s="24">
        <v>0</v>
      </c>
      <c r="BR320" s="24">
        <v>1</v>
      </c>
      <c r="BS320" s="24">
        <v>0</v>
      </c>
      <c r="BT320" s="24">
        <v>0</v>
      </c>
      <c r="BU320" s="24">
        <v>0</v>
      </c>
      <c r="BV320" s="24">
        <v>6</v>
      </c>
      <c r="BW320" s="24">
        <v>0</v>
      </c>
      <c r="BX320" s="24">
        <v>0</v>
      </c>
      <c r="BZ320" s="24">
        <v>104930</v>
      </c>
      <c r="CA320" s="24">
        <v>0</v>
      </c>
      <c r="CB320" s="24">
        <v>0</v>
      </c>
      <c r="CC320" s="24">
        <v>0</v>
      </c>
      <c r="CD320" s="24">
        <v>0</v>
      </c>
      <c r="CE320" s="24">
        <v>0</v>
      </c>
      <c r="CG320" s="24">
        <v>-1</v>
      </c>
      <c r="CH320" s="24">
        <v>0</v>
      </c>
      <c r="CI320" s="24">
        <v>0</v>
      </c>
      <c r="CJ320" s="24">
        <v>0</v>
      </c>
      <c r="CK320" s="24">
        <v>0</v>
      </c>
      <c r="CL320" s="24">
        <v>0</v>
      </c>
      <c r="CM320" s="24">
        <v>0</v>
      </c>
      <c r="CN320" s="24">
        <v>0</v>
      </c>
      <c r="CO320" s="24">
        <v>0</v>
      </c>
      <c r="CQ320" s="24">
        <v>0</v>
      </c>
      <c r="CR320" s="24">
        <v>0</v>
      </c>
      <c r="CS320" s="24">
        <v>0</v>
      </c>
      <c r="CT320" s="24">
        <v>0</v>
      </c>
      <c r="CV320" s="24">
        <v>10003</v>
      </c>
      <c r="CW320" s="24">
        <v>13</v>
      </c>
      <c r="CX320" s="24">
        <v>1005203</v>
      </c>
      <c r="CY320" s="26">
        <v>1</v>
      </c>
      <c r="CZ320" s="24">
        <v>2</v>
      </c>
      <c r="DA320" s="24">
        <v>0</v>
      </c>
      <c r="DC320" s="24">
        <v>2</v>
      </c>
      <c r="DD320" s="24">
        <v>1</v>
      </c>
      <c r="DE320" s="24">
        <v>0</v>
      </c>
      <c r="DF320" s="24">
        <v>0</v>
      </c>
      <c r="DG320" s="24">
        <v>34</v>
      </c>
      <c r="DI320" s="24">
        <v>0</v>
      </c>
      <c r="DJ320" s="24">
        <v>0</v>
      </c>
      <c r="DL320" s="24">
        <v>0</v>
      </c>
      <c r="DM320" s="24">
        <v>0</v>
      </c>
      <c r="DO320" s="24">
        <v>0</v>
      </c>
      <c r="DP320" s="24">
        <v>0</v>
      </c>
      <c r="DQ320" s="24">
        <v>0</v>
      </c>
      <c r="DR320" s="24">
        <v>0</v>
      </c>
      <c r="DS320" s="24">
        <v>0</v>
      </c>
      <c r="DT320" s="24">
        <v>0</v>
      </c>
      <c r="DV320" s="24">
        <v>0</v>
      </c>
      <c r="DW320" s="24">
        <v>0</v>
      </c>
      <c r="DX320" s="24">
        <v>0</v>
      </c>
      <c r="DY320" s="24">
        <v>0</v>
      </c>
      <c r="DZ320" s="24">
        <v>0</v>
      </c>
    </row>
    <row r="321" spans="1:130">
      <c r="BO321" s="25" t="s">
        <v>639</v>
      </c>
    </row>
    <row r="322" spans="1:130">
      <c r="BO322" s="25" t="s">
        <v>639</v>
      </c>
    </row>
    <row r="323" spans="1:130">
      <c r="E323" s="48" t="s">
        <v>1129</v>
      </c>
      <c r="K323" s="24">
        <v>0</v>
      </c>
      <c r="S323" s="25"/>
      <c r="T323" s="24"/>
      <c r="BO323" s="25" t="s">
        <v>639</v>
      </c>
      <c r="CV323" s="24" t="s">
        <v>639</v>
      </c>
    </row>
    <row r="324" spans="1:130">
      <c r="G324" s="24" t="s">
        <v>639</v>
      </c>
      <c r="K324" s="24" t="s">
        <v>639</v>
      </c>
      <c r="S324" s="25"/>
      <c r="T324" s="24"/>
      <c r="BO324" s="25" t="s">
        <v>639</v>
      </c>
      <c r="CV324" s="24" t="s">
        <v>639</v>
      </c>
      <c r="DC324" s="24" t="s">
        <v>639</v>
      </c>
      <c r="DD324" s="24" t="s">
        <v>639</v>
      </c>
      <c r="DE324" s="24" t="s">
        <v>639</v>
      </c>
      <c r="DF324" s="24" t="s">
        <v>639</v>
      </c>
      <c r="DG324" s="24" t="s">
        <v>639</v>
      </c>
      <c r="DI324" s="24" t="s">
        <v>639</v>
      </c>
      <c r="DJ324" s="24" t="s">
        <v>639</v>
      </c>
      <c r="DL324" s="24" t="s">
        <v>639</v>
      </c>
      <c r="DM324" s="24" t="s">
        <v>639</v>
      </c>
      <c r="DO324" s="24" t="s">
        <v>639</v>
      </c>
      <c r="DP324" s="24" t="s">
        <v>639</v>
      </c>
      <c r="DQ324" s="24" t="s">
        <v>639</v>
      </c>
      <c r="DR324" s="24" t="s">
        <v>639</v>
      </c>
      <c r="DS324" s="24" t="s">
        <v>639</v>
      </c>
      <c r="DT324" s="24" t="s">
        <v>639</v>
      </c>
      <c r="DV324" s="24" t="s">
        <v>639</v>
      </c>
      <c r="DW324" s="24" t="s">
        <v>639</v>
      </c>
      <c r="DX324" s="24" t="s">
        <v>639</v>
      </c>
      <c r="DY324" s="24" t="s">
        <v>639</v>
      </c>
      <c r="DZ324" s="24" t="s">
        <v>639</v>
      </c>
    </row>
    <row r="325" spans="1:130">
      <c r="A325" s="24" t="s">
        <v>142</v>
      </c>
      <c r="B325" s="24" t="s">
        <v>142</v>
      </c>
      <c r="C325" s="24" t="s">
        <v>142</v>
      </c>
      <c r="D325" s="24" t="s">
        <v>142</v>
      </c>
      <c r="E325" s="24">
        <v>105200</v>
      </c>
      <c r="F325" s="24" t="s">
        <v>627</v>
      </c>
      <c r="G325" s="24">
        <v>0</v>
      </c>
      <c r="H325" s="24">
        <v>0</v>
      </c>
      <c r="I325" s="24" t="s">
        <v>627</v>
      </c>
      <c r="J325" s="24" t="s">
        <v>627</v>
      </c>
      <c r="K325" s="24" t="s">
        <v>562</v>
      </c>
      <c r="M325" s="24">
        <v>102</v>
      </c>
      <c r="N325" s="24">
        <v>0</v>
      </c>
      <c r="P325" s="25">
        <v>2</v>
      </c>
      <c r="Q325" s="25">
        <v>524544</v>
      </c>
      <c r="R325" s="24">
        <v>0</v>
      </c>
      <c r="S325" s="25">
        <v>1</v>
      </c>
      <c r="T325" s="24"/>
      <c r="U325" s="24">
        <v>0</v>
      </c>
      <c r="V325" s="25">
        <v>0</v>
      </c>
      <c r="W325" s="24">
        <v>0</v>
      </c>
      <c r="X325" s="24">
        <v>0</v>
      </c>
      <c r="Y325" s="24">
        <v>0</v>
      </c>
      <c r="Z325" s="24">
        <v>0</v>
      </c>
      <c r="AB325" s="24">
        <v>10001</v>
      </c>
      <c r="AC325" s="24">
        <v>-1</v>
      </c>
      <c r="AD325" s="24">
        <v>-1</v>
      </c>
      <c r="AE325" s="24">
        <v>-1</v>
      </c>
      <c r="AG325" s="24">
        <v>1</v>
      </c>
      <c r="AH325" s="24">
        <v>0</v>
      </c>
      <c r="AI325" s="24">
        <v>0</v>
      </c>
      <c r="AJ325" s="24">
        <v>0</v>
      </c>
      <c r="AK325" s="24">
        <v>0</v>
      </c>
      <c r="AL325" s="24">
        <v>0</v>
      </c>
      <c r="AM325" s="24">
        <v>0</v>
      </c>
      <c r="AN325" s="24">
        <v>0</v>
      </c>
      <c r="AO325" s="24">
        <v>0</v>
      </c>
      <c r="AP325" s="24">
        <v>0</v>
      </c>
      <c r="AQ325" s="24">
        <v>0</v>
      </c>
      <c r="AR325" s="24">
        <v>0</v>
      </c>
      <c r="AS325" s="24">
        <v>0</v>
      </c>
      <c r="AT325" s="24">
        <v>0</v>
      </c>
      <c r="AU325" s="24">
        <v>0</v>
      </c>
      <c r="AV325" s="24">
        <v>0</v>
      </c>
      <c r="AW325" s="24">
        <v>0</v>
      </c>
      <c r="AX325" s="24">
        <v>0</v>
      </c>
      <c r="AY325" s="24">
        <v>0</v>
      </c>
      <c r="BA325" s="24">
        <v>0</v>
      </c>
      <c r="BB325" s="24">
        <v>300</v>
      </c>
      <c r="BC325" s="24">
        <v>600</v>
      </c>
      <c r="BD325" s="24">
        <v>0</v>
      </c>
      <c r="BE325" s="24">
        <v>410</v>
      </c>
      <c r="BF325" s="24">
        <v>1</v>
      </c>
      <c r="BG325" s="25">
        <v>17</v>
      </c>
      <c r="BH325" s="24">
        <v>1</v>
      </c>
      <c r="BI325" s="24">
        <v>0</v>
      </c>
      <c r="BJ325" s="24">
        <v>0</v>
      </c>
      <c r="BK325" s="24">
        <v>0</v>
      </c>
      <c r="BL325" s="25">
        <v>126</v>
      </c>
      <c r="BM325" s="24">
        <v>0</v>
      </c>
      <c r="BO325" s="25">
        <v>4</v>
      </c>
      <c r="BP325" s="24">
        <v>20</v>
      </c>
      <c r="BQ325" s="24">
        <v>0</v>
      </c>
      <c r="BR325" s="24">
        <v>1</v>
      </c>
      <c r="BS325" s="24">
        <v>0</v>
      </c>
      <c r="BT325" s="24">
        <v>0</v>
      </c>
      <c r="BU325" s="24">
        <v>0</v>
      </c>
      <c r="BV325" s="24">
        <v>6</v>
      </c>
      <c r="BW325" s="24">
        <v>0</v>
      </c>
      <c r="BX325" s="24">
        <v>1</v>
      </c>
      <c r="BZ325" s="24">
        <v>-1</v>
      </c>
      <c r="CA325" s="24">
        <v>0</v>
      </c>
      <c r="CB325" s="24">
        <v>0</v>
      </c>
      <c r="CC325" s="24">
        <v>0</v>
      </c>
      <c r="CD325" s="24">
        <v>0</v>
      </c>
      <c r="CE325" s="24">
        <v>0</v>
      </c>
      <c r="CG325" s="14">
        <v>-1</v>
      </c>
      <c r="CH325" s="24">
        <v>0</v>
      </c>
      <c r="CI325" s="24">
        <v>0</v>
      </c>
      <c r="CJ325" s="24">
        <v>0</v>
      </c>
      <c r="CK325" s="24">
        <v>0</v>
      </c>
      <c r="CL325" s="24">
        <v>0</v>
      </c>
      <c r="CM325" s="24">
        <v>0</v>
      </c>
      <c r="CN325" s="24">
        <v>0</v>
      </c>
      <c r="CO325" s="24">
        <v>0</v>
      </c>
      <c r="CQ325" s="24">
        <v>0.1</v>
      </c>
      <c r="CR325" s="24">
        <v>0</v>
      </c>
      <c r="CS325" s="24">
        <v>0</v>
      </c>
      <c r="CT325" s="24">
        <v>0</v>
      </c>
      <c r="CV325" s="24">
        <v>110101</v>
      </c>
      <c r="CW325" s="24">
        <v>7</v>
      </c>
      <c r="CX325" s="24">
        <v>1001012</v>
      </c>
      <c r="CY325" s="26">
        <v>1</v>
      </c>
      <c r="CZ325" s="24">
        <v>1</v>
      </c>
      <c r="DA325" s="24">
        <v>0</v>
      </c>
      <c r="DC325" s="24">
        <v>1</v>
      </c>
      <c r="DD325" s="24">
        <v>1</v>
      </c>
      <c r="DE325" s="24">
        <v>0</v>
      </c>
      <c r="DF325" s="24">
        <v>0</v>
      </c>
      <c r="DG325" s="24">
        <v>-1</v>
      </c>
      <c r="DI325" s="24">
        <v>0</v>
      </c>
      <c r="DJ325" s="24">
        <v>0</v>
      </c>
      <c r="DL325" s="24">
        <v>0</v>
      </c>
      <c r="DM325" s="24">
        <v>0</v>
      </c>
      <c r="DO325" s="24">
        <v>0</v>
      </c>
      <c r="DP325" s="24">
        <v>0</v>
      </c>
      <c r="DQ325" s="24">
        <v>0</v>
      </c>
      <c r="DR325" s="24">
        <v>0</v>
      </c>
      <c r="DS325" s="24">
        <v>0</v>
      </c>
      <c r="DT325" s="24">
        <v>0</v>
      </c>
      <c r="DV325" s="24">
        <v>0</v>
      </c>
      <c r="DW325" s="24">
        <v>0</v>
      </c>
      <c r="DX325" s="24">
        <v>0</v>
      </c>
      <c r="DY325" s="24">
        <v>0</v>
      </c>
      <c r="DZ325" s="24">
        <v>0</v>
      </c>
    </row>
    <row r="326" spans="1:130">
      <c r="A326" s="24" t="s">
        <v>142</v>
      </c>
      <c r="B326" s="24" t="s">
        <v>142</v>
      </c>
      <c r="C326" s="24" t="s">
        <v>142</v>
      </c>
      <c r="D326" s="24" t="s">
        <v>142</v>
      </c>
      <c r="E326" s="24">
        <v>105201</v>
      </c>
      <c r="F326" s="24" t="s">
        <v>626</v>
      </c>
      <c r="G326" s="24">
        <v>0</v>
      </c>
      <c r="H326" s="24">
        <v>0</v>
      </c>
      <c r="I326" s="24" t="s">
        <v>626</v>
      </c>
      <c r="J326" s="24" t="s">
        <v>625</v>
      </c>
      <c r="K326" s="24" t="s">
        <v>473</v>
      </c>
      <c r="M326" s="24">
        <v>102</v>
      </c>
      <c r="N326" s="24">
        <v>0</v>
      </c>
      <c r="P326" s="25">
        <v>2</v>
      </c>
      <c r="Q326" s="25">
        <v>524544</v>
      </c>
      <c r="R326" s="24">
        <v>105200</v>
      </c>
      <c r="S326" s="25">
        <v>1</v>
      </c>
      <c r="T326" s="24"/>
      <c r="U326" s="24">
        <v>0</v>
      </c>
      <c r="V326" s="25">
        <v>0</v>
      </c>
      <c r="W326" s="24">
        <v>0</v>
      </c>
      <c r="X326" s="24">
        <v>0</v>
      </c>
      <c r="Y326" s="24">
        <v>0</v>
      </c>
      <c r="Z326" s="24">
        <v>0</v>
      </c>
      <c r="AB326" s="24">
        <v>10001</v>
      </c>
      <c r="AC326" s="24">
        <v>-1</v>
      </c>
      <c r="AD326" s="24">
        <v>-1</v>
      </c>
      <c r="AE326" s="24">
        <v>-1</v>
      </c>
      <c r="AG326" s="24">
        <v>1</v>
      </c>
      <c r="AH326" s="24">
        <v>0</v>
      </c>
      <c r="AI326" s="24">
        <v>0</v>
      </c>
      <c r="AJ326" s="24">
        <v>0</v>
      </c>
      <c r="AK326" s="24">
        <v>0</v>
      </c>
      <c r="AL326" s="24">
        <v>0</v>
      </c>
      <c r="AM326" s="24">
        <v>0</v>
      </c>
      <c r="AN326" s="24">
        <v>0</v>
      </c>
      <c r="AO326" s="24">
        <v>0</v>
      </c>
      <c r="AP326" s="24">
        <v>0</v>
      </c>
      <c r="AQ326" s="24">
        <v>0</v>
      </c>
      <c r="AR326" s="24">
        <v>0</v>
      </c>
      <c r="AS326" s="24">
        <v>0</v>
      </c>
      <c r="AT326" s="24">
        <v>0</v>
      </c>
      <c r="AU326" s="24">
        <v>0</v>
      </c>
      <c r="AV326" s="24">
        <v>0</v>
      </c>
      <c r="AW326" s="24">
        <v>0</v>
      </c>
      <c r="AX326" s="24">
        <v>0</v>
      </c>
      <c r="AY326" s="24">
        <v>0</v>
      </c>
      <c r="BA326" s="24">
        <v>0</v>
      </c>
      <c r="BB326" s="24">
        <v>300</v>
      </c>
      <c r="BC326" s="24">
        <v>567</v>
      </c>
      <c r="BD326" s="24">
        <v>0</v>
      </c>
      <c r="BE326" s="24">
        <v>300</v>
      </c>
      <c r="BF326" s="24">
        <v>1</v>
      </c>
      <c r="BG326" s="25">
        <v>17</v>
      </c>
      <c r="BH326" s="24">
        <v>1</v>
      </c>
      <c r="BI326" s="24">
        <v>0</v>
      </c>
      <c r="BJ326" s="24">
        <v>0</v>
      </c>
      <c r="BK326" s="24">
        <v>0</v>
      </c>
      <c r="BL326" s="25">
        <v>126</v>
      </c>
      <c r="BM326" s="24">
        <v>0</v>
      </c>
      <c r="BO326" s="25">
        <v>4</v>
      </c>
      <c r="BP326" s="24">
        <v>20</v>
      </c>
      <c r="BQ326" s="24">
        <v>0</v>
      </c>
      <c r="BR326" s="24">
        <v>1</v>
      </c>
      <c r="BS326" s="24">
        <v>0</v>
      </c>
      <c r="BT326" s="24">
        <v>0</v>
      </c>
      <c r="BU326" s="24">
        <v>0</v>
      </c>
      <c r="BV326" s="24">
        <v>6</v>
      </c>
      <c r="BW326" s="24">
        <v>0</v>
      </c>
      <c r="BX326" s="24">
        <v>1</v>
      </c>
      <c r="BZ326" s="24">
        <v>-1</v>
      </c>
      <c r="CA326" s="24">
        <v>0</v>
      </c>
      <c r="CB326" s="24">
        <v>0</v>
      </c>
      <c r="CC326" s="24">
        <v>0</v>
      </c>
      <c r="CD326" s="24">
        <v>0</v>
      </c>
      <c r="CE326" s="24">
        <v>0</v>
      </c>
      <c r="CG326" s="14">
        <v>-1</v>
      </c>
      <c r="CH326" s="24">
        <v>0</v>
      </c>
      <c r="CI326" s="24">
        <v>0</v>
      </c>
      <c r="CJ326" s="24">
        <v>0</v>
      </c>
      <c r="CK326" s="24">
        <v>0</v>
      </c>
      <c r="CL326" s="24">
        <v>0</v>
      </c>
      <c r="CM326" s="24">
        <v>0</v>
      </c>
      <c r="CN326" s="24">
        <v>0</v>
      </c>
      <c r="CO326" s="24">
        <v>0</v>
      </c>
      <c r="CQ326" s="24">
        <v>0.1</v>
      </c>
      <c r="CR326" s="24">
        <v>0</v>
      </c>
      <c r="CS326" s="24">
        <v>0</v>
      </c>
      <c r="CT326" s="24">
        <v>0</v>
      </c>
      <c r="CV326" s="24">
        <v>110102</v>
      </c>
      <c r="CW326" s="24">
        <v>7</v>
      </c>
      <c r="CX326" s="24">
        <v>1001012</v>
      </c>
      <c r="CY326" s="26">
        <v>1</v>
      </c>
      <c r="CZ326" s="24">
        <v>1</v>
      </c>
      <c r="DA326" s="24">
        <v>0</v>
      </c>
      <c r="DC326" s="24">
        <v>1</v>
      </c>
      <c r="DD326" s="24">
        <v>1</v>
      </c>
      <c r="DE326" s="24">
        <v>0</v>
      </c>
      <c r="DF326" s="24">
        <v>0</v>
      </c>
      <c r="DG326" s="24">
        <v>-1</v>
      </c>
      <c r="DI326" s="24">
        <v>0</v>
      </c>
      <c r="DJ326" s="24">
        <v>0</v>
      </c>
      <c r="DL326" s="24">
        <v>0</v>
      </c>
      <c r="DM326" s="24">
        <v>0</v>
      </c>
      <c r="DO326" s="24">
        <v>0</v>
      </c>
      <c r="DP326" s="24">
        <v>0</v>
      </c>
      <c r="DQ326" s="24">
        <v>0</v>
      </c>
      <c r="DR326" s="24">
        <v>0</v>
      </c>
      <c r="DS326" s="24">
        <v>0</v>
      </c>
      <c r="DT326" s="24">
        <v>0</v>
      </c>
      <c r="DV326" s="24">
        <v>0</v>
      </c>
      <c r="DW326" s="24">
        <v>0</v>
      </c>
      <c r="DX326" s="24">
        <v>0</v>
      </c>
      <c r="DY326" s="24">
        <v>0</v>
      </c>
      <c r="DZ326" s="24">
        <v>0</v>
      </c>
    </row>
    <row r="327" spans="1:130">
      <c r="A327" s="24" t="s">
        <v>142</v>
      </c>
      <c r="B327" s="24" t="s">
        <v>142</v>
      </c>
      <c r="C327" s="24" t="s">
        <v>142</v>
      </c>
      <c r="D327" s="24" t="s">
        <v>142</v>
      </c>
      <c r="E327" s="24">
        <v>105202</v>
      </c>
      <c r="F327" s="24" t="s">
        <v>624</v>
      </c>
      <c r="G327" s="24">
        <v>0</v>
      </c>
      <c r="H327" s="24">
        <v>0</v>
      </c>
      <c r="I327" s="24" t="s">
        <v>604</v>
      </c>
      <c r="J327" s="24" t="s">
        <v>624</v>
      </c>
      <c r="K327" s="24" t="s">
        <v>473</v>
      </c>
      <c r="M327" s="24">
        <v>102</v>
      </c>
      <c r="N327" s="24">
        <v>0</v>
      </c>
      <c r="P327" s="25">
        <v>2</v>
      </c>
      <c r="Q327" s="25">
        <v>524544</v>
      </c>
      <c r="R327" s="24">
        <v>105200</v>
      </c>
      <c r="S327" s="25">
        <v>1</v>
      </c>
      <c r="T327" s="24"/>
      <c r="U327" s="24">
        <v>0</v>
      </c>
      <c r="V327" s="25">
        <v>0</v>
      </c>
      <c r="W327" s="24">
        <v>0</v>
      </c>
      <c r="X327" s="24">
        <v>0</v>
      </c>
      <c r="Y327" s="24">
        <v>0</v>
      </c>
      <c r="Z327" s="24">
        <v>0</v>
      </c>
      <c r="AB327" s="24">
        <v>10001</v>
      </c>
      <c r="AC327" s="24">
        <v>-1</v>
      </c>
      <c r="AD327" s="24">
        <v>-1</v>
      </c>
      <c r="AE327" s="24">
        <v>-1</v>
      </c>
      <c r="AG327" s="24">
        <v>1</v>
      </c>
      <c r="AH327" s="24">
        <v>0</v>
      </c>
      <c r="AI327" s="24">
        <v>0</v>
      </c>
      <c r="AJ327" s="24">
        <v>0</v>
      </c>
      <c r="AK327" s="24">
        <v>0</v>
      </c>
      <c r="AL327" s="24">
        <v>0</v>
      </c>
      <c r="AM327" s="24">
        <v>0</v>
      </c>
      <c r="AN327" s="24">
        <v>0</v>
      </c>
      <c r="AO327" s="24">
        <v>0</v>
      </c>
      <c r="AP327" s="24">
        <v>0</v>
      </c>
      <c r="AQ327" s="24">
        <v>0</v>
      </c>
      <c r="AR327" s="24">
        <v>0</v>
      </c>
      <c r="AS327" s="24">
        <v>0</v>
      </c>
      <c r="AT327" s="24">
        <v>0</v>
      </c>
      <c r="AU327" s="24">
        <v>0</v>
      </c>
      <c r="AV327" s="24">
        <v>0</v>
      </c>
      <c r="AW327" s="24">
        <v>0</v>
      </c>
      <c r="AX327" s="24">
        <v>0</v>
      </c>
      <c r="AY327" s="24">
        <v>0</v>
      </c>
      <c r="BA327" s="24">
        <v>0</v>
      </c>
      <c r="BB327" s="24">
        <v>750</v>
      </c>
      <c r="BC327" s="24">
        <v>1000</v>
      </c>
      <c r="BD327" s="24">
        <v>0</v>
      </c>
      <c r="BE327" s="24">
        <v>600</v>
      </c>
      <c r="BF327" s="24">
        <v>1</v>
      </c>
      <c r="BG327" s="25">
        <v>17</v>
      </c>
      <c r="BH327" s="24">
        <v>1</v>
      </c>
      <c r="BI327" s="24">
        <v>0</v>
      </c>
      <c r="BJ327" s="24">
        <v>0</v>
      </c>
      <c r="BK327" s="24">
        <v>0</v>
      </c>
      <c r="BL327" s="25">
        <v>126</v>
      </c>
      <c r="BM327" s="24">
        <v>0</v>
      </c>
      <c r="BO327" s="25">
        <v>4</v>
      </c>
      <c r="BP327" s="24">
        <v>20</v>
      </c>
      <c r="BQ327" s="24">
        <v>0</v>
      </c>
      <c r="BR327" s="24">
        <v>1</v>
      </c>
      <c r="BS327" s="24">
        <v>0</v>
      </c>
      <c r="BT327" s="24">
        <v>0</v>
      </c>
      <c r="BU327" s="24">
        <v>0</v>
      </c>
      <c r="BV327" s="24">
        <v>6</v>
      </c>
      <c r="BW327" s="24">
        <v>0</v>
      </c>
      <c r="BX327" s="24">
        <v>1</v>
      </c>
      <c r="BZ327" s="24">
        <v>-1</v>
      </c>
      <c r="CA327" s="24">
        <v>0</v>
      </c>
      <c r="CB327" s="24">
        <v>0</v>
      </c>
      <c r="CC327" s="24">
        <v>0</v>
      </c>
      <c r="CD327" s="24">
        <v>0</v>
      </c>
      <c r="CE327" s="24">
        <v>0</v>
      </c>
      <c r="CG327" s="14">
        <v>-1</v>
      </c>
      <c r="CH327" s="24">
        <v>0</v>
      </c>
      <c r="CI327" s="24">
        <v>0</v>
      </c>
      <c r="CJ327" s="24">
        <v>0</v>
      </c>
      <c r="CK327" s="24">
        <v>0</v>
      </c>
      <c r="CL327" s="24">
        <v>0</v>
      </c>
      <c r="CM327" s="24">
        <v>0</v>
      </c>
      <c r="CN327" s="24">
        <v>0</v>
      </c>
      <c r="CO327" s="24">
        <v>0</v>
      </c>
      <c r="CQ327" s="24">
        <v>0.3</v>
      </c>
      <c r="CR327" s="24">
        <v>1</v>
      </c>
      <c r="CS327" s="24">
        <v>0</v>
      </c>
      <c r="CT327" s="24">
        <v>0</v>
      </c>
      <c r="CV327" s="24">
        <v>110103</v>
      </c>
      <c r="CW327" s="24">
        <v>7</v>
      </c>
      <c r="CX327" s="24">
        <v>1001012</v>
      </c>
      <c r="CY327" s="26">
        <v>2</v>
      </c>
      <c r="CZ327" s="24">
        <v>1</v>
      </c>
      <c r="DA327" s="24">
        <v>0</v>
      </c>
      <c r="DC327" s="24">
        <v>1</v>
      </c>
      <c r="DD327" s="24">
        <v>1</v>
      </c>
      <c r="DE327" s="24">
        <v>0</v>
      </c>
      <c r="DF327" s="24">
        <v>0</v>
      </c>
      <c r="DG327" s="24">
        <v>-1</v>
      </c>
      <c r="DI327" s="24">
        <v>0</v>
      </c>
      <c r="DJ327" s="24">
        <v>0</v>
      </c>
      <c r="DL327" s="24">
        <v>0</v>
      </c>
      <c r="DM327" s="24">
        <v>0</v>
      </c>
      <c r="DO327" s="24">
        <v>0</v>
      </c>
      <c r="DP327" s="24">
        <v>0</v>
      </c>
      <c r="DQ327" s="24">
        <v>0</v>
      </c>
      <c r="DR327" s="24">
        <v>0</v>
      </c>
      <c r="DS327" s="24">
        <v>0</v>
      </c>
      <c r="DT327" s="24">
        <v>0</v>
      </c>
      <c r="DV327" s="24">
        <v>0</v>
      </c>
      <c r="DW327" s="24">
        <v>0</v>
      </c>
      <c r="DX327" s="24">
        <v>0</v>
      </c>
      <c r="DY327" s="24">
        <v>0</v>
      </c>
      <c r="DZ327" s="24">
        <v>0</v>
      </c>
    </row>
    <row r="328" spans="1:130">
      <c r="G328" s="24" t="s">
        <v>639</v>
      </c>
      <c r="K328" s="24" t="s">
        <v>639</v>
      </c>
      <c r="S328" s="25"/>
      <c r="T328" s="24"/>
      <c r="BO328" s="25" t="s">
        <v>639</v>
      </c>
      <c r="CG328" s="14"/>
      <c r="CV328" s="24" t="s">
        <v>639</v>
      </c>
      <c r="DC328" s="24" t="s">
        <v>639</v>
      </c>
      <c r="DD328" s="24" t="s">
        <v>639</v>
      </c>
      <c r="DE328" s="24" t="s">
        <v>639</v>
      </c>
      <c r="DF328" s="24" t="s">
        <v>639</v>
      </c>
      <c r="DG328" s="24" t="s">
        <v>639</v>
      </c>
      <c r="DI328" s="24" t="s">
        <v>639</v>
      </c>
      <c r="DJ328" s="24" t="s">
        <v>639</v>
      </c>
      <c r="DL328" s="24" t="s">
        <v>639</v>
      </c>
      <c r="DM328" s="24" t="s">
        <v>639</v>
      </c>
      <c r="DO328" s="24" t="s">
        <v>639</v>
      </c>
      <c r="DP328" s="24" t="s">
        <v>639</v>
      </c>
      <c r="DQ328" s="24" t="s">
        <v>639</v>
      </c>
      <c r="DR328" s="24" t="s">
        <v>639</v>
      </c>
      <c r="DS328" s="24" t="s">
        <v>639</v>
      </c>
      <c r="DT328" s="24" t="s">
        <v>639</v>
      </c>
      <c r="DV328" s="24" t="s">
        <v>639</v>
      </c>
      <c r="DW328" s="24" t="s">
        <v>639</v>
      </c>
      <c r="DX328" s="24" t="s">
        <v>639</v>
      </c>
      <c r="DY328" s="24" t="s">
        <v>639</v>
      </c>
      <c r="DZ328" s="24" t="s">
        <v>639</v>
      </c>
    </row>
    <row r="329" spans="1:130">
      <c r="A329" s="24" t="s">
        <v>142</v>
      </c>
      <c r="B329" s="24" t="s">
        <v>142</v>
      </c>
      <c r="C329" s="24" t="s">
        <v>142</v>
      </c>
      <c r="D329" s="24" t="s">
        <v>142</v>
      </c>
      <c r="E329" s="24">
        <v>105210</v>
      </c>
      <c r="F329" s="24" t="s">
        <v>623</v>
      </c>
      <c r="G329" s="24">
        <v>0</v>
      </c>
      <c r="H329" s="24">
        <v>0</v>
      </c>
      <c r="I329" s="24" t="s">
        <v>622</v>
      </c>
      <c r="J329" s="24" t="s">
        <v>554</v>
      </c>
      <c r="K329" s="24" t="s">
        <v>608</v>
      </c>
      <c r="M329" s="24">
        <v>102</v>
      </c>
      <c r="N329" s="24">
        <v>0</v>
      </c>
      <c r="P329" s="25">
        <v>2</v>
      </c>
      <c r="Q329" s="25">
        <v>524288</v>
      </c>
      <c r="R329" s="24">
        <v>0</v>
      </c>
      <c r="S329" s="25">
        <v>0</v>
      </c>
      <c r="T329" s="24"/>
      <c r="U329" s="24">
        <v>0</v>
      </c>
      <c r="V329" s="25">
        <v>0</v>
      </c>
      <c r="W329" s="24">
        <v>0</v>
      </c>
      <c r="X329" s="24">
        <v>0</v>
      </c>
      <c r="Y329" s="24">
        <v>0</v>
      </c>
      <c r="Z329" s="24">
        <v>0</v>
      </c>
      <c r="AB329" s="24">
        <v>10001</v>
      </c>
      <c r="AC329" s="24">
        <v>-1</v>
      </c>
      <c r="AD329" s="24">
        <v>-1</v>
      </c>
      <c r="AE329" s="24">
        <v>-1</v>
      </c>
      <c r="AG329" s="24">
        <v>1</v>
      </c>
      <c r="AH329" s="24">
        <v>0</v>
      </c>
      <c r="AI329" s="24">
        <v>0</v>
      </c>
      <c r="AJ329" s="24">
        <v>0</v>
      </c>
      <c r="AK329" s="24">
        <v>0</v>
      </c>
      <c r="AL329" s="24">
        <v>0</v>
      </c>
      <c r="AM329" s="24">
        <v>0</v>
      </c>
      <c r="AN329" s="24">
        <v>0</v>
      </c>
      <c r="AO329" s="24">
        <v>0</v>
      </c>
      <c r="AP329" s="24">
        <v>0</v>
      </c>
      <c r="AQ329" s="24">
        <v>0</v>
      </c>
      <c r="AR329" s="24">
        <v>0</v>
      </c>
      <c r="AS329" s="24">
        <v>0</v>
      </c>
      <c r="AT329" s="24">
        <v>0</v>
      </c>
      <c r="AU329" s="24">
        <v>0</v>
      </c>
      <c r="AV329" s="24">
        <v>0</v>
      </c>
      <c r="AW329" s="24">
        <v>0</v>
      </c>
      <c r="AX329" s="24">
        <v>0</v>
      </c>
      <c r="AY329" s="24">
        <v>0</v>
      </c>
      <c r="BA329" s="24">
        <v>0</v>
      </c>
      <c r="BB329" s="24">
        <v>300</v>
      </c>
      <c r="BC329" s="24">
        <v>667</v>
      </c>
      <c r="BD329" s="24">
        <v>0</v>
      </c>
      <c r="BE329" s="24">
        <v>200</v>
      </c>
      <c r="BF329" s="24">
        <v>1</v>
      </c>
      <c r="BG329" s="25">
        <v>1</v>
      </c>
      <c r="BH329" s="24">
        <v>1</v>
      </c>
      <c r="BI329" s="24">
        <v>0</v>
      </c>
      <c r="BJ329" s="24">
        <v>0</v>
      </c>
      <c r="BK329" s="24">
        <v>0</v>
      </c>
      <c r="BL329" s="25">
        <v>126</v>
      </c>
      <c r="BM329" s="24">
        <v>0</v>
      </c>
      <c r="BO329" s="25">
        <v>16</v>
      </c>
      <c r="BP329" s="24">
        <v>0</v>
      </c>
      <c r="BQ329" s="24">
        <v>0</v>
      </c>
      <c r="BR329" s="24">
        <v>5</v>
      </c>
      <c r="BS329" s="24">
        <v>1</v>
      </c>
      <c r="BT329" s="24">
        <v>150</v>
      </c>
      <c r="BU329" s="24">
        <v>50</v>
      </c>
      <c r="BV329" s="24">
        <v>6</v>
      </c>
      <c r="BW329" s="24">
        <v>0</v>
      </c>
      <c r="BX329" s="24">
        <v>4</v>
      </c>
      <c r="BZ329" s="24">
        <v>105210</v>
      </c>
      <c r="CA329" s="24">
        <v>0</v>
      </c>
      <c r="CB329" s="24">
        <v>-1</v>
      </c>
      <c r="CC329" s="24">
        <v>-1</v>
      </c>
      <c r="CD329" s="24">
        <v>-1</v>
      </c>
      <c r="CE329" s="24">
        <v>-1</v>
      </c>
      <c r="CG329" s="14">
        <v>-1</v>
      </c>
      <c r="CH329" s="24">
        <v>0</v>
      </c>
      <c r="CI329" s="24">
        <v>0</v>
      </c>
      <c r="CJ329" s="24">
        <v>0</v>
      </c>
      <c r="CK329" s="24">
        <v>0</v>
      </c>
      <c r="CL329" s="24">
        <v>0</v>
      </c>
      <c r="CM329" s="24">
        <v>0</v>
      </c>
      <c r="CN329" s="24">
        <v>0</v>
      </c>
      <c r="CO329" s="24">
        <v>0</v>
      </c>
      <c r="CQ329" s="24">
        <v>0</v>
      </c>
      <c r="CR329" s="24">
        <v>0</v>
      </c>
      <c r="CS329" s="24">
        <v>0</v>
      </c>
      <c r="CT329" s="24">
        <v>0</v>
      </c>
      <c r="CV329" s="24">
        <v>110107</v>
      </c>
      <c r="CW329" s="24">
        <v>7</v>
      </c>
      <c r="CX329" s="24">
        <v>101004</v>
      </c>
      <c r="CY329" s="26">
        <v>1</v>
      </c>
      <c r="CZ329" s="24">
        <v>2</v>
      </c>
      <c r="DA329" s="24">
        <v>0</v>
      </c>
      <c r="DC329" s="24">
        <v>1</v>
      </c>
      <c r="DD329" s="24">
        <v>1</v>
      </c>
      <c r="DE329" s="24">
        <v>0</v>
      </c>
      <c r="DF329" s="24">
        <v>0</v>
      </c>
      <c r="DG329" s="24">
        <v>-1</v>
      </c>
      <c r="DI329" s="24">
        <v>0</v>
      </c>
      <c r="DJ329" s="24">
        <v>0</v>
      </c>
      <c r="DL329" s="24">
        <v>0</v>
      </c>
      <c r="DM329" s="24">
        <v>0</v>
      </c>
      <c r="DO329" s="24">
        <v>0</v>
      </c>
      <c r="DP329" s="24">
        <v>0</v>
      </c>
      <c r="DQ329" s="24">
        <v>0</v>
      </c>
      <c r="DR329" s="24">
        <v>0</v>
      </c>
      <c r="DS329" s="24">
        <v>0</v>
      </c>
      <c r="DT329" s="24">
        <v>0</v>
      </c>
      <c r="DV329" s="24">
        <v>0</v>
      </c>
      <c r="DW329" s="24">
        <v>0</v>
      </c>
      <c r="DX329" s="24">
        <v>0</v>
      </c>
      <c r="DY329" s="24">
        <v>0</v>
      </c>
      <c r="DZ329" s="24">
        <v>0</v>
      </c>
    </row>
    <row r="330" spans="1:130">
      <c r="A330" s="24" t="s">
        <v>142</v>
      </c>
      <c r="B330" s="24" t="s">
        <v>142</v>
      </c>
      <c r="C330" s="24" t="s">
        <v>142</v>
      </c>
      <c r="D330" s="24" t="s">
        <v>142</v>
      </c>
      <c r="E330" s="24">
        <v>105211</v>
      </c>
      <c r="F330" s="24" t="s">
        <v>621</v>
      </c>
      <c r="G330" s="24">
        <v>0</v>
      </c>
      <c r="H330" s="24">
        <v>0</v>
      </c>
      <c r="I330" s="24" t="s">
        <v>620</v>
      </c>
      <c r="J330" s="24" t="s">
        <v>555</v>
      </c>
      <c r="K330" s="24" t="s">
        <v>473</v>
      </c>
      <c r="M330" s="24">
        <v>102</v>
      </c>
      <c r="N330" s="24">
        <v>0</v>
      </c>
      <c r="P330" s="25">
        <v>2</v>
      </c>
      <c r="Q330" s="25">
        <v>524289</v>
      </c>
      <c r="R330" s="24">
        <v>105210</v>
      </c>
      <c r="S330" s="25">
        <v>0</v>
      </c>
      <c r="T330" s="24"/>
      <c r="U330" s="24">
        <v>0</v>
      </c>
      <c r="V330" s="25">
        <v>0</v>
      </c>
      <c r="W330" s="24">
        <v>0</v>
      </c>
      <c r="X330" s="24">
        <v>0</v>
      </c>
      <c r="Y330" s="24">
        <v>0</v>
      </c>
      <c r="Z330" s="24">
        <v>0</v>
      </c>
      <c r="AB330" s="24">
        <v>10005</v>
      </c>
      <c r="AC330" s="24">
        <v>500</v>
      </c>
      <c r="AD330" s="24">
        <v>4</v>
      </c>
      <c r="AE330" s="24">
        <v>1023</v>
      </c>
      <c r="AG330" s="24">
        <v>1</v>
      </c>
      <c r="AH330" s="24">
        <v>0</v>
      </c>
      <c r="AI330" s="24">
        <v>0</v>
      </c>
      <c r="AJ330" s="24">
        <v>0</v>
      </c>
      <c r="AK330" s="24">
        <v>0</v>
      </c>
      <c r="AL330" s="24">
        <v>0</v>
      </c>
      <c r="AM330" s="24">
        <v>0</v>
      </c>
      <c r="AN330" s="24">
        <v>0</v>
      </c>
      <c r="AO330" s="24">
        <v>0</v>
      </c>
      <c r="AP330" s="24">
        <v>0</v>
      </c>
      <c r="AQ330" s="24">
        <v>0</v>
      </c>
      <c r="AR330" s="24">
        <v>0</v>
      </c>
      <c r="AS330" s="24">
        <v>0</v>
      </c>
      <c r="AT330" s="24">
        <v>0</v>
      </c>
      <c r="AU330" s="24">
        <v>0</v>
      </c>
      <c r="AV330" s="24">
        <v>0</v>
      </c>
      <c r="AW330" s="24">
        <v>0</v>
      </c>
      <c r="AX330" s="24">
        <v>0</v>
      </c>
      <c r="AY330" s="24">
        <v>0</v>
      </c>
      <c r="BA330" s="24">
        <v>0</v>
      </c>
      <c r="BB330" s="24">
        <v>300</v>
      </c>
      <c r="BC330" s="24">
        <v>667</v>
      </c>
      <c r="BD330" s="24">
        <v>0</v>
      </c>
      <c r="BE330" s="24">
        <v>200</v>
      </c>
      <c r="BF330" s="24">
        <v>1</v>
      </c>
      <c r="BG330" s="25">
        <v>1</v>
      </c>
      <c r="BH330" s="24">
        <v>1</v>
      </c>
      <c r="BI330" s="24">
        <v>0</v>
      </c>
      <c r="BJ330" s="24">
        <v>0</v>
      </c>
      <c r="BK330" s="24">
        <v>0</v>
      </c>
      <c r="BL330" s="25">
        <v>126</v>
      </c>
      <c r="BM330" s="24">
        <v>0</v>
      </c>
      <c r="BO330" s="25">
        <v>16</v>
      </c>
      <c r="BP330" s="24">
        <v>0</v>
      </c>
      <c r="BQ330" s="24">
        <v>0</v>
      </c>
      <c r="BR330" s="24">
        <v>5</v>
      </c>
      <c r="BS330" s="24">
        <v>1</v>
      </c>
      <c r="BT330" s="24">
        <v>150</v>
      </c>
      <c r="BU330" s="24">
        <v>80</v>
      </c>
      <c r="BV330" s="24">
        <v>6</v>
      </c>
      <c r="BW330" s="24">
        <v>0</v>
      </c>
      <c r="BX330" s="24">
        <v>4</v>
      </c>
      <c r="BZ330" s="24">
        <v>105211</v>
      </c>
      <c r="CA330" s="24">
        <v>0</v>
      </c>
      <c r="CB330" s="24">
        <v>-1</v>
      </c>
      <c r="CC330" s="24">
        <v>-1</v>
      </c>
      <c r="CD330" s="24">
        <v>-1</v>
      </c>
      <c r="CE330" s="24">
        <v>-1</v>
      </c>
      <c r="CG330" s="14">
        <v>-1</v>
      </c>
      <c r="CH330" s="24">
        <v>0</v>
      </c>
      <c r="CI330" s="24">
        <v>0</v>
      </c>
      <c r="CJ330" s="24">
        <v>0</v>
      </c>
      <c r="CK330" s="24">
        <v>0</v>
      </c>
      <c r="CL330" s="24">
        <v>0</v>
      </c>
      <c r="CM330" s="24">
        <v>0</v>
      </c>
      <c r="CN330" s="24">
        <v>0</v>
      </c>
      <c r="CO330" s="24">
        <v>0</v>
      </c>
      <c r="CQ330" s="24">
        <v>0</v>
      </c>
      <c r="CR330" s="24">
        <v>0</v>
      </c>
      <c r="CS330" s="24">
        <v>0</v>
      </c>
      <c r="CT330" s="24">
        <v>0</v>
      </c>
      <c r="CV330" s="24">
        <v>110106</v>
      </c>
      <c r="CW330" s="24">
        <v>7</v>
      </c>
      <c r="CX330" s="24">
        <v>101004</v>
      </c>
      <c r="CY330" s="26">
        <v>1</v>
      </c>
      <c r="CZ330" s="24">
        <v>2</v>
      </c>
      <c r="DA330" s="24">
        <v>0</v>
      </c>
      <c r="DC330" s="24">
        <v>1</v>
      </c>
      <c r="DD330" s="24">
        <v>1</v>
      </c>
      <c r="DE330" s="24">
        <v>0</v>
      </c>
      <c r="DF330" s="24">
        <v>0</v>
      </c>
      <c r="DG330" s="24">
        <v>-1</v>
      </c>
      <c r="DI330" s="24">
        <v>0</v>
      </c>
      <c r="DJ330" s="24">
        <v>0</v>
      </c>
      <c r="DL330" s="24">
        <v>0</v>
      </c>
      <c r="DM330" s="24">
        <v>0</v>
      </c>
      <c r="DO330" s="24">
        <v>0</v>
      </c>
      <c r="DP330" s="24">
        <v>0</v>
      </c>
      <c r="DQ330" s="24">
        <v>0</v>
      </c>
      <c r="DR330" s="24">
        <v>0</v>
      </c>
      <c r="DS330" s="24">
        <v>0</v>
      </c>
      <c r="DT330" s="24">
        <v>0</v>
      </c>
      <c r="DV330" s="24">
        <v>0</v>
      </c>
      <c r="DW330" s="24">
        <v>0</v>
      </c>
      <c r="DX330" s="24">
        <v>0</v>
      </c>
      <c r="DY330" s="24">
        <v>0</v>
      </c>
      <c r="DZ330" s="24">
        <v>0</v>
      </c>
    </row>
    <row r="331" spans="1:130">
      <c r="G331" s="24" t="s">
        <v>639</v>
      </c>
      <c r="K331" s="24" t="s">
        <v>639</v>
      </c>
      <c r="S331" s="25"/>
      <c r="T331" s="24"/>
      <c r="BO331" s="25" t="s">
        <v>639</v>
      </c>
      <c r="CV331" s="24" t="s">
        <v>639</v>
      </c>
      <c r="DC331" s="24" t="s">
        <v>639</v>
      </c>
      <c r="DD331" s="24" t="s">
        <v>639</v>
      </c>
      <c r="DE331" s="24" t="s">
        <v>639</v>
      </c>
      <c r="DF331" s="24" t="s">
        <v>639</v>
      </c>
      <c r="DG331" s="24" t="s">
        <v>639</v>
      </c>
      <c r="DI331" s="24" t="s">
        <v>639</v>
      </c>
      <c r="DJ331" s="24" t="s">
        <v>639</v>
      </c>
      <c r="DL331" s="24" t="s">
        <v>639</v>
      </c>
      <c r="DM331" s="24" t="s">
        <v>639</v>
      </c>
      <c r="DO331" s="24" t="s">
        <v>639</v>
      </c>
      <c r="DP331" s="24" t="s">
        <v>639</v>
      </c>
      <c r="DQ331" s="24" t="s">
        <v>639</v>
      </c>
      <c r="DR331" s="24" t="s">
        <v>639</v>
      </c>
      <c r="DS331" s="24" t="s">
        <v>639</v>
      </c>
      <c r="DT331" s="24" t="s">
        <v>639</v>
      </c>
      <c r="DV331" s="24" t="s">
        <v>639</v>
      </c>
      <c r="DW331" s="24" t="s">
        <v>639</v>
      </c>
      <c r="DX331" s="24" t="s">
        <v>639</v>
      </c>
      <c r="DY331" s="24" t="s">
        <v>639</v>
      </c>
      <c r="DZ331" s="24" t="s">
        <v>639</v>
      </c>
    </row>
    <row r="332" spans="1:130">
      <c r="A332" s="24" t="s">
        <v>142</v>
      </c>
      <c r="B332" s="24" t="s">
        <v>142</v>
      </c>
      <c r="C332" s="24" t="s">
        <v>142</v>
      </c>
      <c r="D332" s="24" t="s">
        <v>142</v>
      </c>
      <c r="E332" s="24">
        <v>105220</v>
      </c>
      <c r="F332" s="24" t="s">
        <v>605</v>
      </c>
      <c r="G332" s="24">
        <v>0</v>
      </c>
      <c r="H332" s="24">
        <v>0</v>
      </c>
      <c r="I332" s="24" t="s">
        <v>605</v>
      </c>
      <c r="J332" s="24" t="s">
        <v>619</v>
      </c>
      <c r="K332" s="24" t="s">
        <v>644</v>
      </c>
      <c r="M332" s="24">
        <v>102</v>
      </c>
      <c r="N332" s="24">
        <v>0</v>
      </c>
      <c r="P332" s="25">
        <v>2</v>
      </c>
      <c r="Q332" s="25">
        <v>524544</v>
      </c>
      <c r="R332" s="24">
        <v>0</v>
      </c>
      <c r="S332" s="25">
        <v>2</v>
      </c>
      <c r="T332" s="24"/>
      <c r="U332" s="24">
        <v>0</v>
      </c>
      <c r="V332" s="25">
        <v>0</v>
      </c>
      <c r="W332" s="24">
        <v>0</v>
      </c>
      <c r="X332" s="24">
        <v>0</v>
      </c>
      <c r="Y332" s="24">
        <v>0</v>
      </c>
      <c r="Z332" s="24">
        <v>0</v>
      </c>
      <c r="AB332" s="24">
        <v>10001</v>
      </c>
      <c r="AC332" s="24">
        <v>-1</v>
      </c>
      <c r="AD332" s="24">
        <v>-1</v>
      </c>
      <c r="AE332" s="24">
        <v>-1</v>
      </c>
      <c r="AG332" s="24">
        <v>1</v>
      </c>
      <c r="AH332" s="24">
        <v>0</v>
      </c>
      <c r="AI332" s="24">
        <v>0</v>
      </c>
      <c r="AJ332" s="24">
        <v>0</v>
      </c>
      <c r="AK332" s="24">
        <v>0</v>
      </c>
      <c r="AL332" s="24">
        <v>0</v>
      </c>
      <c r="AM332" s="24">
        <v>0</v>
      </c>
      <c r="AN332" s="24">
        <v>0</v>
      </c>
      <c r="AO332" s="24">
        <v>0</v>
      </c>
      <c r="AP332" s="24">
        <v>0</v>
      </c>
      <c r="AQ332" s="24">
        <v>0</v>
      </c>
      <c r="AR332" s="24">
        <v>0</v>
      </c>
      <c r="AS332" s="24">
        <v>0</v>
      </c>
      <c r="AT332" s="24">
        <v>0</v>
      </c>
      <c r="AU332" s="24">
        <v>0</v>
      </c>
      <c r="AV332" s="24">
        <v>0</v>
      </c>
      <c r="AW332" s="24">
        <v>0</v>
      </c>
      <c r="AX332" s="24">
        <v>0</v>
      </c>
      <c r="AY332" s="24">
        <v>0</v>
      </c>
      <c r="BA332" s="24">
        <v>0</v>
      </c>
      <c r="BB332" s="24">
        <v>2067</v>
      </c>
      <c r="BC332" s="24">
        <v>2067</v>
      </c>
      <c r="BD332" s="24">
        <v>0</v>
      </c>
      <c r="BE332" s="24">
        <v>200</v>
      </c>
      <c r="BF332" s="24">
        <v>10</v>
      </c>
      <c r="BG332" s="25">
        <v>17</v>
      </c>
      <c r="BH332" s="24">
        <v>1</v>
      </c>
      <c r="BI332" s="24">
        <v>0</v>
      </c>
      <c r="BJ332" s="24">
        <v>0</v>
      </c>
      <c r="BK332" s="24">
        <v>0</v>
      </c>
      <c r="BL332" s="25">
        <v>126</v>
      </c>
      <c r="BM332" s="24">
        <v>0</v>
      </c>
      <c r="BO332" s="25">
        <v>1</v>
      </c>
      <c r="BP332" s="24">
        <v>20</v>
      </c>
      <c r="BQ332" s="24">
        <v>0</v>
      </c>
      <c r="BR332" s="24">
        <v>2</v>
      </c>
      <c r="BS332" s="24">
        <v>50</v>
      </c>
      <c r="BT332" s="24">
        <v>0</v>
      </c>
      <c r="BU332" s="24">
        <v>0</v>
      </c>
      <c r="BV332" s="24">
        <v>6</v>
      </c>
      <c r="BW332" s="24">
        <v>0</v>
      </c>
      <c r="BX332" s="24">
        <v>4</v>
      </c>
      <c r="BZ332" s="24">
        <v>105220</v>
      </c>
      <c r="CA332" s="24">
        <v>0</v>
      </c>
      <c r="CB332" s="24">
        <v>0</v>
      </c>
      <c r="CC332" s="24">
        <v>0</v>
      </c>
      <c r="CD332" s="24">
        <v>0</v>
      </c>
      <c r="CE332" s="24">
        <v>0</v>
      </c>
      <c r="CG332" s="24">
        <v>-1</v>
      </c>
      <c r="CH332" s="24">
        <v>0</v>
      </c>
      <c r="CI332" s="24">
        <v>0</v>
      </c>
      <c r="CJ332" s="24">
        <v>0</v>
      </c>
      <c r="CK332" s="24">
        <v>0</v>
      </c>
      <c r="CL332" s="24">
        <v>0</v>
      </c>
      <c r="CM332" s="24">
        <v>0</v>
      </c>
      <c r="CN332" s="24">
        <v>0</v>
      </c>
      <c r="CO332" s="24">
        <v>0</v>
      </c>
      <c r="CQ332" s="24">
        <v>0</v>
      </c>
      <c r="CR332" s="24">
        <v>0</v>
      </c>
      <c r="CS332" s="24">
        <v>0</v>
      </c>
      <c r="CT332" s="24">
        <v>0</v>
      </c>
      <c r="CV332" s="24">
        <v>10002</v>
      </c>
      <c r="CW332" s="24">
        <v>0</v>
      </c>
      <c r="CX332" s="24">
        <v>1001012</v>
      </c>
      <c r="CY332" s="26">
        <v>1</v>
      </c>
      <c r="CZ332" s="24">
        <v>2</v>
      </c>
      <c r="DA332" s="24">
        <v>0</v>
      </c>
      <c r="DC332" s="24">
        <v>1</v>
      </c>
      <c r="DD332" s="24">
        <v>1</v>
      </c>
      <c r="DE332" s="24">
        <v>0</v>
      </c>
      <c r="DF332" s="24">
        <v>0</v>
      </c>
      <c r="DG332" s="24">
        <v>25</v>
      </c>
      <c r="DI332" s="24">
        <v>0</v>
      </c>
      <c r="DJ332" s="24">
        <v>0</v>
      </c>
      <c r="DL332" s="24">
        <v>0</v>
      </c>
      <c r="DM332" s="24">
        <v>0</v>
      </c>
      <c r="DO332" s="24">
        <v>0</v>
      </c>
      <c r="DP332" s="24">
        <v>0</v>
      </c>
      <c r="DQ332" s="24">
        <v>0</v>
      </c>
      <c r="DR332" s="24">
        <v>0</v>
      </c>
      <c r="DS332" s="24">
        <v>0</v>
      </c>
      <c r="DT332" s="24">
        <v>0</v>
      </c>
      <c r="DV332" s="24">
        <v>0</v>
      </c>
      <c r="DW332" s="24">
        <v>0</v>
      </c>
      <c r="DX332" s="24">
        <v>0</v>
      </c>
      <c r="DY332" s="24">
        <v>0</v>
      </c>
      <c r="DZ332" s="24">
        <v>0</v>
      </c>
    </row>
    <row r="333" spans="1:130">
      <c r="A333" s="24" t="s">
        <v>142</v>
      </c>
      <c r="B333" s="24" t="s">
        <v>142</v>
      </c>
      <c r="C333" s="24" t="s">
        <v>142</v>
      </c>
      <c r="D333" s="24" t="s">
        <v>142</v>
      </c>
      <c r="E333" s="24">
        <v>105221</v>
      </c>
      <c r="F333" s="24" t="s">
        <v>606</v>
      </c>
      <c r="G333" s="24">
        <v>0</v>
      </c>
      <c r="H333" s="24">
        <v>0</v>
      </c>
      <c r="I333" s="24" t="s">
        <v>618</v>
      </c>
      <c r="J333" s="24" t="s">
        <v>618</v>
      </c>
      <c r="K333" s="24" t="s">
        <v>644</v>
      </c>
      <c r="M333" s="24">
        <v>102</v>
      </c>
      <c r="N333" s="24">
        <v>0</v>
      </c>
      <c r="P333" s="25">
        <v>12</v>
      </c>
      <c r="Q333" s="25">
        <v>0</v>
      </c>
      <c r="R333" s="24">
        <v>0</v>
      </c>
      <c r="S333" s="27">
        <v>0</v>
      </c>
      <c r="U333" s="24">
        <v>3</v>
      </c>
      <c r="V333" s="25">
        <v>2</v>
      </c>
      <c r="W333" s="24">
        <v>0</v>
      </c>
      <c r="X333" s="24">
        <v>105220</v>
      </c>
      <c r="Y333" s="24">
        <v>0</v>
      </c>
      <c r="Z333" s="24">
        <v>1000</v>
      </c>
      <c r="AB333" s="24">
        <v>30001</v>
      </c>
      <c r="AC333" s="24">
        <v>-1</v>
      </c>
      <c r="AD333" s="24">
        <v>-1</v>
      </c>
      <c r="AE333" s="24">
        <v>-1</v>
      </c>
      <c r="AG333" s="24">
        <v>1</v>
      </c>
      <c r="AH333" s="24">
        <v>0</v>
      </c>
      <c r="AI333" s="24">
        <v>0</v>
      </c>
      <c r="AJ333" s="24">
        <v>0</v>
      </c>
      <c r="AK333" s="24">
        <v>0</v>
      </c>
      <c r="AL333" s="24">
        <v>0</v>
      </c>
      <c r="AM333" s="24">
        <v>0</v>
      </c>
      <c r="AN333" s="24">
        <v>0</v>
      </c>
      <c r="AO333" s="24">
        <v>0</v>
      </c>
      <c r="AP333" s="24">
        <v>0</v>
      </c>
      <c r="AQ333" s="24">
        <v>0</v>
      </c>
      <c r="AR333" s="24">
        <v>0</v>
      </c>
      <c r="AS333" s="24">
        <v>0</v>
      </c>
      <c r="AT333" s="24">
        <v>0</v>
      </c>
      <c r="AU333" s="24">
        <v>0</v>
      </c>
      <c r="AV333" s="24">
        <v>0</v>
      </c>
      <c r="AW333" s="24">
        <v>0</v>
      </c>
      <c r="AX333" s="24">
        <v>0</v>
      </c>
      <c r="AY333" s="24">
        <v>0</v>
      </c>
      <c r="BA333" s="24">
        <v>0</v>
      </c>
      <c r="BB333" s="24">
        <v>1680</v>
      </c>
      <c r="BC333" s="24">
        <v>1680</v>
      </c>
      <c r="BD333" s="24">
        <v>0</v>
      </c>
      <c r="BE333" s="24">
        <v>200</v>
      </c>
      <c r="BF333" s="24">
        <v>10</v>
      </c>
      <c r="BG333" s="25">
        <v>1024</v>
      </c>
      <c r="BH333" s="24">
        <v>4</v>
      </c>
      <c r="BI333" s="24">
        <v>15106</v>
      </c>
      <c r="BJ333" s="24">
        <v>1</v>
      </c>
      <c r="BK333" s="24">
        <v>1</v>
      </c>
      <c r="BL333" s="25">
        <v>126</v>
      </c>
      <c r="BM333" s="24">
        <v>0</v>
      </c>
      <c r="BO333" s="25">
        <v>1</v>
      </c>
      <c r="BP333" s="24">
        <v>0</v>
      </c>
      <c r="BQ333" s="24">
        <v>0</v>
      </c>
      <c r="BR333" s="24">
        <v>2</v>
      </c>
      <c r="BS333" s="24">
        <v>50</v>
      </c>
      <c r="BT333" s="24">
        <v>0</v>
      </c>
      <c r="BU333" s="24">
        <v>0</v>
      </c>
      <c r="BV333" s="24">
        <v>6</v>
      </c>
      <c r="BW333" s="24">
        <v>0</v>
      </c>
      <c r="BX333" s="24">
        <v>4</v>
      </c>
      <c r="BZ333" s="24">
        <v>-1</v>
      </c>
      <c r="CA333" s="24">
        <v>0</v>
      </c>
      <c r="CB333" s="24">
        <v>0</v>
      </c>
      <c r="CC333" s="24">
        <v>0</v>
      </c>
      <c r="CD333" s="24">
        <v>0</v>
      </c>
      <c r="CE333" s="24">
        <v>0</v>
      </c>
      <c r="CG333" s="24">
        <v>-1</v>
      </c>
      <c r="CH333" s="24">
        <v>0</v>
      </c>
      <c r="CI333" s="24">
        <v>0</v>
      </c>
      <c r="CJ333" s="24">
        <v>0</v>
      </c>
      <c r="CK333" s="24">
        <v>0</v>
      </c>
      <c r="CL333" s="24">
        <v>0</v>
      </c>
      <c r="CM333" s="24">
        <v>0</v>
      </c>
      <c r="CN333" s="24">
        <v>0</v>
      </c>
      <c r="CO333" s="24">
        <v>0</v>
      </c>
      <c r="CQ333" s="24">
        <v>0</v>
      </c>
      <c r="CR333" s="24">
        <v>0</v>
      </c>
      <c r="CS333" s="24">
        <v>0</v>
      </c>
      <c r="CT333" s="24">
        <v>0</v>
      </c>
      <c r="CV333" s="24">
        <v>0</v>
      </c>
      <c r="CW333" s="24">
        <v>0</v>
      </c>
      <c r="CX333" s="24">
        <v>-1</v>
      </c>
      <c r="CY333" s="26">
        <v>0</v>
      </c>
      <c r="CZ333" s="24">
        <v>0</v>
      </c>
      <c r="DA333" s="24">
        <v>0</v>
      </c>
      <c r="DC333" s="24">
        <v>1</v>
      </c>
      <c r="DD333" s="24">
        <v>1</v>
      </c>
      <c r="DE333" s="24">
        <v>0</v>
      </c>
      <c r="DF333" s="24">
        <v>0</v>
      </c>
      <c r="DG333" s="24">
        <v>25</v>
      </c>
      <c r="DI333" s="24">
        <v>0</v>
      </c>
      <c r="DJ333" s="24">
        <v>0</v>
      </c>
      <c r="DL333" s="24">
        <v>0</v>
      </c>
      <c r="DM333" s="24">
        <v>0</v>
      </c>
      <c r="DO333" s="24">
        <v>0</v>
      </c>
      <c r="DP333" s="24">
        <v>0</v>
      </c>
      <c r="DQ333" s="24">
        <v>0</v>
      </c>
      <c r="DR333" s="24">
        <v>0</v>
      </c>
      <c r="DS333" s="24">
        <v>0</v>
      </c>
      <c r="DT333" s="24">
        <v>0</v>
      </c>
      <c r="DV333" s="24">
        <v>0</v>
      </c>
      <c r="DW333" s="24">
        <v>0</v>
      </c>
      <c r="DX333" s="24">
        <v>0</v>
      </c>
      <c r="DY333" s="24">
        <v>0</v>
      </c>
      <c r="DZ333" s="24">
        <v>0</v>
      </c>
    </row>
    <row r="334" spans="1:130">
      <c r="G334" s="24" t="s">
        <v>639</v>
      </c>
      <c r="K334" s="24" t="s">
        <v>639</v>
      </c>
      <c r="S334" s="25"/>
      <c r="T334" s="24"/>
      <c r="BO334" s="25" t="s">
        <v>639</v>
      </c>
      <c r="CV334" s="24" t="s">
        <v>639</v>
      </c>
      <c r="DC334" s="24" t="s">
        <v>639</v>
      </c>
      <c r="DD334" s="24" t="s">
        <v>639</v>
      </c>
      <c r="DE334" s="24" t="s">
        <v>639</v>
      </c>
      <c r="DF334" s="24" t="s">
        <v>639</v>
      </c>
      <c r="DG334" s="24" t="s">
        <v>639</v>
      </c>
      <c r="DI334" s="24" t="s">
        <v>639</v>
      </c>
      <c r="DJ334" s="24" t="s">
        <v>639</v>
      </c>
      <c r="DL334" s="24" t="s">
        <v>639</v>
      </c>
      <c r="DM334" s="24" t="s">
        <v>639</v>
      </c>
      <c r="DO334" s="24" t="s">
        <v>639</v>
      </c>
      <c r="DP334" s="24" t="s">
        <v>639</v>
      </c>
      <c r="DQ334" s="24" t="s">
        <v>639</v>
      </c>
      <c r="DR334" s="24" t="s">
        <v>639</v>
      </c>
      <c r="DS334" s="24" t="s">
        <v>639</v>
      </c>
      <c r="DT334" s="24" t="s">
        <v>639</v>
      </c>
      <c r="DV334" s="24" t="s">
        <v>639</v>
      </c>
      <c r="DW334" s="24" t="s">
        <v>639</v>
      </c>
      <c r="DX334" s="24" t="s">
        <v>639</v>
      </c>
      <c r="DY334" s="24" t="s">
        <v>639</v>
      </c>
      <c r="DZ334" s="24" t="s">
        <v>639</v>
      </c>
    </row>
    <row r="335" spans="1:130">
      <c r="A335" s="24" t="s">
        <v>142</v>
      </c>
      <c r="B335" s="24" t="s">
        <v>142</v>
      </c>
      <c r="C335" s="24" t="s">
        <v>142</v>
      </c>
      <c r="D335" s="24" t="s">
        <v>142</v>
      </c>
      <c r="E335" s="24">
        <v>105230</v>
      </c>
      <c r="F335" s="24" t="s">
        <v>617</v>
      </c>
      <c r="G335" s="24">
        <v>0</v>
      </c>
      <c r="H335" s="24">
        <v>0</v>
      </c>
      <c r="I335" s="24" t="s">
        <v>617</v>
      </c>
      <c r="J335" s="24" t="s">
        <v>556</v>
      </c>
      <c r="K335" s="24" t="s">
        <v>609</v>
      </c>
      <c r="M335" s="24">
        <v>102</v>
      </c>
      <c r="N335" s="24">
        <v>0</v>
      </c>
      <c r="P335" s="25">
        <v>2</v>
      </c>
      <c r="Q335" s="25">
        <v>2097408</v>
      </c>
      <c r="R335" s="24">
        <v>0</v>
      </c>
      <c r="S335" s="25">
        <v>0</v>
      </c>
      <c r="T335" s="24"/>
      <c r="U335" s="24">
        <v>0</v>
      </c>
      <c r="V335" s="25">
        <v>0</v>
      </c>
      <c r="W335" s="24">
        <v>0</v>
      </c>
      <c r="X335" s="24">
        <v>0</v>
      </c>
      <c r="Y335" s="24">
        <v>0</v>
      </c>
      <c r="Z335" s="24">
        <v>0</v>
      </c>
      <c r="AB335" s="24">
        <v>10001</v>
      </c>
      <c r="AC335" s="24">
        <v>-1</v>
      </c>
      <c r="AD335" s="24">
        <v>-1</v>
      </c>
      <c r="AE335" s="24">
        <v>-1</v>
      </c>
      <c r="AG335" s="24">
        <v>1</v>
      </c>
      <c r="AH335" s="24">
        <v>0</v>
      </c>
      <c r="AI335" s="24">
        <v>0</v>
      </c>
      <c r="AJ335" s="24">
        <v>0</v>
      </c>
      <c r="AK335" s="24">
        <v>0</v>
      </c>
      <c r="AL335" s="24">
        <v>0</v>
      </c>
      <c r="AM335" s="24">
        <v>0</v>
      </c>
      <c r="AN335" s="24">
        <v>0</v>
      </c>
      <c r="AO335" s="24">
        <v>0</v>
      </c>
      <c r="AP335" s="24">
        <v>0</v>
      </c>
      <c r="AQ335" s="24">
        <v>0</v>
      </c>
      <c r="AR335" s="24">
        <v>0</v>
      </c>
      <c r="AS335" s="24">
        <v>0</v>
      </c>
      <c r="AT335" s="24">
        <v>0</v>
      </c>
      <c r="AU335" s="24">
        <v>0</v>
      </c>
      <c r="AV335" s="24">
        <v>0</v>
      </c>
      <c r="AW335" s="24">
        <v>0</v>
      </c>
      <c r="AX335" s="24">
        <v>0</v>
      </c>
      <c r="AY335" s="24">
        <v>0</v>
      </c>
      <c r="BA335" s="24">
        <v>0</v>
      </c>
      <c r="BB335" s="24">
        <v>1000</v>
      </c>
      <c r="BC335" s="24">
        <v>1833</v>
      </c>
      <c r="BD335" s="24">
        <v>0</v>
      </c>
      <c r="BE335" s="24">
        <v>200</v>
      </c>
      <c r="BF335" s="24">
        <v>1</v>
      </c>
      <c r="BG335" s="25">
        <v>17</v>
      </c>
      <c r="BH335" s="24">
        <v>1</v>
      </c>
      <c r="BI335" s="24">
        <v>0</v>
      </c>
      <c r="BJ335" s="24">
        <v>0</v>
      </c>
      <c r="BK335" s="24">
        <v>0</v>
      </c>
      <c r="BL335" s="25">
        <v>126</v>
      </c>
      <c r="BM335" s="24">
        <v>0</v>
      </c>
      <c r="BO335" s="25">
        <v>16</v>
      </c>
      <c r="BP335" s="24">
        <v>0</v>
      </c>
      <c r="BQ335" s="24">
        <v>0</v>
      </c>
      <c r="BR335" s="24">
        <v>2</v>
      </c>
      <c r="BS335" s="24">
        <v>50</v>
      </c>
      <c r="BT335" s="24">
        <v>0</v>
      </c>
      <c r="BU335" s="24">
        <v>0</v>
      </c>
      <c r="BV335" s="24">
        <v>6</v>
      </c>
      <c r="BW335" s="24">
        <v>0</v>
      </c>
      <c r="BX335" s="24">
        <v>4</v>
      </c>
      <c r="BZ335" s="24">
        <v>105230</v>
      </c>
      <c r="CA335" s="24">
        <v>0</v>
      </c>
      <c r="CB335" s="24">
        <v>-1</v>
      </c>
      <c r="CC335" s="24">
        <v>-1</v>
      </c>
      <c r="CD335" s="24">
        <v>-1</v>
      </c>
      <c r="CE335" s="24">
        <v>-1</v>
      </c>
      <c r="CG335" s="24">
        <v>0</v>
      </c>
      <c r="CH335" s="24">
        <v>0</v>
      </c>
      <c r="CI335" s="24">
        <v>0</v>
      </c>
      <c r="CJ335" s="24">
        <v>0</v>
      </c>
      <c r="CK335" s="24">
        <v>1</v>
      </c>
      <c r="CL335" s="24">
        <v>-1</v>
      </c>
      <c r="CM335" s="24">
        <v>7</v>
      </c>
      <c r="CN335" s="24">
        <v>1000</v>
      </c>
      <c r="CO335" s="24">
        <v>2000</v>
      </c>
      <c r="CQ335" s="24">
        <v>0</v>
      </c>
      <c r="CR335" s="24">
        <v>0</v>
      </c>
      <c r="CS335" s="24">
        <v>0</v>
      </c>
      <c r="CT335" s="24">
        <v>0</v>
      </c>
      <c r="CV335" s="24">
        <v>110108</v>
      </c>
      <c r="CW335" s="24">
        <v>10</v>
      </c>
      <c r="CX335" s="24">
        <v>101005</v>
      </c>
      <c r="CY335" s="26">
        <v>3</v>
      </c>
      <c r="CZ335" s="24">
        <v>10</v>
      </c>
      <c r="DA335" s="24">
        <v>0</v>
      </c>
      <c r="DC335" s="24">
        <v>1</v>
      </c>
      <c r="DD335" s="24">
        <v>1</v>
      </c>
      <c r="DE335" s="24">
        <v>0</v>
      </c>
      <c r="DF335" s="24">
        <v>0</v>
      </c>
      <c r="DG335" s="24">
        <v>-1</v>
      </c>
      <c r="DI335" s="24">
        <v>0</v>
      </c>
      <c r="DJ335" s="24">
        <v>0</v>
      </c>
      <c r="DL335" s="24">
        <v>0</v>
      </c>
      <c r="DM335" s="24">
        <v>0</v>
      </c>
      <c r="DO335" s="24">
        <v>0</v>
      </c>
      <c r="DP335" s="24">
        <v>0</v>
      </c>
      <c r="DQ335" s="24">
        <v>0</v>
      </c>
      <c r="DR335" s="24">
        <v>0</v>
      </c>
      <c r="DS335" s="24">
        <v>0</v>
      </c>
      <c r="DT335" s="24">
        <v>0</v>
      </c>
      <c r="DV335" s="24">
        <v>0</v>
      </c>
      <c r="DW335" s="24">
        <v>0</v>
      </c>
      <c r="DX335" s="24">
        <v>0</v>
      </c>
      <c r="DY335" s="24">
        <v>0</v>
      </c>
      <c r="DZ335" s="24">
        <v>0</v>
      </c>
    </row>
    <row r="336" spans="1:130">
      <c r="A336" s="24" t="s">
        <v>142</v>
      </c>
      <c r="B336" s="24" t="s">
        <v>142</v>
      </c>
      <c r="C336" s="24" t="s">
        <v>142</v>
      </c>
      <c r="D336" s="24" t="s">
        <v>142</v>
      </c>
      <c r="E336" s="24">
        <v>105231</v>
      </c>
      <c r="F336" s="24" t="s">
        <v>616</v>
      </c>
      <c r="G336" s="24">
        <v>0</v>
      </c>
      <c r="H336" s="24">
        <v>0</v>
      </c>
      <c r="I336" s="24" t="s">
        <v>557</v>
      </c>
      <c r="J336" s="24" t="s">
        <v>615</v>
      </c>
      <c r="K336" s="24" t="s">
        <v>473</v>
      </c>
      <c r="M336" s="24">
        <v>0</v>
      </c>
      <c r="N336" s="24">
        <v>0</v>
      </c>
      <c r="P336" s="25">
        <v>8</v>
      </c>
      <c r="Q336" s="25">
        <v>0</v>
      </c>
      <c r="R336" s="24">
        <v>0</v>
      </c>
      <c r="S336" s="25">
        <v>0</v>
      </c>
      <c r="T336" s="24"/>
      <c r="U336" s="24">
        <v>1</v>
      </c>
      <c r="V336" s="25">
        <v>2050</v>
      </c>
      <c r="W336" s="24">
        <v>1</v>
      </c>
      <c r="X336" s="24">
        <v>105230</v>
      </c>
      <c r="Y336" s="24">
        <v>0</v>
      </c>
      <c r="Z336" s="24">
        <v>1000</v>
      </c>
      <c r="AB336" s="24">
        <v>30001</v>
      </c>
      <c r="AC336" s="24">
        <v>-1</v>
      </c>
      <c r="AD336" s="24">
        <v>-1</v>
      </c>
      <c r="AE336" s="24">
        <v>-1</v>
      </c>
      <c r="AG336" s="24">
        <v>1</v>
      </c>
      <c r="AH336" s="24">
        <v>0</v>
      </c>
      <c r="AI336" s="24">
        <v>0</v>
      </c>
      <c r="AJ336" s="24">
        <v>0</v>
      </c>
      <c r="AK336" s="24">
        <v>0</v>
      </c>
      <c r="AL336" s="24">
        <v>0</v>
      </c>
      <c r="AM336" s="24">
        <v>0</v>
      </c>
      <c r="AN336" s="24">
        <v>0</v>
      </c>
      <c r="AO336" s="24">
        <v>0</v>
      </c>
      <c r="AP336" s="24">
        <v>0</v>
      </c>
      <c r="AQ336" s="24">
        <v>0</v>
      </c>
      <c r="AR336" s="24">
        <v>0</v>
      </c>
      <c r="AS336" s="24">
        <v>0</v>
      </c>
      <c r="AT336" s="24">
        <v>0</v>
      </c>
      <c r="AU336" s="24">
        <v>0</v>
      </c>
      <c r="AV336" s="24">
        <v>0</v>
      </c>
      <c r="AW336" s="24">
        <v>0</v>
      </c>
      <c r="AX336" s="24">
        <v>0</v>
      </c>
      <c r="AY336" s="24">
        <v>0</v>
      </c>
      <c r="BA336" s="24">
        <v>0</v>
      </c>
      <c r="BB336" s="24">
        <v>1000</v>
      </c>
      <c r="BC336" s="24">
        <v>1833</v>
      </c>
      <c r="BD336" s="24">
        <v>0</v>
      </c>
      <c r="BE336" s="24">
        <v>200</v>
      </c>
      <c r="BF336" s="24">
        <v>1</v>
      </c>
      <c r="BG336" s="25">
        <v>528</v>
      </c>
      <c r="BH336" s="24">
        <v>4</v>
      </c>
      <c r="BI336" s="24">
        <v>15031</v>
      </c>
      <c r="BJ336" s="24">
        <v>1</v>
      </c>
      <c r="BK336" s="24">
        <v>1</v>
      </c>
      <c r="BL336" s="25">
        <v>126</v>
      </c>
      <c r="BM336" s="24">
        <v>0</v>
      </c>
      <c r="BO336" s="25">
        <v>1</v>
      </c>
      <c r="BP336" s="24">
        <v>0</v>
      </c>
      <c r="BQ336" s="24">
        <v>0</v>
      </c>
      <c r="BR336" s="24">
        <v>1</v>
      </c>
      <c r="BS336" s="24">
        <v>0</v>
      </c>
      <c r="BT336" s="24">
        <v>0</v>
      </c>
      <c r="BU336" s="24">
        <v>0</v>
      </c>
      <c r="BV336" s="24">
        <v>0</v>
      </c>
      <c r="BW336" s="24">
        <v>0</v>
      </c>
      <c r="BX336" s="24">
        <v>1</v>
      </c>
      <c r="BZ336" s="24">
        <v>-1</v>
      </c>
      <c r="CA336" s="24">
        <v>0</v>
      </c>
      <c r="CB336" s="24">
        <v>-1</v>
      </c>
      <c r="CC336" s="24">
        <v>-1</v>
      </c>
      <c r="CD336" s="24">
        <v>-1</v>
      </c>
      <c r="CE336" s="24">
        <v>-1</v>
      </c>
      <c r="CG336" s="14">
        <v>-1</v>
      </c>
      <c r="CH336" s="24">
        <v>0</v>
      </c>
      <c r="CI336" s="24">
        <v>0</v>
      </c>
      <c r="CJ336" s="24">
        <v>0</v>
      </c>
      <c r="CK336" s="24">
        <v>0</v>
      </c>
      <c r="CL336" s="24">
        <v>0</v>
      </c>
      <c r="CM336" s="24">
        <v>0</v>
      </c>
      <c r="CN336" s="24">
        <v>0</v>
      </c>
      <c r="CO336" s="24">
        <v>0</v>
      </c>
      <c r="CQ336" s="24">
        <v>0</v>
      </c>
      <c r="CR336" s="24">
        <v>0</v>
      </c>
      <c r="CS336" s="24">
        <v>0</v>
      </c>
      <c r="CT336" s="24">
        <v>0</v>
      </c>
      <c r="CV336" s="24">
        <v>0</v>
      </c>
      <c r="CW336" s="24">
        <v>10</v>
      </c>
      <c r="CX336" s="24">
        <v>101005</v>
      </c>
      <c r="CY336" s="26">
        <v>3</v>
      </c>
      <c r="CZ336" s="24">
        <v>0</v>
      </c>
      <c r="DA336" s="24">
        <v>0</v>
      </c>
      <c r="DC336" s="24">
        <v>1</v>
      </c>
      <c r="DD336" s="24">
        <v>1</v>
      </c>
      <c r="DE336" s="24">
        <v>0</v>
      </c>
      <c r="DF336" s="24">
        <v>0</v>
      </c>
      <c r="DG336" s="24">
        <v>-1</v>
      </c>
      <c r="DI336" s="24">
        <v>0</v>
      </c>
      <c r="DJ336" s="24">
        <v>0</v>
      </c>
      <c r="DL336" s="24">
        <v>0</v>
      </c>
      <c r="DM336" s="24">
        <v>0</v>
      </c>
      <c r="DO336" s="24">
        <v>0</v>
      </c>
      <c r="DP336" s="24">
        <v>0</v>
      </c>
      <c r="DQ336" s="24">
        <v>0</v>
      </c>
      <c r="DR336" s="24">
        <v>0</v>
      </c>
      <c r="DS336" s="24">
        <v>0</v>
      </c>
      <c r="DT336" s="24">
        <v>0</v>
      </c>
      <c r="DV336" s="24">
        <v>0</v>
      </c>
      <c r="DW336" s="24">
        <v>0</v>
      </c>
      <c r="DX336" s="24">
        <v>0</v>
      </c>
      <c r="DY336" s="24">
        <v>0</v>
      </c>
      <c r="DZ336" s="24">
        <v>0</v>
      </c>
    </row>
    <row r="337" spans="1:130">
      <c r="BO337" s="25" t="s">
        <v>639</v>
      </c>
    </row>
    <row r="338" spans="1:130">
      <c r="E338" s="48" t="s">
        <v>1130</v>
      </c>
      <c r="K338" s="24">
        <v>0</v>
      </c>
      <c r="S338" s="25"/>
      <c r="T338" s="24"/>
      <c r="BO338" s="25" t="s">
        <v>639</v>
      </c>
      <c r="CV338" s="24" t="s">
        <v>639</v>
      </c>
    </row>
    <row r="339" spans="1:130">
      <c r="G339" s="24" t="s">
        <v>639</v>
      </c>
      <c r="K339" s="24" t="s">
        <v>639</v>
      </c>
      <c r="S339" s="25"/>
      <c r="T339" s="24"/>
      <c r="BO339" s="25" t="s">
        <v>639</v>
      </c>
      <c r="CV339" s="24" t="s">
        <v>639</v>
      </c>
      <c r="DC339" s="24" t="s">
        <v>639</v>
      </c>
      <c r="DD339" s="24" t="s">
        <v>639</v>
      </c>
      <c r="DE339" s="24" t="s">
        <v>639</v>
      </c>
      <c r="DF339" s="24" t="s">
        <v>639</v>
      </c>
      <c r="DG339" s="24" t="s">
        <v>639</v>
      </c>
      <c r="DI339" s="24" t="s">
        <v>639</v>
      </c>
      <c r="DJ339" s="24" t="s">
        <v>639</v>
      </c>
      <c r="DL339" s="24" t="s">
        <v>639</v>
      </c>
      <c r="DM339" s="24" t="s">
        <v>639</v>
      </c>
      <c r="DO339" s="24" t="s">
        <v>639</v>
      </c>
      <c r="DP339" s="24" t="s">
        <v>639</v>
      </c>
      <c r="DQ339" s="24" t="s">
        <v>639</v>
      </c>
      <c r="DR339" s="24" t="s">
        <v>639</v>
      </c>
      <c r="DS339" s="24" t="s">
        <v>639</v>
      </c>
      <c r="DT339" s="24" t="s">
        <v>639</v>
      </c>
      <c r="DV339" s="24" t="s">
        <v>639</v>
      </c>
      <c r="DW339" s="24" t="s">
        <v>639</v>
      </c>
      <c r="DX339" s="24" t="s">
        <v>639</v>
      </c>
      <c r="DY339" s="24" t="s">
        <v>639</v>
      </c>
      <c r="DZ339" s="24" t="s">
        <v>639</v>
      </c>
    </row>
    <row r="340" spans="1:130">
      <c r="A340" s="24" t="s">
        <v>614</v>
      </c>
      <c r="B340" s="24" t="s">
        <v>142</v>
      </c>
      <c r="C340" s="24" t="s">
        <v>142</v>
      </c>
      <c r="D340" s="24" t="s">
        <v>142</v>
      </c>
      <c r="E340" s="24">
        <v>105110</v>
      </c>
      <c r="F340" s="24" t="s">
        <v>630</v>
      </c>
      <c r="G340" s="24">
        <v>0</v>
      </c>
      <c r="H340" s="24">
        <v>0</v>
      </c>
      <c r="I340" s="24" t="s">
        <v>628</v>
      </c>
      <c r="J340" s="24" t="s">
        <v>628</v>
      </c>
      <c r="K340" s="24" t="s">
        <v>644</v>
      </c>
      <c r="M340" s="24">
        <v>102</v>
      </c>
      <c r="N340" s="24">
        <v>0</v>
      </c>
      <c r="P340" s="25">
        <v>2</v>
      </c>
      <c r="Q340" s="25">
        <v>524289</v>
      </c>
      <c r="R340" s="24">
        <v>0</v>
      </c>
      <c r="S340" s="25">
        <v>0</v>
      </c>
      <c r="T340" s="24"/>
      <c r="U340" s="24">
        <v>0</v>
      </c>
      <c r="V340" s="25">
        <v>0</v>
      </c>
      <c r="W340" s="24">
        <v>0</v>
      </c>
      <c r="X340" s="24">
        <v>0</v>
      </c>
      <c r="Y340" s="24">
        <v>0</v>
      </c>
      <c r="Z340" s="24">
        <v>0</v>
      </c>
      <c r="AB340" s="24">
        <v>10002</v>
      </c>
      <c r="AC340" s="24">
        <v>1013</v>
      </c>
      <c r="AD340" s="24">
        <v>2000</v>
      </c>
      <c r="AE340" s="24">
        <v>-1</v>
      </c>
      <c r="AG340" s="24">
        <v>1</v>
      </c>
      <c r="AH340" s="24">
        <v>0</v>
      </c>
      <c r="AI340" s="24">
        <v>0</v>
      </c>
      <c r="AJ340" s="24">
        <v>0</v>
      </c>
      <c r="AK340" s="24">
        <v>0</v>
      </c>
      <c r="AL340" s="24">
        <v>0</v>
      </c>
      <c r="AM340" s="24">
        <v>0</v>
      </c>
      <c r="AN340" s="24">
        <v>0</v>
      </c>
      <c r="AO340" s="24">
        <v>0</v>
      </c>
      <c r="AP340" s="24">
        <v>0</v>
      </c>
      <c r="AQ340" s="24">
        <v>0</v>
      </c>
      <c r="AR340" s="24">
        <v>0</v>
      </c>
      <c r="AS340" s="24">
        <v>0</v>
      </c>
      <c r="AT340" s="24">
        <v>0</v>
      </c>
      <c r="AU340" s="24">
        <v>0</v>
      </c>
      <c r="AV340" s="24">
        <v>0</v>
      </c>
      <c r="AW340" s="24">
        <v>0</v>
      </c>
      <c r="AX340" s="24">
        <v>0</v>
      </c>
      <c r="AY340" s="24">
        <v>0</v>
      </c>
      <c r="BA340" s="24">
        <v>0</v>
      </c>
      <c r="BB340" s="24">
        <v>0</v>
      </c>
      <c r="BC340" s="24">
        <v>2000</v>
      </c>
      <c r="BD340" s="24">
        <v>0</v>
      </c>
      <c r="BE340" s="24">
        <v>0</v>
      </c>
      <c r="BF340" s="24">
        <v>1</v>
      </c>
      <c r="BG340" s="25">
        <v>17</v>
      </c>
      <c r="BH340" s="24">
        <v>1</v>
      </c>
      <c r="BI340" s="24">
        <v>0</v>
      </c>
      <c r="BJ340" s="24">
        <v>0</v>
      </c>
      <c r="BK340" s="24">
        <v>0</v>
      </c>
      <c r="BL340" s="25">
        <v>126</v>
      </c>
      <c r="BM340" s="24">
        <v>0</v>
      </c>
      <c r="BO340" s="25">
        <v>4</v>
      </c>
      <c r="BP340" s="24">
        <v>20</v>
      </c>
      <c r="BQ340" s="24">
        <v>0</v>
      </c>
      <c r="BR340" s="24">
        <v>1</v>
      </c>
      <c r="BS340" s="24">
        <v>0</v>
      </c>
      <c r="BT340" s="24">
        <v>0</v>
      </c>
      <c r="BU340" s="24">
        <v>0</v>
      </c>
      <c r="BV340" s="24">
        <v>0</v>
      </c>
      <c r="BW340" s="24">
        <v>0</v>
      </c>
      <c r="BX340" s="24">
        <v>1</v>
      </c>
      <c r="BZ340" s="24">
        <v>105110</v>
      </c>
      <c r="CA340" s="24">
        <v>0</v>
      </c>
      <c r="CB340" s="24">
        <v>0</v>
      </c>
      <c r="CC340" s="24">
        <v>0</v>
      </c>
      <c r="CD340" s="24">
        <v>0</v>
      </c>
      <c r="CE340" s="24">
        <v>0</v>
      </c>
      <c r="CG340" s="24">
        <v>-1</v>
      </c>
      <c r="CH340" s="24">
        <v>0</v>
      </c>
      <c r="CI340" s="24">
        <v>0</v>
      </c>
      <c r="CJ340" s="24">
        <v>0</v>
      </c>
      <c r="CK340" s="24">
        <v>0</v>
      </c>
      <c r="CL340" s="24">
        <v>0</v>
      </c>
      <c r="CM340" s="24">
        <v>0</v>
      </c>
      <c r="CN340" s="24">
        <v>0</v>
      </c>
      <c r="CO340" s="24">
        <v>0</v>
      </c>
      <c r="CQ340" s="24">
        <v>0</v>
      </c>
      <c r="CR340" s="24">
        <v>0</v>
      </c>
      <c r="CS340" s="24">
        <v>0</v>
      </c>
      <c r="CT340" s="24">
        <v>0</v>
      </c>
      <c r="CV340" s="24">
        <v>100204</v>
      </c>
      <c r="CW340" s="24">
        <v>9</v>
      </c>
      <c r="CX340" s="24">
        <v>1001012</v>
      </c>
      <c r="CY340" s="26">
        <v>1</v>
      </c>
      <c r="CZ340" s="24">
        <v>2</v>
      </c>
      <c r="DA340" s="24">
        <v>0</v>
      </c>
      <c r="DC340" s="24">
        <v>1</v>
      </c>
      <c r="DD340" s="24">
        <v>1</v>
      </c>
      <c r="DE340" s="24">
        <v>0</v>
      </c>
      <c r="DF340" s="24">
        <v>0</v>
      </c>
      <c r="DG340" s="24">
        <v>25</v>
      </c>
      <c r="DI340" s="24">
        <v>0</v>
      </c>
      <c r="DJ340" s="24">
        <v>0</v>
      </c>
      <c r="DL340" s="24">
        <v>0</v>
      </c>
      <c r="DM340" s="24">
        <v>0</v>
      </c>
      <c r="DO340" s="24">
        <v>0</v>
      </c>
      <c r="DP340" s="24">
        <v>0</v>
      </c>
      <c r="DQ340" s="24">
        <v>0</v>
      </c>
      <c r="DR340" s="24">
        <v>0</v>
      </c>
      <c r="DS340" s="24">
        <v>0</v>
      </c>
      <c r="DT340" s="24">
        <v>0</v>
      </c>
      <c r="DV340" s="24">
        <v>0</v>
      </c>
      <c r="DW340" s="24">
        <v>0</v>
      </c>
      <c r="DX340" s="24">
        <v>0</v>
      </c>
      <c r="DY340" s="24">
        <v>0</v>
      </c>
      <c r="DZ340" s="24">
        <v>0</v>
      </c>
    </row>
    <row r="341" spans="1:130">
      <c r="A341" s="24" t="s">
        <v>614</v>
      </c>
      <c r="B341" s="24" t="s">
        <v>142</v>
      </c>
      <c r="C341" s="24" t="s">
        <v>142</v>
      </c>
      <c r="D341" s="24" t="s">
        <v>142</v>
      </c>
      <c r="E341" s="24">
        <v>105120</v>
      </c>
      <c r="F341" s="24" t="s">
        <v>629</v>
      </c>
      <c r="G341" s="24">
        <v>0</v>
      </c>
      <c r="H341" s="24">
        <v>0</v>
      </c>
      <c r="I341" s="24" t="s">
        <v>612</v>
      </c>
      <c r="J341" s="24" t="s">
        <v>628</v>
      </c>
      <c r="K341" s="24" t="s">
        <v>644</v>
      </c>
      <c r="M341" s="24">
        <v>102</v>
      </c>
      <c r="N341" s="24">
        <v>0</v>
      </c>
      <c r="P341" s="25">
        <v>2</v>
      </c>
      <c r="Q341" s="25">
        <v>524289</v>
      </c>
      <c r="R341" s="24">
        <v>0</v>
      </c>
      <c r="S341" s="25">
        <v>0</v>
      </c>
      <c r="T341" s="24"/>
      <c r="U341" s="24">
        <v>0</v>
      </c>
      <c r="V341" s="25">
        <v>0</v>
      </c>
      <c r="W341" s="24">
        <v>0</v>
      </c>
      <c r="X341" s="24">
        <v>0</v>
      </c>
      <c r="Y341" s="24">
        <v>0</v>
      </c>
      <c r="Z341" s="24">
        <v>0</v>
      </c>
      <c r="AB341" s="24">
        <v>10002</v>
      </c>
      <c r="AC341" s="24">
        <v>1013</v>
      </c>
      <c r="AD341" s="24">
        <v>2000</v>
      </c>
      <c r="AE341" s="24">
        <v>-1</v>
      </c>
      <c r="AG341" s="24">
        <v>1</v>
      </c>
      <c r="AH341" s="24">
        <v>0</v>
      </c>
      <c r="AI341" s="24">
        <v>0</v>
      </c>
      <c r="AJ341" s="24">
        <v>0</v>
      </c>
      <c r="AK341" s="24">
        <v>0</v>
      </c>
      <c r="AL341" s="24">
        <v>0</v>
      </c>
      <c r="AM341" s="24">
        <v>0</v>
      </c>
      <c r="AN341" s="24">
        <v>0</v>
      </c>
      <c r="AO341" s="24">
        <v>0</v>
      </c>
      <c r="AP341" s="24">
        <v>0</v>
      </c>
      <c r="AQ341" s="24">
        <v>0</v>
      </c>
      <c r="AR341" s="24">
        <v>0</v>
      </c>
      <c r="AS341" s="24">
        <v>0</v>
      </c>
      <c r="AT341" s="24">
        <v>0</v>
      </c>
      <c r="AU341" s="24">
        <v>0</v>
      </c>
      <c r="AV341" s="24">
        <v>0</v>
      </c>
      <c r="AW341" s="24">
        <v>0</v>
      </c>
      <c r="AX341" s="24">
        <v>0</v>
      </c>
      <c r="AY341" s="24">
        <v>0</v>
      </c>
      <c r="BA341" s="24">
        <v>0</v>
      </c>
      <c r="BB341" s="24">
        <v>0</v>
      </c>
      <c r="BC341" s="24">
        <v>2000</v>
      </c>
      <c r="BD341" s="24">
        <v>0</v>
      </c>
      <c r="BE341" s="24">
        <v>0</v>
      </c>
      <c r="BF341" s="24">
        <v>1</v>
      </c>
      <c r="BG341" s="25">
        <v>17</v>
      </c>
      <c r="BH341" s="24">
        <v>1</v>
      </c>
      <c r="BI341" s="24">
        <v>0</v>
      </c>
      <c r="BJ341" s="24">
        <v>0</v>
      </c>
      <c r="BK341" s="24">
        <v>0</v>
      </c>
      <c r="BL341" s="25">
        <v>126</v>
      </c>
      <c r="BM341" s="24">
        <v>0</v>
      </c>
      <c r="BO341" s="25">
        <v>4</v>
      </c>
      <c r="BP341" s="24">
        <v>20</v>
      </c>
      <c r="BQ341" s="24">
        <v>0</v>
      </c>
      <c r="BR341" s="24">
        <v>1</v>
      </c>
      <c r="BS341" s="24">
        <v>0</v>
      </c>
      <c r="BT341" s="24">
        <v>0</v>
      </c>
      <c r="BU341" s="24">
        <v>0</v>
      </c>
      <c r="BV341" s="24">
        <v>0</v>
      </c>
      <c r="BW341" s="24">
        <v>0</v>
      </c>
      <c r="BX341" s="24">
        <v>1</v>
      </c>
      <c r="BZ341" s="24">
        <v>105120</v>
      </c>
      <c r="CA341" s="24">
        <v>0</v>
      </c>
      <c r="CB341" s="24">
        <v>0</v>
      </c>
      <c r="CC341" s="24">
        <v>0</v>
      </c>
      <c r="CD341" s="24">
        <v>0</v>
      </c>
      <c r="CE341" s="24">
        <v>0</v>
      </c>
      <c r="CG341" s="24">
        <v>-1</v>
      </c>
      <c r="CH341" s="24">
        <v>0</v>
      </c>
      <c r="CI341" s="24">
        <v>0</v>
      </c>
      <c r="CJ341" s="24">
        <v>0</v>
      </c>
      <c r="CK341" s="24">
        <v>0</v>
      </c>
      <c r="CL341" s="24">
        <v>0</v>
      </c>
      <c r="CM341" s="24">
        <v>0</v>
      </c>
      <c r="CN341" s="24">
        <v>0</v>
      </c>
      <c r="CO341" s="24">
        <v>0</v>
      </c>
      <c r="CQ341" s="24">
        <v>0</v>
      </c>
      <c r="CR341" s="24">
        <v>0</v>
      </c>
      <c r="CS341" s="24">
        <v>0</v>
      </c>
      <c r="CT341" s="24">
        <v>0</v>
      </c>
      <c r="CV341" s="24">
        <v>100204</v>
      </c>
      <c r="CW341" s="24">
        <v>9</v>
      </c>
      <c r="CX341" s="24">
        <v>1001012</v>
      </c>
      <c r="CY341" s="26">
        <v>1</v>
      </c>
      <c r="CZ341" s="24">
        <v>2</v>
      </c>
      <c r="DA341" s="24">
        <v>0</v>
      </c>
      <c r="DC341" s="24">
        <v>1</v>
      </c>
      <c r="DD341" s="24">
        <v>1</v>
      </c>
      <c r="DE341" s="24">
        <v>0</v>
      </c>
      <c r="DF341" s="24">
        <v>0</v>
      </c>
      <c r="DG341" s="24">
        <v>25</v>
      </c>
      <c r="DI341" s="24">
        <v>0</v>
      </c>
      <c r="DJ341" s="24">
        <v>0</v>
      </c>
      <c r="DL341" s="24">
        <v>0</v>
      </c>
      <c r="DM341" s="24">
        <v>0</v>
      </c>
      <c r="DO341" s="24">
        <v>0</v>
      </c>
      <c r="DP341" s="24">
        <v>0</v>
      </c>
      <c r="DQ341" s="24">
        <v>0</v>
      </c>
      <c r="DR341" s="24">
        <v>0</v>
      </c>
      <c r="DS341" s="24">
        <v>0</v>
      </c>
      <c r="DT341" s="24">
        <v>0</v>
      </c>
      <c r="DV341" s="24">
        <v>0</v>
      </c>
      <c r="DW341" s="24">
        <v>0</v>
      </c>
      <c r="DX341" s="24">
        <v>0</v>
      </c>
      <c r="DY341" s="24">
        <v>0</v>
      </c>
      <c r="DZ341" s="24">
        <v>0</v>
      </c>
    </row>
    <row r="342" spans="1:130">
      <c r="A342" s="24" t="s">
        <v>614</v>
      </c>
      <c r="B342" s="24" t="s">
        <v>142</v>
      </c>
      <c r="C342" s="24" t="s">
        <v>142</v>
      </c>
      <c r="D342" s="24" t="s">
        <v>142</v>
      </c>
      <c r="E342" s="24">
        <v>105130</v>
      </c>
      <c r="F342" s="24" t="s">
        <v>613</v>
      </c>
      <c r="G342" s="24">
        <v>0</v>
      </c>
      <c r="H342" s="24">
        <v>0</v>
      </c>
      <c r="I342" s="24" t="s">
        <v>628</v>
      </c>
      <c r="J342" s="24" t="s">
        <v>612</v>
      </c>
      <c r="K342" s="24" t="s">
        <v>644</v>
      </c>
      <c r="M342" s="24">
        <v>102</v>
      </c>
      <c r="N342" s="24">
        <v>0</v>
      </c>
      <c r="P342" s="25">
        <v>2</v>
      </c>
      <c r="Q342" s="25">
        <v>524289</v>
      </c>
      <c r="R342" s="24">
        <v>0</v>
      </c>
      <c r="S342" s="25">
        <v>0</v>
      </c>
      <c r="T342" s="24"/>
      <c r="U342" s="24">
        <v>0</v>
      </c>
      <c r="V342" s="25">
        <v>0</v>
      </c>
      <c r="W342" s="24">
        <v>0</v>
      </c>
      <c r="X342" s="24">
        <v>0</v>
      </c>
      <c r="Y342" s="24">
        <v>0</v>
      </c>
      <c r="Z342" s="24">
        <v>0</v>
      </c>
      <c r="AB342" s="24">
        <v>10001</v>
      </c>
      <c r="AC342" s="24">
        <v>-1</v>
      </c>
      <c r="AD342" s="24">
        <v>-1</v>
      </c>
      <c r="AE342" s="24">
        <v>-1</v>
      </c>
      <c r="AG342" s="24">
        <v>1</v>
      </c>
      <c r="AH342" s="24">
        <v>0</v>
      </c>
      <c r="AI342" s="24">
        <v>0</v>
      </c>
      <c r="AJ342" s="24">
        <v>0</v>
      </c>
      <c r="AK342" s="24">
        <v>0</v>
      </c>
      <c r="AL342" s="24">
        <v>0</v>
      </c>
      <c r="AM342" s="24">
        <v>0</v>
      </c>
      <c r="AN342" s="24">
        <v>0</v>
      </c>
      <c r="AO342" s="24">
        <v>0</v>
      </c>
      <c r="AP342" s="24">
        <v>0</v>
      </c>
      <c r="AQ342" s="24">
        <v>0</v>
      </c>
      <c r="AR342" s="24">
        <v>0</v>
      </c>
      <c r="AS342" s="24">
        <v>0</v>
      </c>
      <c r="AT342" s="24">
        <v>0</v>
      </c>
      <c r="AU342" s="24">
        <v>0</v>
      </c>
      <c r="AV342" s="24">
        <v>0</v>
      </c>
      <c r="AW342" s="24">
        <v>0</v>
      </c>
      <c r="AX342" s="24">
        <v>0</v>
      </c>
      <c r="AY342" s="24">
        <v>0</v>
      </c>
      <c r="BA342" s="24">
        <v>0</v>
      </c>
      <c r="BB342" s="24">
        <v>0</v>
      </c>
      <c r="BC342" s="24">
        <v>2000</v>
      </c>
      <c r="BD342" s="24">
        <v>0</v>
      </c>
      <c r="BE342" s="24">
        <v>2000</v>
      </c>
      <c r="BF342" s="24">
        <v>1</v>
      </c>
      <c r="BG342" s="25">
        <v>17</v>
      </c>
      <c r="BH342" s="24">
        <v>1</v>
      </c>
      <c r="BI342" s="24">
        <v>0</v>
      </c>
      <c r="BJ342" s="24">
        <v>0</v>
      </c>
      <c r="BK342" s="24">
        <v>0</v>
      </c>
      <c r="BL342" s="25">
        <v>126</v>
      </c>
      <c r="BM342" s="24">
        <v>0</v>
      </c>
      <c r="BO342" s="25">
        <v>4</v>
      </c>
      <c r="BP342" s="24">
        <v>20</v>
      </c>
      <c r="BQ342" s="24">
        <v>0</v>
      </c>
      <c r="BR342" s="24">
        <v>1</v>
      </c>
      <c r="BS342" s="24">
        <v>0</v>
      </c>
      <c r="BT342" s="24">
        <v>0</v>
      </c>
      <c r="BU342" s="24">
        <v>0</v>
      </c>
      <c r="BV342" s="24">
        <v>0</v>
      </c>
      <c r="BW342" s="24">
        <v>0</v>
      </c>
      <c r="BX342" s="24">
        <v>1</v>
      </c>
      <c r="BZ342" s="24">
        <v>105130</v>
      </c>
      <c r="CA342" s="24">
        <v>0</v>
      </c>
      <c r="CB342" s="24">
        <v>0</v>
      </c>
      <c r="CC342" s="24">
        <v>0</v>
      </c>
      <c r="CD342" s="24">
        <v>0</v>
      </c>
      <c r="CE342" s="24">
        <v>0</v>
      </c>
      <c r="CG342" s="24">
        <v>-1</v>
      </c>
      <c r="CH342" s="24">
        <v>0</v>
      </c>
      <c r="CI342" s="24">
        <v>0</v>
      </c>
      <c r="CJ342" s="24">
        <v>0</v>
      </c>
      <c r="CK342" s="24">
        <v>0</v>
      </c>
      <c r="CL342" s="24">
        <v>0</v>
      </c>
      <c r="CM342" s="24">
        <v>0</v>
      </c>
      <c r="CN342" s="24">
        <v>0</v>
      </c>
      <c r="CO342" s="24">
        <v>0</v>
      </c>
      <c r="CQ342" s="24">
        <v>0</v>
      </c>
      <c r="CR342" s="24">
        <v>0</v>
      </c>
      <c r="CS342" s="24">
        <v>0</v>
      </c>
      <c r="CT342" s="24">
        <v>0</v>
      </c>
      <c r="CV342" s="24">
        <v>100204</v>
      </c>
      <c r="CW342" s="24">
        <v>9</v>
      </c>
      <c r="CX342" s="24">
        <v>1001012</v>
      </c>
      <c r="CY342" s="26">
        <v>1</v>
      </c>
      <c r="CZ342" s="24">
        <v>2</v>
      </c>
      <c r="DA342" s="24">
        <v>0</v>
      </c>
      <c r="DC342" s="24">
        <v>1</v>
      </c>
      <c r="DD342" s="24">
        <v>1</v>
      </c>
      <c r="DE342" s="24">
        <v>0</v>
      </c>
      <c r="DF342" s="24">
        <v>0</v>
      </c>
      <c r="DG342" s="24">
        <v>25</v>
      </c>
      <c r="DI342" s="24">
        <v>0</v>
      </c>
      <c r="DJ342" s="24">
        <v>0</v>
      </c>
      <c r="DL342" s="24">
        <v>0</v>
      </c>
      <c r="DM342" s="24">
        <v>0</v>
      </c>
      <c r="DO342" s="24">
        <v>0</v>
      </c>
      <c r="DP342" s="24">
        <v>0</v>
      </c>
      <c r="DQ342" s="24">
        <v>0</v>
      </c>
      <c r="DR342" s="24">
        <v>0</v>
      </c>
      <c r="DS342" s="24">
        <v>0</v>
      </c>
      <c r="DT342" s="24">
        <v>0</v>
      </c>
      <c r="DV342" s="24">
        <v>0</v>
      </c>
      <c r="DW342" s="24">
        <v>0</v>
      </c>
      <c r="DX342" s="24">
        <v>0</v>
      </c>
      <c r="DY342" s="24">
        <v>0</v>
      </c>
      <c r="DZ342" s="24">
        <v>0</v>
      </c>
    </row>
    <row r="343" spans="1:130">
      <c r="BO343" s="25" t="s">
        <v>639</v>
      </c>
    </row>
    <row r="344" spans="1:130">
      <c r="BO344" s="25" t="s">
        <v>639</v>
      </c>
    </row>
    <row r="345" spans="1:130">
      <c r="A345" s="24" t="s">
        <v>142</v>
      </c>
      <c r="B345" s="24" t="s">
        <v>142</v>
      </c>
      <c r="C345" s="24" t="s">
        <v>142</v>
      </c>
      <c r="D345" s="24" t="s">
        <v>142</v>
      </c>
      <c r="E345" s="24">
        <v>105500</v>
      </c>
      <c r="F345" s="24" t="s">
        <v>720</v>
      </c>
      <c r="G345" s="24">
        <v>0</v>
      </c>
      <c r="H345" s="24">
        <v>0</v>
      </c>
      <c r="I345" s="24" t="s">
        <v>720</v>
      </c>
      <c r="J345" s="24" t="s">
        <v>720</v>
      </c>
      <c r="K345" s="24" t="s">
        <v>644</v>
      </c>
      <c r="M345" s="24">
        <v>102</v>
      </c>
      <c r="N345" s="24">
        <v>0</v>
      </c>
      <c r="O345" s="28"/>
      <c r="P345" s="25">
        <v>2</v>
      </c>
      <c r="Q345" s="25">
        <v>4719632</v>
      </c>
      <c r="R345" s="24">
        <v>0</v>
      </c>
      <c r="S345" s="25">
        <v>0</v>
      </c>
      <c r="T345" s="24"/>
      <c r="U345" s="24">
        <v>0</v>
      </c>
      <c r="V345" s="25">
        <v>0</v>
      </c>
      <c r="W345" s="24">
        <v>0</v>
      </c>
      <c r="X345" s="24">
        <v>0</v>
      </c>
      <c r="Y345" s="24">
        <v>0</v>
      </c>
      <c r="Z345" s="24">
        <v>0</v>
      </c>
      <c r="AA345" s="28"/>
      <c r="AB345" s="24">
        <v>10001</v>
      </c>
      <c r="AC345" s="24">
        <v>-1</v>
      </c>
      <c r="AD345" s="24">
        <v>-1</v>
      </c>
      <c r="AE345" s="24">
        <v>-1</v>
      </c>
      <c r="AF345" s="28"/>
      <c r="AG345" s="24">
        <v>2</v>
      </c>
      <c r="AH345" s="24">
        <v>24</v>
      </c>
      <c r="AI345" s="24">
        <v>0</v>
      </c>
      <c r="AJ345" s="24">
        <v>0</v>
      </c>
      <c r="AK345" s="24">
        <v>1</v>
      </c>
      <c r="AL345" s="24">
        <v>5</v>
      </c>
      <c r="AM345" s="24">
        <v>0</v>
      </c>
      <c r="AN345" s="24">
        <v>0</v>
      </c>
      <c r="AO345" s="24">
        <v>0</v>
      </c>
      <c r="AP345" s="24">
        <v>1000</v>
      </c>
      <c r="AQ345" s="24">
        <v>80</v>
      </c>
      <c r="AR345" s="24">
        <v>0</v>
      </c>
      <c r="AS345" s="24">
        <v>0</v>
      </c>
      <c r="AT345" s="24">
        <v>0</v>
      </c>
      <c r="AU345" s="24">
        <v>2012</v>
      </c>
      <c r="AV345" s="24">
        <v>2013</v>
      </c>
      <c r="AW345" s="24">
        <v>0</v>
      </c>
      <c r="AX345" s="24">
        <v>6007</v>
      </c>
      <c r="AY345" s="24">
        <v>0</v>
      </c>
      <c r="AZ345" s="28"/>
      <c r="BA345" s="24">
        <v>0</v>
      </c>
      <c r="BB345" s="24">
        <v>400</v>
      </c>
      <c r="BC345" s="24">
        <v>700</v>
      </c>
      <c r="BD345" s="24">
        <v>0</v>
      </c>
      <c r="BE345" s="24">
        <v>200</v>
      </c>
      <c r="BF345" s="24">
        <v>5</v>
      </c>
      <c r="BG345" s="25">
        <v>1</v>
      </c>
      <c r="BH345" s="24">
        <v>1</v>
      </c>
      <c r="BI345" s="24">
        <v>0</v>
      </c>
      <c r="BJ345" s="24">
        <v>0</v>
      </c>
      <c r="BK345" s="24">
        <v>0</v>
      </c>
      <c r="BL345" s="25">
        <v>126</v>
      </c>
      <c r="BM345" s="24">
        <v>0</v>
      </c>
      <c r="BN345" s="28"/>
      <c r="BO345" s="25">
        <v>8</v>
      </c>
      <c r="BP345" s="24">
        <v>20</v>
      </c>
      <c r="BQ345" s="24">
        <v>0</v>
      </c>
      <c r="BR345" s="24">
        <v>1</v>
      </c>
      <c r="BS345" s="24">
        <v>0</v>
      </c>
      <c r="BT345" s="24">
        <v>0</v>
      </c>
      <c r="BU345" s="24">
        <v>0</v>
      </c>
      <c r="BV345" s="24">
        <v>6</v>
      </c>
      <c r="BW345" s="24">
        <v>0</v>
      </c>
      <c r="BX345" s="24">
        <v>0</v>
      </c>
      <c r="BY345" s="28"/>
      <c r="BZ345" s="24">
        <v>105500</v>
      </c>
      <c r="CA345" s="24">
        <v>0</v>
      </c>
      <c r="CB345" s="24">
        <v>0</v>
      </c>
      <c r="CC345" s="24">
        <v>0</v>
      </c>
      <c r="CD345" s="24">
        <v>0</v>
      </c>
      <c r="CE345" s="24">
        <v>0</v>
      </c>
      <c r="CF345" s="28"/>
      <c r="CG345" s="24">
        <v>-1</v>
      </c>
      <c r="CH345" s="24">
        <v>0</v>
      </c>
      <c r="CI345" s="24">
        <v>0</v>
      </c>
      <c r="CJ345" s="24">
        <v>0</v>
      </c>
      <c r="CK345" s="24">
        <v>0</v>
      </c>
      <c r="CL345" s="24">
        <v>0</v>
      </c>
      <c r="CM345" s="24">
        <v>0</v>
      </c>
      <c r="CN345" s="24">
        <v>0</v>
      </c>
      <c r="CO345" s="24">
        <v>0</v>
      </c>
      <c r="CQ345" s="24">
        <v>0</v>
      </c>
      <c r="CR345" s="24">
        <v>0</v>
      </c>
      <c r="CS345" s="24">
        <v>0</v>
      </c>
      <c r="CT345" s="24">
        <v>0</v>
      </c>
      <c r="CV345" s="24">
        <v>100201</v>
      </c>
      <c r="CW345" s="24">
        <v>13</v>
      </c>
      <c r="CX345" s="24">
        <v>-1</v>
      </c>
      <c r="CY345" s="24">
        <v>1</v>
      </c>
      <c r="CZ345" s="24">
        <v>2</v>
      </c>
      <c r="DC345" s="24">
        <v>1</v>
      </c>
      <c r="DD345" s="24">
        <v>1</v>
      </c>
      <c r="DE345" s="24">
        <v>0</v>
      </c>
      <c r="DF345" s="24">
        <v>0</v>
      </c>
      <c r="DG345" s="24">
        <v>-1</v>
      </c>
      <c r="DI345" s="24">
        <v>0</v>
      </c>
      <c r="DJ345" s="24">
        <v>0</v>
      </c>
      <c r="DL345" s="24">
        <v>0</v>
      </c>
      <c r="DM345" s="24">
        <v>0</v>
      </c>
      <c r="DO345" s="24">
        <v>0</v>
      </c>
      <c r="DP345" s="24">
        <v>0</v>
      </c>
      <c r="DQ345" s="24">
        <v>0</v>
      </c>
      <c r="DR345" s="24">
        <v>0</v>
      </c>
      <c r="DS345" s="24">
        <v>0</v>
      </c>
      <c r="DT345" s="24">
        <v>0</v>
      </c>
      <c r="DV345" s="24">
        <v>0</v>
      </c>
      <c r="DW345" s="24">
        <v>0</v>
      </c>
      <c r="DX345" s="24">
        <v>0</v>
      </c>
      <c r="DY345" s="24">
        <v>0</v>
      </c>
      <c r="DZ345" s="24">
        <v>0</v>
      </c>
    </row>
    <row r="346" spans="1:130">
      <c r="A346" s="24" t="s">
        <v>142</v>
      </c>
      <c r="B346" s="24" t="s">
        <v>142</v>
      </c>
      <c r="C346" s="24" t="s">
        <v>142</v>
      </c>
      <c r="D346" s="24" t="s">
        <v>142</v>
      </c>
      <c r="E346" s="24">
        <v>105501</v>
      </c>
      <c r="F346" s="24" t="s">
        <v>824</v>
      </c>
      <c r="G346" s="24">
        <v>0</v>
      </c>
      <c r="H346" s="24">
        <v>0</v>
      </c>
      <c r="I346" s="24" t="s">
        <v>824</v>
      </c>
      <c r="J346" s="24" t="s">
        <v>824</v>
      </c>
      <c r="K346" s="24" t="s">
        <v>644</v>
      </c>
      <c r="M346" s="24">
        <v>0</v>
      </c>
      <c r="N346" s="24">
        <v>0</v>
      </c>
      <c r="O346" s="28"/>
      <c r="P346" s="25">
        <v>8</v>
      </c>
      <c r="Q346" s="25">
        <v>0</v>
      </c>
      <c r="R346" s="24">
        <v>105500</v>
      </c>
      <c r="S346" s="25">
        <v>0</v>
      </c>
      <c r="T346" s="24"/>
      <c r="U346" s="24">
        <v>3</v>
      </c>
      <c r="V346" s="25">
        <v>2050</v>
      </c>
      <c r="W346" s="24">
        <v>1</v>
      </c>
      <c r="X346" s="24">
        <v>105500</v>
      </c>
      <c r="Y346" s="24">
        <v>0</v>
      </c>
      <c r="Z346" s="24">
        <v>1000</v>
      </c>
      <c r="AA346" s="28"/>
      <c r="AB346" s="24">
        <v>30001</v>
      </c>
      <c r="AC346" s="24">
        <v>-1</v>
      </c>
      <c r="AD346" s="24">
        <v>-1</v>
      </c>
      <c r="AE346" s="24">
        <v>-1</v>
      </c>
      <c r="AF346" s="28"/>
      <c r="AG346" s="24">
        <v>1</v>
      </c>
      <c r="AH346" s="24">
        <v>0</v>
      </c>
      <c r="AI346" s="24">
        <v>0</v>
      </c>
      <c r="AJ346" s="24">
        <v>0</v>
      </c>
      <c r="AK346" s="24">
        <v>0</v>
      </c>
      <c r="AL346" s="24">
        <v>0</v>
      </c>
      <c r="AM346" s="24">
        <v>0</v>
      </c>
      <c r="AN346" s="24">
        <v>0</v>
      </c>
      <c r="AO346" s="24">
        <v>0</v>
      </c>
      <c r="AP346" s="24">
        <v>0</v>
      </c>
      <c r="AQ346" s="24">
        <v>0</v>
      </c>
      <c r="AR346" s="24">
        <v>0</v>
      </c>
      <c r="AS346" s="24">
        <v>0</v>
      </c>
      <c r="AT346" s="24">
        <v>0</v>
      </c>
      <c r="AU346" s="24">
        <v>0</v>
      </c>
      <c r="AV346" s="24">
        <v>0</v>
      </c>
      <c r="AW346" s="24">
        <v>0</v>
      </c>
      <c r="AX346" s="24">
        <v>0</v>
      </c>
      <c r="AY346" s="24">
        <v>0</v>
      </c>
      <c r="AZ346" s="28"/>
      <c r="BA346" s="24">
        <v>0</v>
      </c>
      <c r="BB346" s="24">
        <v>0</v>
      </c>
      <c r="BC346" s="24">
        <v>0</v>
      </c>
      <c r="BD346" s="24">
        <v>0</v>
      </c>
      <c r="BE346" s="24">
        <v>0</v>
      </c>
      <c r="BF346" s="24">
        <v>1</v>
      </c>
      <c r="BG346" s="25">
        <v>0</v>
      </c>
      <c r="BH346" s="24">
        <v>4</v>
      </c>
      <c r="BI346" s="24">
        <v>105501</v>
      </c>
      <c r="BJ346" s="24">
        <v>1</v>
      </c>
      <c r="BK346" s="24">
        <v>1</v>
      </c>
      <c r="BL346" s="25">
        <v>126</v>
      </c>
      <c r="BM346" s="24">
        <v>0</v>
      </c>
      <c r="BN346" s="28"/>
      <c r="BO346" s="25">
        <v>1</v>
      </c>
      <c r="BP346" s="24">
        <v>0</v>
      </c>
      <c r="BQ346" s="24">
        <v>0</v>
      </c>
      <c r="BR346" s="24">
        <v>1</v>
      </c>
      <c r="BS346" s="24">
        <v>0</v>
      </c>
      <c r="BT346" s="24">
        <v>0</v>
      </c>
      <c r="BU346" s="24">
        <v>0</v>
      </c>
      <c r="BV346" s="24">
        <v>0</v>
      </c>
      <c r="BW346" s="24">
        <v>0</v>
      </c>
      <c r="BX346" s="24">
        <v>0</v>
      </c>
      <c r="BY346" s="28"/>
      <c r="BZ346" s="24">
        <v>105501</v>
      </c>
      <c r="CA346" s="24">
        <v>0</v>
      </c>
      <c r="CB346" s="24">
        <v>0</v>
      </c>
      <c r="CC346" s="24">
        <v>0</v>
      </c>
      <c r="CD346" s="24">
        <v>0</v>
      </c>
      <c r="CE346" s="24">
        <v>0</v>
      </c>
      <c r="CF346" s="28"/>
      <c r="CG346" s="24">
        <v>-1</v>
      </c>
      <c r="CH346" s="24">
        <v>0</v>
      </c>
      <c r="CI346" s="24">
        <v>0</v>
      </c>
      <c r="CJ346" s="24">
        <v>0</v>
      </c>
      <c r="CK346" s="24">
        <v>0</v>
      </c>
      <c r="CL346" s="24">
        <v>0</v>
      </c>
      <c r="CM346" s="24">
        <v>0</v>
      </c>
      <c r="CN346" s="24">
        <v>0</v>
      </c>
      <c r="CO346" s="24">
        <v>0</v>
      </c>
      <c r="CQ346" s="24">
        <v>0</v>
      </c>
      <c r="CR346" s="24">
        <v>0</v>
      </c>
      <c r="CS346" s="24">
        <v>0</v>
      </c>
      <c r="CT346" s="24">
        <v>0</v>
      </c>
      <c r="CV346" s="24">
        <v>0</v>
      </c>
      <c r="CW346" s="24">
        <v>0</v>
      </c>
      <c r="CX346" s="24">
        <v>-1</v>
      </c>
      <c r="CY346" s="24">
        <v>1</v>
      </c>
      <c r="CZ346" s="24">
        <v>0</v>
      </c>
      <c r="DC346" s="24">
        <v>1</v>
      </c>
      <c r="DD346" s="24">
        <v>0</v>
      </c>
      <c r="DE346" s="24">
        <v>0</v>
      </c>
      <c r="DF346" s="24">
        <v>0</v>
      </c>
      <c r="DG346" s="24">
        <v>0</v>
      </c>
      <c r="DI346" s="24">
        <v>0</v>
      </c>
      <c r="DJ346" s="24">
        <v>0</v>
      </c>
      <c r="DL346" s="24">
        <v>0</v>
      </c>
      <c r="DM346" s="24">
        <v>0</v>
      </c>
      <c r="DO346" s="24">
        <v>0</v>
      </c>
      <c r="DP346" s="24">
        <v>0</v>
      </c>
      <c r="DQ346" s="24">
        <v>0</v>
      </c>
      <c r="DR346" s="24">
        <v>0</v>
      </c>
      <c r="DS346" s="24">
        <v>0</v>
      </c>
      <c r="DT346" s="24">
        <v>0</v>
      </c>
      <c r="DV346" s="24">
        <v>0</v>
      </c>
      <c r="DW346" s="24">
        <v>0</v>
      </c>
      <c r="DX346" s="24">
        <v>0</v>
      </c>
      <c r="DY346" s="24">
        <v>0</v>
      </c>
      <c r="DZ346" s="24">
        <v>0</v>
      </c>
    </row>
    <row r="347" spans="1:130">
      <c r="A347" s="24" t="s">
        <v>142</v>
      </c>
      <c r="B347" s="24" t="s">
        <v>142</v>
      </c>
      <c r="C347" s="24" t="s">
        <v>142</v>
      </c>
      <c r="D347" s="24" t="s">
        <v>142</v>
      </c>
      <c r="E347" s="24">
        <v>105505</v>
      </c>
      <c r="F347" s="24" t="s">
        <v>825</v>
      </c>
      <c r="G347" s="24">
        <v>0</v>
      </c>
      <c r="H347" s="24">
        <v>0</v>
      </c>
      <c r="I347" s="24" t="s">
        <v>826</v>
      </c>
      <c r="J347" s="24" t="s">
        <v>826</v>
      </c>
      <c r="K347" s="24" t="s">
        <v>644</v>
      </c>
      <c r="M347" s="24">
        <v>0</v>
      </c>
      <c r="N347" s="24">
        <v>0</v>
      </c>
      <c r="O347" s="28"/>
      <c r="P347" s="25">
        <v>4</v>
      </c>
      <c r="Q347" s="25">
        <v>0</v>
      </c>
      <c r="R347" s="24">
        <v>0</v>
      </c>
      <c r="S347" s="25">
        <v>0</v>
      </c>
      <c r="T347" s="24"/>
      <c r="U347" s="24">
        <v>2</v>
      </c>
      <c r="V347" s="25">
        <v>2</v>
      </c>
      <c r="W347" s="24">
        <v>3</v>
      </c>
      <c r="X347" s="24">
        <v>105501</v>
      </c>
      <c r="Y347" s="24">
        <v>5</v>
      </c>
      <c r="Z347" s="24">
        <v>1000</v>
      </c>
      <c r="AA347" s="28"/>
      <c r="AB347" s="24">
        <v>20001</v>
      </c>
      <c r="AC347" s="24">
        <v>-1</v>
      </c>
      <c r="AD347" s="24">
        <v>-1</v>
      </c>
      <c r="AE347" s="24">
        <v>-1</v>
      </c>
      <c r="AF347" s="28"/>
      <c r="AG347" s="24">
        <v>1</v>
      </c>
      <c r="AH347" s="24">
        <v>0</v>
      </c>
      <c r="AI347" s="24">
        <v>0</v>
      </c>
      <c r="AJ347" s="24">
        <v>0</v>
      </c>
      <c r="AK347" s="24">
        <v>0</v>
      </c>
      <c r="AL347" s="24">
        <v>0</v>
      </c>
      <c r="AM347" s="24">
        <v>0</v>
      </c>
      <c r="AN347" s="24">
        <v>0</v>
      </c>
      <c r="AO347" s="24">
        <v>0</v>
      </c>
      <c r="AP347" s="24">
        <v>0</v>
      </c>
      <c r="AQ347" s="24">
        <v>0</v>
      </c>
      <c r="AR347" s="24">
        <v>0</v>
      </c>
      <c r="AS347" s="24">
        <v>0</v>
      </c>
      <c r="AT347" s="24">
        <v>0</v>
      </c>
      <c r="AU347" s="24">
        <v>0</v>
      </c>
      <c r="AV347" s="24">
        <v>0</v>
      </c>
      <c r="AW347" s="24">
        <v>0</v>
      </c>
      <c r="AX347" s="24">
        <v>0</v>
      </c>
      <c r="AY347" s="24">
        <v>0</v>
      </c>
      <c r="AZ347" s="28"/>
      <c r="BA347" s="24">
        <v>0</v>
      </c>
      <c r="BB347" s="24">
        <v>0</v>
      </c>
      <c r="BC347" s="24">
        <v>0</v>
      </c>
      <c r="BD347" s="24">
        <v>0</v>
      </c>
      <c r="BE347" s="24">
        <v>0</v>
      </c>
      <c r="BF347" s="24">
        <v>1</v>
      </c>
      <c r="BG347" s="25">
        <v>2</v>
      </c>
      <c r="BH347" s="24">
        <v>2</v>
      </c>
      <c r="BI347" s="24">
        <v>0</v>
      </c>
      <c r="BJ347" s="24">
        <v>0</v>
      </c>
      <c r="BK347" s="24">
        <v>0</v>
      </c>
      <c r="BL347" s="25">
        <v>126</v>
      </c>
      <c r="BM347" s="24">
        <v>0</v>
      </c>
      <c r="BN347" s="28"/>
      <c r="BO347" s="25">
        <v>1</v>
      </c>
      <c r="BP347" s="24">
        <v>0</v>
      </c>
      <c r="BQ347" s="24">
        <v>0</v>
      </c>
      <c r="BR347" s="24">
        <v>2</v>
      </c>
      <c r="BS347" s="24">
        <v>80</v>
      </c>
      <c r="BT347" s="24">
        <v>0</v>
      </c>
      <c r="BU347" s="24">
        <v>0</v>
      </c>
      <c r="BV347" s="24">
        <v>5</v>
      </c>
      <c r="BW347" s="24">
        <v>0</v>
      </c>
      <c r="BX347" s="24">
        <v>4</v>
      </c>
      <c r="BY347" s="28"/>
      <c r="BZ347" s="24">
        <v>105505</v>
      </c>
      <c r="CA347" s="24">
        <v>0</v>
      </c>
      <c r="CB347" s="24">
        <v>0</v>
      </c>
      <c r="CC347" s="24">
        <v>0</v>
      </c>
      <c r="CD347" s="24">
        <v>0</v>
      </c>
      <c r="CE347" s="24">
        <v>0</v>
      </c>
      <c r="CF347" s="28"/>
      <c r="CG347" s="24">
        <v>-1</v>
      </c>
      <c r="CH347" s="24">
        <v>0</v>
      </c>
      <c r="CI347" s="24">
        <v>0</v>
      </c>
      <c r="CJ347" s="24">
        <v>0</v>
      </c>
      <c r="CK347" s="24">
        <v>0</v>
      </c>
      <c r="CL347" s="24">
        <v>0</v>
      </c>
      <c r="CM347" s="24">
        <v>0</v>
      </c>
      <c r="CN347" s="24">
        <v>0</v>
      </c>
      <c r="CO347" s="24">
        <v>0</v>
      </c>
      <c r="CQ347" s="24">
        <v>0</v>
      </c>
      <c r="CR347" s="24">
        <v>0</v>
      </c>
      <c r="CS347" s="24">
        <v>0</v>
      </c>
      <c r="CT347" s="24">
        <v>0</v>
      </c>
      <c r="CV347" s="24">
        <v>0</v>
      </c>
      <c r="CW347" s="24">
        <v>0</v>
      </c>
      <c r="CX347" s="24">
        <v>-1</v>
      </c>
      <c r="CY347" s="24">
        <v>1</v>
      </c>
      <c r="CZ347" s="24">
        <v>0</v>
      </c>
      <c r="DC347" s="24">
        <v>1</v>
      </c>
      <c r="DD347" s="24">
        <v>0</v>
      </c>
      <c r="DE347" s="24">
        <v>0</v>
      </c>
      <c r="DF347" s="24">
        <v>0</v>
      </c>
      <c r="DG347" s="24">
        <v>0</v>
      </c>
      <c r="DI347" s="24">
        <v>0</v>
      </c>
      <c r="DJ347" s="24">
        <v>0</v>
      </c>
      <c r="DL347" s="24">
        <v>0</v>
      </c>
      <c r="DM347" s="24">
        <v>0</v>
      </c>
      <c r="DO347" s="24">
        <v>0</v>
      </c>
      <c r="DP347" s="24">
        <v>0</v>
      </c>
      <c r="DQ347" s="24">
        <v>0</v>
      </c>
      <c r="DR347" s="24">
        <v>0</v>
      </c>
      <c r="DS347" s="24">
        <v>0</v>
      </c>
      <c r="DT347" s="24">
        <v>0</v>
      </c>
      <c r="DV347" s="24">
        <v>0</v>
      </c>
      <c r="DW347" s="24">
        <v>0</v>
      </c>
      <c r="DX347" s="24">
        <v>0</v>
      </c>
      <c r="DY347" s="24">
        <v>0</v>
      </c>
      <c r="DZ347" s="24">
        <v>0</v>
      </c>
    </row>
    <row r="348" spans="1:130">
      <c r="A348" s="24" t="s">
        <v>142</v>
      </c>
      <c r="B348" s="24" t="s">
        <v>142</v>
      </c>
      <c r="C348" s="24" t="s">
        <v>142</v>
      </c>
      <c r="D348" s="24" t="s">
        <v>142</v>
      </c>
      <c r="E348" s="24">
        <v>105506</v>
      </c>
      <c r="F348" s="24" t="s">
        <v>827</v>
      </c>
      <c r="G348" s="24">
        <v>0</v>
      </c>
      <c r="H348" s="24">
        <v>0</v>
      </c>
      <c r="I348" s="24" t="s">
        <v>827</v>
      </c>
      <c r="J348" s="24" t="s">
        <v>827</v>
      </c>
      <c r="K348" s="24" t="s">
        <v>644</v>
      </c>
      <c r="M348" s="24">
        <v>0</v>
      </c>
      <c r="N348" s="24">
        <v>0</v>
      </c>
      <c r="O348" s="28"/>
      <c r="P348" s="25">
        <v>4</v>
      </c>
      <c r="Q348" s="25">
        <v>0</v>
      </c>
      <c r="R348" s="24">
        <v>0</v>
      </c>
      <c r="S348" s="25">
        <v>0</v>
      </c>
      <c r="T348" s="24"/>
      <c r="U348" s="24">
        <v>2</v>
      </c>
      <c r="V348" s="25">
        <v>2</v>
      </c>
      <c r="W348" s="24">
        <v>3</v>
      </c>
      <c r="X348" s="24">
        <v>105501</v>
      </c>
      <c r="Y348" s="24">
        <v>5</v>
      </c>
      <c r="Z348" s="24">
        <v>1000</v>
      </c>
      <c r="AA348" s="28"/>
      <c r="AB348" s="24">
        <v>20001</v>
      </c>
      <c r="AC348" s="24">
        <v>-1</v>
      </c>
      <c r="AD348" s="24">
        <v>-1</v>
      </c>
      <c r="AE348" s="24">
        <v>-1</v>
      </c>
      <c r="AF348" s="28"/>
      <c r="AG348" s="24">
        <v>1</v>
      </c>
      <c r="AH348" s="24">
        <v>0</v>
      </c>
      <c r="AI348" s="24">
        <v>0</v>
      </c>
      <c r="AJ348" s="24">
        <v>0</v>
      </c>
      <c r="AK348" s="24">
        <v>0</v>
      </c>
      <c r="AL348" s="24">
        <v>0</v>
      </c>
      <c r="AM348" s="24">
        <v>0</v>
      </c>
      <c r="AN348" s="24">
        <v>0</v>
      </c>
      <c r="AO348" s="24">
        <v>0</v>
      </c>
      <c r="AP348" s="24">
        <v>0</v>
      </c>
      <c r="AQ348" s="24">
        <v>0</v>
      </c>
      <c r="AR348" s="24">
        <v>0</v>
      </c>
      <c r="AS348" s="24">
        <v>0</v>
      </c>
      <c r="AT348" s="24">
        <v>0</v>
      </c>
      <c r="AU348" s="24">
        <v>0</v>
      </c>
      <c r="AV348" s="24">
        <v>0</v>
      </c>
      <c r="AW348" s="24">
        <v>0</v>
      </c>
      <c r="AX348" s="24">
        <v>0</v>
      </c>
      <c r="AY348" s="24">
        <v>0</v>
      </c>
      <c r="AZ348" s="28"/>
      <c r="BA348" s="24">
        <v>0</v>
      </c>
      <c r="BB348" s="24">
        <v>0</v>
      </c>
      <c r="BC348" s="24">
        <v>0</v>
      </c>
      <c r="BD348" s="24">
        <v>0</v>
      </c>
      <c r="BE348" s="24">
        <v>0</v>
      </c>
      <c r="BF348" s="24">
        <v>1</v>
      </c>
      <c r="BG348" s="25">
        <v>2</v>
      </c>
      <c r="BH348" s="24">
        <v>5</v>
      </c>
      <c r="BI348" s="24">
        <v>105501</v>
      </c>
      <c r="BJ348" s="24">
        <v>1</v>
      </c>
      <c r="BK348" s="24">
        <v>5</v>
      </c>
      <c r="BL348" s="25">
        <v>126</v>
      </c>
      <c r="BM348" s="24">
        <v>0</v>
      </c>
      <c r="BN348" s="28"/>
      <c r="BO348" s="25">
        <v>1</v>
      </c>
      <c r="BP348" s="24">
        <v>0</v>
      </c>
      <c r="BQ348" s="24">
        <v>0</v>
      </c>
      <c r="BR348" s="24">
        <v>2</v>
      </c>
      <c r="BS348" s="24">
        <v>80</v>
      </c>
      <c r="BT348" s="24">
        <v>0</v>
      </c>
      <c r="BU348" s="24">
        <v>0</v>
      </c>
      <c r="BV348" s="24">
        <v>5</v>
      </c>
      <c r="BW348" s="24">
        <v>0</v>
      </c>
      <c r="BX348" s="24">
        <v>4</v>
      </c>
      <c r="BY348" s="28"/>
      <c r="BZ348" s="24">
        <v>105506</v>
      </c>
      <c r="CA348" s="24">
        <v>0</v>
      </c>
      <c r="CB348" s="24">
        <v>0</v>
      </c>
      <c r="CC348" s="24">
        <v>0</v>
      </c>
      <c r="CD348" s="24">
        <v>0</v>
      </c>
      <c r="CE348" s="24">
        <v>0</v>
      </c>
      <c r="CF348" s="28"/>
      <c r="CG348" s="24">
        <v>-1</v>
      </c>
      <c r="CH348" s="24">
        <v>0</v>
      </c>
      <c r="CI348" s="24">
        <v>0</v>
      </c>
      <c r="CJ348" s="24">
        <v>0</v>
      </c>
      <c r="CK348" s="24">
        <v>0</v>
      </c>
      <c r="CL348" s="24">
        <v>0</v>
      </c>
      <c r="CM348" s="24">
        <v>0</v>
      </c>
      <c r="CN348" s="24">
        <v>0</v>
      </c>
      <c r="CO348" s="24">
        <v>0</v>
      </c>
      <c r="CQ348" s="24">
        <v>0</v>
      </c>
      <c r="CR348" s="24">
        <v>0</v>
      </c>
      <c r="CS348" s="24">
        <v>0</v>
      </c>
      <c r="CT348" s="24">
        <v>0</v>
      </c>
      <c r="CV348" s="24">
        <v>0</v>
      </c>
      <c r="CW348" s="24">
        <v>0</v>
      </c>
      <c r="CX348" s="24">
        <v>-1</v>
      </c>
      <c r="CY348" s="24">
        <v>1</v>
      </c>
      <c r="CZ348" s="24">
        <v>0</v>
      </c>
      <c r="DC348" s="24">
        <v>1</v>
      </c>
      <c r="DD348" s="24">
        <v>0</v>
      </c>
      <c r="DE348" s="24">
        <v>0</v>
      </c>
      <c r="DF348" s="24">
        <v>0</v>
      </c>
      <c r="DG348" s="24">
        <v>0</v>
      </c>
      <c r="DI348" s="24">
        <v>0</v>
      </c>
      <c r="DJ348" s="24">
        <v>0</v>
      </c>
      <c r="DL348" s="24">
        <v>0</v>
      </c>
      <c r="DM348" s="24">
        <v>0</v>
      </c>
      <c r="DO348" s="24">
        <v>0</v>
      </c>
      <c r="DP348" s="24">
        <v>0</v>
      </c>
      <c r="DQ348" s="24">
        <v>0</v>
      </c>
      <c r="DR348" s="24">
        <v>0</v>
      </c>
      <c r="DS348" s="24">
        <v>0</v>
      </c>
      <c r="DT348" s="24">
        <v>0</v>
      </c>
      <c r="DV348" s="24">
        <v>0</v>
      </c>
      <c r="DW348" s="24">
        <v>0</v>
      </c>
      <c r="DX348" s="24">
        <v>0</v>
      </c>
      <c r="DY348" s="24">
        <v>0</v>
      </c>
      <c r="DZ348" s="24">
        <v>0</v>
      </c>
    </row>
    <row r="349" spans="1:130">
      <c r="A349" s="24" t="s">
        <v>142</v>
      </c>
      <c r="B349" s="24" t="s">
        <v>142</v>
      </c>
      <c r="C349" s="24" t="s">
        <v>142</v>
      </c>
      <c r="D349" s="24" t="s">
        <v>142</v>
      </c>
      <c r="E349" s="24">
        <v>105510</v>
      </c>
      <c r="F349" s="24" t="s">
        <v>721</v>
      </c>
      <c r="G349" s="24">
        <v>0</v>
      </c>
      <c r="H349" s="24">
        <v>0</v>
      </c>
      <c r="I349" s="24" t="s">
        <v>721</v>
      </c>
      <c r="J349" s="24" t="s">
        <v>721</v>
      </c>
      <c r="K349" s="24" t="s">
        <v>644</v>
      </c>
      <c r="M349" s="24">
        <v>102</v>
      </c>
      <c r="N349" s="24">
        <v>0</v>
      </c>
      <c r="O349" s="28"/>
      <c r="P349" s="25">
        <v>2</v>
      </c>
      <c r="Q349" s="25">
        <v>4718608</v>
      </c>
      <c r="R349" s="24">
        <v>0</v>
      </c>
      <c r="S349" s="25">
        <v>0</v>
      </c>
      <c r="T349" s="24"/>
      <c r="U349" s="24">
        <v>0</v>
      </c>
      <c r="V349" s="25">
        <v>0</v>
      </c>
      <c r="W349" s="24">
        <v>0</v>
      </c>
      <c r="X349" s="24">
        <v>0</v>
      </c>
      <c r="Y349" s="24">
        <v>0</v>
      </c>
      <c r="Z349" s="24">
        <v>0</v>
      </c>
      <c r="AA349" s="28"/>
      <c r="AB349" s="24">
        <v>10001</v>
      </c>
      <c r="AC349" s="24">
        <v>-1</v>
      </c>
      <c r="AD349" s="24">
        <v>-1</v>
      </c>
      <c r="AE349" s="24">
        <v>-1</v>
      </c>
      <c r="AF349" s="28"/>
      <c r="AG349" s="24">
        <v>1</v>
      </c>
      <c r="AH349" s="24">
        <v>0</v>
      </c>
      <c r="AI349" s="24">
        <v>0</v>
      </c>
      <c r="AJ349" s="24">
        <v>0</v>
      </c>
      <c r="AK349" s="24">
        <v>0</v>
      </c>
      <c r="AL349" s="24">
        <v>0</v>
      </c>
      <c r="AM349" s="24">
        <v>0</v>
      </c>
      <c r="AN349" s="24">
        <v>0</v>
      </c>
      <c r="AO349" s="24">
        <v>0</v>
      </c>
      <c r="AP349" s="24">
        <v>0</v>
      </c>
      <c r="AQ349" s="24">
        <v>0</v>
      </c>
      <c r="AR349" s="24">
        <v>0</v>
      </c>
      <c r="AS349" s="24">
        <v>0</v>
      </c>
      <c r="AT349" s="24">
        <v>0</v>
      </c>
      <c r="AU349" s="24">
        <v>0</v>
      </c>
      <c r="AV349" s="24">
        <v>0</v>
      </c>
      <c r="AW349" s="24">
        <v>0</v>
      </c>
      <c r="AX349" s="24">
        <v>0</v>
      </c>
      <c r="AY349" s="24">
        <v>0</v>
      </c>
      <c r="AZ349" s="28"/>
      <c r="BA349" s="24">
        <v>0</v>
      </c>
      <c r="BB349" s="24">
        <v>500</v>
      </c>
      <c r="BC349" s="24">
        <v>1100</v>
      </c>
      <c r="BD349" s="24">
        <v>0</v>
      </c>
      <c r="BE349" s="24">
        <v>0</v>
      </c>
      <c r="BF349" s="24">
        <v>1</v>
      </c>
      <c r="BG349" s="25">
        <v>10</v>
      </c>
      <c r="BH349" s="24">
        <v>4</v>
      </c>
      <c r="BI349" s="24">
        <v>105510</v>
      </c>
      <c r="BJ349" s="24">
        <v>1</v>
      </c>
      <c r="BK349" s="24">
        <v>1</v>
      </c>
      <c r="BL349" s="25">
        <v>126</v>
      </c>
      <c r="BM349" s="24">
        <v>0</v>
      </c>
      <c r="BN349" s="28"/>
      <c r="BO349" s="25">
        <v>4</v>
      </c>
      <c r="BP349" s="24">
        <v>20</v>
      </c>
      <c r="BQ349" s="24">
        <v>0</v>
      </c>
      <c r="BR349" s="24">
        <v>1</v>
      </c>
      <c r="BS349" s="24">
        <v>0</v>
      </c>
      <c r="BT349" s="24">
        <v>0</v>
      </c>
      <c r="BU349" s="24">
        <v>0</v>
      </c>
      <c r="BV349" s="24">
        <v>5</v>
      </c>
      <c r="BW349" s="24">
        <v>2</v>
      </c>
      <c r="BX349" s="24">
        <v>1</v>
      </c>
      <c r="BY349" s="28"/>
      <c r="BZ349" s="24">
        <v>105510</v>
      </c>
      <c r="CA349" s="24">
        <v>0</v>
      </c>
      <c r="CB349" s="24">
        <v>0</v>
      </c>
      <c r="CC349" s="24">
        <v>0</v>
      </c>
      <c r="CD349" s="24">
        <v>0</v>
      </c>
      <c r="CE349" s="24">
        <v>0</v>
      </c>
      <c r="CF349" s="28"/>
      <c r="CG349" s="24">
        <v>-1</v>
      </c>
      <c r="CH349" s="24">
        <v>0</v>
      </c>
      <c r="CI349" s="24">
        <v>0</v>
      </c>
      <c r="CJ349" s="24">
        <v>0</v>
      </c>
      <c r="CK349" s="24">
        <v>0</v>
      </c>
      <c r="CL349" s="24">
        <v>0</v>
      </c>
      <c r="CM349" s="24">
        <v>0</v>
      </c>
      <c r="CN349" s="24">
        <v>0</v>
      </c>
      <c r="CO349" s="24">
        <v>0</v>
      </c>
      <c r="CQ349" s="24">
        <v>0</v>
      </c>
      <c r="CR349" s="24">
        <v>0</v>
      </c>
      <c r="CS349" s="24">
        <v>0</v>
      </c>
      <c r="CT349" s="24">
        <v>0</v>
      </c>
      <c r="CV349" s="24">
        <v>100105</v>
      </c>
      <c r="CW349" s="24">
        <v>0</v>
      </c>
      <c r="CX349" s="24">
        <v>3001</v>
      </c>
      <c r="CY349" s="24">
        <v>1</v>
      </c>
      <c r="CZ349" s="24">
        <v>0</v>
      </c>
      <c r="DC349" s="24">
        <v>2</v>
      </c>
      <c r="DD349" s="24">
        <v>1</v>
      </c>
      <c r="DE349" s="24">
        <v>0</v>
      </c>
      <c r="DF349" s="24">
        <v>0</v>
      </c>
      <c r="DG349" s="24">
        <v>0</v>
      </c>
      <c r="DI349" s="24">
        <v>0</v>
      </c>
      <c r="DJ349" s="24">
        <v>0</v>
      </c>
      <c r="DL349" s="24">
        <v>0</v>
      </c>
      <c r="DM349" s="24">
        <v>0</v>
      </c>
      <c r="DO349" s="24">
        <v>0</v>
      </c>
      <c r="DP349" s="24">
        <v>0</v>
      </c>
      <c r="DQ349" s="24">
        <v>0</v>
      </c>
      <c r="DR349" s="24">
        <v>0</v>
      </c>
      <c r="DS349" s="24">
        <v>0</v>
      </c>
      <c r="DT349" s="24">
        <v>0</v>
      </c>
      <c r="DV349" s="24">
        <v>0</v>
      </c>
      <c r="DW349" s="24">
        <v>0</v>
      </c>
      <c r="DX349" s="24">
        <v>0</v>
      </c>
      <c r="DY349" s="24">
        <v>0</v>
      </c>
      <c r="DZ349" s="24">
        <v>0</v>
      </c>
    </row>
    <row r="350" spans="1:130">
      <c r="A350" s="24" t="s">
        <v>142</v>
      </c>
      <c r="B350" s="24" t="s">
        <v>142</v>
      </c>
      <c r="C350" s="24" t="s">
        <v>142</v>
      </c>
      <c r="D350" s="24" t="s">
        <v>142</v>
      </c>
      <c r="E350" s="24">
        <v>105520</v>
      </c>
      <c r="F350" s="24" t="s">
        <v>828</v>
      </c>
      <c r="G350" s="24">
        <v>0</v>
      </c>
      <c r="H350" s="24">
        <v>0</v>
      </c>
      <c r="I350" s="24" t="s">
        <v>828</v>
      </c>
      <c r="J350" s="24" t="s">
        <v>828</v>
      </c>
      <c r="K350" s="24" t="s">
        <v>644</v>
      </c>
      <c r="M350" s="24">
        <v>102</v>
      </c>
      <c r="N350" s="24">
        <v>0</v>
      </c>
      <c r="P350" s="25">
        <v>2</v>
      </c>
      <c r="Q350" s="25">
        <v>4718592</v>
      </c>
      <c r="R350" s="24">
        <v>0</v>
      </c>
      <c r="S350" s="25">
        <v>0</v>
      </c>
      <c r="T350" s="24"/>
      <c r="U350" s="24">
        <v>0</v>
      </c>
      <c r="V350" s="25">
        <v>0</v>
      </c>
      <c r="W350" s="24">
        <v>0</v>
      </c>
      <c r="X350" s="24">
        <v>0</v>
      </c>
      <c r="Y350" s="24">
        <v>0</v>
      </c>
      <c r="Z350" s="24">
        <v>0</v>
      </c>
      <c r="AB350" s="24">
        <v>10001</v>
      </c>
      <c r="AC350" s="24">
        <v>-1</v>
      </c>
      <c r="AD350" s="24">
        <v>-1</v>
      </c>
      <c r="AE350" s="24">
        <v>-1</v>
      </c>
      <c r="AG350" s="24">
        <v>1</v>
      </c>
      <c r="AH350" s="24">
        <v>0</v>
      </c>
      <c r="AI350" s="24">
        <v>0</v>
      </c>
      <c r="AJ350" s="24">
        <v>0</v>
      </c>
      <c r="AK350" s="24">
        <v>0</v>
      </c>
      <c r="AL350" s="24">
        <v>0</v>
      </c>
      <c r="AM350" s="24">
        <v>0</v>
      </c>
      <c r="AN350" s="24">
        <v>0</v>
      </c>
      <c r="AO350" s="24">
        <v>0</v>
      </c>
      <c r="AP350" s="24">
        <v>0</v>
      </c>
      <c r="AQ350" s="24">
        <v>0</v>
      </c>
      <c r="AR350" s="24">
        <v>0</v>
      </c>
      <c r="AS350" s="24">
        <v>0</v>
      </c>
      <c r="AT350" s="24">
        <v>0</v>
      </c>
      <c r="AU350" s="24">
        <v>0</v>
      </c>
      <c r="AV350" s="24">
        <v>0</v>
      </c>
      <c r="AW350" s="24">
        <v>0</v>
      </c>
      <c r="AX350" s="24">
        <v>0</v>
      </c>
      <c r="AY350" s="24">
        <v>0</v>
      </c>
      <c r="BA350" s="24">
        <v>0</v>
      </c>
      <c r="BB350" s="24">
        <v>500</v>
      </c>
      <c r="BC350" s="24">
        <v>1100</v>
      </c>
      <c r="BD350" s="24">
        <v>0</v>
      </c>
      <c r="BE350" s="24">
        <v>0</v>
      </c>
      <c r="BF350" s="24">
        <v>1</v>
      </c>
      <c r="BG350" s="25">
        <v>4098</v>
      </c>
      <c r="BH350" s="24">
        <v>14</v>
      </c>
      <c r="BI350" s="24">
        <v>1</v>
      </c>
      <c r="BJ350" s="24">
        <v>1</v>
      </c>
      <c r="BK350" s="24">
        <v>1</v>
      </c>
      <c r="BL350" s="25">
        <v>126</v>
      </c>
      <c r="BM350" s="24">
        <v>0</v>
      </c>
      <c r="BO350" s="25">
        <v>4</v>
      </c>
      <c r="BP350" s="24">
        <v>20</v>
      </c>
      <c r="BQ350" s="24">
        <v>0</v>
      </c>
      <c r="BR350" s="24">
        <v>1</v>
      </c>
      <c r="BS350" s="24">
        <v>0</v>
      </c>
      <c r="BT350" s="24">
        <v>0</v>
      </c>
      <c r="BU350" s="24">
        <v>0</v>
      </c>
      <c r="BV350" s="24">
        <v>5</v>
      </c>
      <c r="BW350" s="24">
        <v>2</v>
      </c>
      <c r="BX350" s="24">
        <v>1</v>
      </c>
      <c r="BZ350" s="24">
        <v>105520</v>
      </c>
      <c r="CA350" s="24">
        <v>0</v>
      </c>
      <c r="CB350" s="24">
        <v>0</v>
      </c>
      <c r="CC350" s="24">
        <v>0</v>
      </c>
      <c r="CD350" s="24">
        <v>0</v>
      </c>
      <c r="CE350" s="24">
        <v>0</v>
      </c>
      <c r="CG350" s="24">
        <v>-1</v>
      </c>
      <c r="CH350" s="24">
        <v>0</v>
      </c>
      <c r="CI350" s="24">
        <v>0</v>
      </c>
      <c r="CJ350" s="24">
        <v>0</v>
      </c>
      <c r="CK350" s="24">
        <v>0</v>
      </c>
      <c r="CL350" s="24">
        <v>0</v>
      </c>
      <c r="CM350" s="24">
        <v>0</v>
      </c>
      <c r="CN350" s="24">
        <v>0</v>
      </c>
      <c r="CO350" s="24">
        <v>0</v>
      </c>
      <c r="CQ350" s="24">
        <v>0</v>
      </c>
      <c r="CR350" s="24">
        <v>0</v>
      </c>
      <c r="CS350" s="24">
        <v>0</v>
      </c>
      <c r="CT350" s="24">
        <v>0</v>
      </c>
      <c r="CV350" s="24">
        <v>100105</v>
      </c>
      <c r="CW350" s="24">
        <v>0</v>
      </c>
      <c r="CX350" s="24">
        <v>3001</v>
      </c>
      <c r="CY350" s="24">
        <v>1</v>
      </c>
      <c r="CZ350" s="24">
        <v>0</v>
      </c>
      <c r="DC350" s="24">
        <v>2</v>
      </c>
      <c r="DD350" s="24">
        <v>1</v>
      </c>
      <c r="DE350" s="24">
        <v>0</v>
      </c>
      <c r="DF350" s="24">
        <v>0</v>
      </c>
      <c r="DG350" s="24">
        <v>0</v>
      </c>
      <c r="DI350" s="24">
        <v>0</v>
      </c>
      <c r="DJ350" s="24">
        <v>0</v>
      </c>
      <c r="DL350" s="24">
        <v>0</v>
      </c>
      <c r="DM350" s="24">
        <v>0</v>
      </c>
      <c r="DO350" s="24">
        <v>0</v>
      </c>
      <c r="DP350" s="24">
        <v>0</v>
      </c>
      <c r="DQ350" s="24">
        <v>0</v>
      </c>
      <c r="DR350" s="24">
        <v>0</v>
      </c>
      <c r="DS350" s="24">
        <v>0</v>
      </c>
      <c r="DT350" s="24">
        <v>0</v>
      </c>
      <c r="DV350" s="24">
        <v>0</v>
      </c>
      <c r="DW350" s="24">
        <v>0</v>
      </c>
      <c r="DX350" s="24">
        <v>0</v>
      </c>
      <c r="DY350" s="24">
        <v>0</v>
      </c>
      <c r="DZ350" s="24">
        <v>0</v>
      </c>
    </row>
    <row r="351" spans="1:130">
      <c r="A351" s="24" t="s">
        <v>142</v>
      </c>
      <c r="B351" s="24" t="s">
        <v>142</v>
      </c>
      <c r="C351" s="24" t="s">
        <v>142</v>
      </c>
      <c r="D351" s="24" t="s">
        <v>142</v>
      </c>
      <c r="E351" s="24">
        <v>105530</v>
      </c>
      <c r="F351" s="24" t="s">
        <v>829</v>
      </c>
      <c r="G351" s="24">
        <v>0</v>
      </c>
      <c r="H351" s="24">
        <v>0</v>
      </c>
      <c r="I351" s="24" t="s">
        <v>829</v>
      </c>
      <c r="J351" s="24" t="s">
        <v>829</v>
      </c>
      <c r="K351" s="24" t="s">
        <v>644</v>
      </c>
      <c r="M351" s="24">
        <v>102</v>
      </c>
      <c r="N351" s="24">
        <v>0</v>
      </c>
      <c r="P351" s="25">
        <v>2</v>
      </c>
      <c r="Q351" s="25">
        <v>4194304</v>
      </c>
      <c r="R351" s="24">
        <v>0</v>
      </c>
      <c r="S351" s="25">
        <v>0</v>
      </c>
      <c r="T351" s="24"/>
      <c r="U351" s="24">
        <v>0</v>
      </c>
      <c r="V351" s="25">
        <v>0</v>
      </c>
      <c r="W351" s="24">
        <v>0</v>
      </c>
      <c r="X351" s="24">
        <v>0</v>
      </c>
      <c r="Y351" s="24">
        <v>0</v>
      </c>
      <c r="Z351" s="24">
        <v>0</v>
      </c>
      <c r="AB351" s="24">
        <v>10001</v>
      </c>
      <c r="AC351" s="24">
        <v>-1</v>
      </c>
      <c r="AD351" s="24">
        <v>-1</v>
      </c>
      <c r="AE351" s="24">
        <v>-1</v>
      </c>
      <c r="AG351" s="24">
        <v>1</v>
      </c>
      <c r="AH351" s="24">
        <v>0</v>
      </c>
      <c r="AI351" s="24">
        <v>0</v>
      </c>
      <c r="AJ351" s="24">
        <v>0</v>
      </c>
      <c r="AK351" s="24">
        <v>0</v>
      </c>
      <c r="AL351" s="24">
        <v>0</v>
      </c>
      <c r="AM351" s="24">
        <v>0</v>
      </c>
      <c r="AN351" s="24">
        <v>0</v>
      </c>
      <c r="AO351" s="24">
        <v>0</v>
      </c>
      <c r="AP351" s="24">
        <v>0</v>
      </c>
      <c r="AQ351" s="24">
        <v>0</v>
      </c>
      <c r="AR351" s="24">
        <v>0</v>
      </c>
      <c r="AS351" s="24">
        <v>0</v>
      </c>
      <c r="AT351" s="24">
        <v>0</v>
      </c>
      <c r="AU351" s="24">
        <v>0</v>
      </c>
      <c r="AV351" s="24">
        <v>0</v>
      </c>
      <c r="AW351" s="24">
        <v>0</v>
      </c>
      <c r="AX351" s="24">
        <v>0</v>
      </c>
      <c r="AY351" s="24">
        <v>0</v>
      </c>
      <c r="BA351" s="24">
        <v>0</v>
      </c>
      <c r="BB351" s="24">
        <v>500</v>
      </c>
      <c r="BC351" s="24">
        <v>1100</v>
      </c>
      <c r="BD351" s="24">
        <v>0</v>
      </c>
      <c r="BE351" s="24">
        <v>0</v>
      </c>
      <c r="BF351" s="24">
        <v>1</v>
      </c>
      <c r="BG351" s="25">
        <v>2</v>
      </c>
      <c r="BH351" s="24">
        <v>2</v>
      </c>
      <c r="BI351" s="24">
        <v>0</v>
      </c>
      <c r="BJ351" s="24">
        <v>0</v>
      </c>
      <c r="BK351" s="24">
        <v>0</v>
      </c>
      <c r="BL351" s="25">
        <v>126</v>
      </c>
      <c r="BM351" s="24">
        <v>0</v>
      </c>
      <c r="BO351" s="25">
        <v>4</v>
      </c>
      <c r="BP351" s="24">
        <v>20</v>
      </c>
      <c r="BQ351" s="24">
        <v>0</v>
      </c>
      <c r="BR351" s="24">
        <v>1</v>
      </c>
      <c r="BS351" s="24">
        <v>0</v>
      </c>
      <c r="BT351" s="24">
        <v>0</v>
      </c>
      <c r="BU351" s="24">
        <v>0</v>
      </c>
      <c r="BV351" s="24">
        <v>5</v>
      </c>
      <c r="BW351" s="24">
        <v>2</v>
      </c>
      <c r="BX351" s="24">
        <v>1</v>
      </c>
      <c r="BZ351" s="24">
        <v>105530</v>
      </c>
      <c r="CA351" s="24">
        <v>0</v>
      </c>
      <c r="CB351" s="24">
        <v>0</v>
      </c>
      <c r="CC351" s="24">
        <v>0</v>
      </c>
      <c r="CD351" s="24">
        <v>0</v>
      </c>
      <c r="CE351" s="24">
        <v>0</v>
      </c>
      <c r="CG351" s="24">
        <v>-1</v>
      </c>
      <c r="CH351" s="24">
        <v>0</v>
      </c>
      <c r="CI351" s="24">
        <v>0</v>
      </c>
      <c r="CJ351" s="24">
        <v>0</v>
      </c>
      <c r="CK351" s="24">
        <v>0</v>
      </c>
      <c r="CL351" s="24">
        <v>0</v>
      </c>
      <c r="CM351" s="24">
        <v>0</v>
      </c>
      <c r="CN351" s="24">
        <v>0</v>
      </c>
      <c r="CO351" s="24">
        <v>0</v>
      </c>
      <c r="CQ351" s="24">
        <v>0</v>
      </c>
      <c r="CR351" s="24">
        <v>0</v>
      </c>
      <c r="CS351" s="24">
        <v>0</v>
      </c>
      <c r="CT351" s="24">
        <v>0</v>
      </c>
      <c r="CV351" s="24">
        <v>100105</v>
      </c>
      <c r="CW351" s="24">
        <v>0</v>
      </c>
      <c r="CX351" s="24">
        <v>3001</v>
      </c>
      <c r="CY351" s="24">
        <v>1</v>
      </c>
      <c r="CZ351" s="24">
        <v>0</v>
      </c>
      <c r="DC351" s="24">
        <v>2</v>
      </c>
      <c r="DD351" s="24">
        <v>1</v>
      </c>
      <c r="DE351" s="24">
        <v>0</v>
      </c>
      <c r="DF351" s="24">
        <v>0</v>
      </c>
      <c r="DG351" s="24">
        <v>0</v>
      </c>
      <c r="DI351" s="24">
        <v>0</v>
      </c>
      <c r="DJ351" s="24">
        <v>0</v>
      </c>
      <c r="DL351" s="24">
        <v>0</v>
      </c>
      <c r="DM351" s="24">
        <v>0</v>
      </c>
      <c r="DO351" s="24">
        <v>0</v>
      </c>
      <c r="DP351" s="24">
        <v>0</v>
      </c>
      <c r="DQ351" s="24">
        <v>0</v>
      </c>
      <c r="DR351" s="24">
        <v>0</v>
      </c>
      <c r="DS351" s="24">
        <v>0</v>
      </c>
      <c r="DT351" s="24">
        <v>0</v>
      </c>
      <c r="DV351" s="24">
        <v>0</v>
      </c>
      <c r="DW351" s="24">
        <v>0</v>
      </c>
      <c r="DX351" s="24">
        <v>0</v>
      </c>
      <c r="DY351" s="24">
        <v>0</v>
      </c>
      <c r="DZ351" s="24">
        <v>0</v>
      </c>
    </row>
    <row r="352" spans="1:130">
      <c r="S352" s="25"/>
      <c r="T352" s="24"/>
      <c r="BO352" s="25" t="s">
        <v>639</v>
      </c>
      <c r="CY352" s="24"/>
    </row>
    <row r="353" spans="1:130">
      <c r="S353" s="25"/>
      <c r="T353" s="24"/>
      <c r="BO353" s="25" t="s">
        <v>639</v>
      </c>
      <c r="CY353" s="24"/>
    </row>
    <row r="354" spans="1:130">
      <c r="A354" s="24" t="s">
        <v>142</v>
      </c>
      <c r="B354" s="24" t="s">
        <v>142</v>
      </c>
      <c r="C354" s="24" t="s">
        <v>142</v>
      </c>
      <c r="D354" s="24" t="s">
        <v>142</v>
      </c>
      <c r="E354" s="24">
        <v>105600</v>
      </c>
      <c r="F354" s="24" t="s">
        <v>830</v>
      </c>
      <c r="G354" s="24">
        <v>0</v>
      </c>
      <c r="H354" s="24">
        <v>0</v>
      </c>
      <c r="I354" s="24" t="s">
        <v>830</v>
      </c>
      <c r="J354" s="24" t="s">
        <v>830</v>
      </c>
      <c r="K354" s="24" t="s">
        <v>644</v>
      </c>
      <c r="M354" s="24">
        <v>102</v>
      </c>
      <c r="N354" s="24">
        <v>0</v>
      </c>
      <c r="P354" s="25">
        <v>2</v>
      </c>
      <c r="Q354" s="25">
        <v>4719632</v>
      </c>
      <c r="R354" s="24">
        <v>0</v>
      </c>
      <c r="S354" s="25">
        <v>0</v>
      </c>
      <c r="T354" s="24"/>
      <c r="U354" s="24">
        <v>0</v>
      </c>
      <c r="V354" s="25">
        <v>0</v>
      </c>
      <c r="W354" s="24">
        <v>0</v>
      </c>
      <c r="X354" s="24">
        <v>0</v>
      </c>
      <c r="Y354" s="24">
        <v>0</v>
      </c>
      <c r="Z354" s="24">
        <v>0</v>
      </c>
      <c r="AB354" s="24">
        <v>10001</v>
      </c>
      <c r="AC354" s="24">
        <v>-1</v>
      </c>
      <c r="AD354" s="24">
        <v>-1</v>
      </c>
      <c r="AE354" s="24">
        <v>-1</v>
      </c>
      <c r="AG354" s="24">
        <v>2</v>
      </c>
      <c r="AH354" s="24">
        <v>24</v>
      </c>
      <c r="AI354" s="24">
        <v>0</v>
      </c>
      <c r="AJ354" s="24">
        <v>0</v>
      </c>
      <c r="AK354" s="24">
        <v>1</v>
      </c>
      <c r="AL354" s="24">
        <v>5</v>
      </c>
      <c r="AM354" s="24">
        <v>0</v>
      </c>
      <c r="AN354" s="24">
        <v>0</v>
      </c>
      <c r="AO354" s="24">
        <v>0</v>
      </c>
      <c r="AP354" s="24">
        <v>1000</v>
      </c>
      <c r="AQ354" s="24">
        <v>80</v>
      </c>
      <c r="AR354" s="24">
        <v>0</v>
      </c>
      <c r="AS354" s="24">
        <v>0</v>
      </c>
      <c r="AT354" s="24">
        <v>0</v>
      </c>
      <c r="AU354" s="24">
        <v>2012</v>
      </c>
      <c r="AV354" s="24">
        <v>2013</v>
      </c>
      <c r="AW354" s="24">
        <v>0</v>
      </c>
      <c r="AX354" s="24">
        <v>6007</v>
      </c>
      <c r="AY354" s="24">
        <v>0</v>
      </c>
      <c r="BA354" s="24">
        <v>0</v>
      </c>
      <c r="BB354" s="24">
        <v>400</v>
      </c>
      <c r="BC354" s="24">
        <v>700</v>
      </c>
      <c r="BD354" s="24">
        <v>0</v>
      </c>
      <c r="BE354" s="24">
        <v>200</v>
      </c>
      <c r="BF354" s="24">
        <v>5</v>
      </c>
      <c r="BG354" s="25">
        <v>1</v>
      </c>
      <c r="BH354" s="24">
        <v>1</v>
      </c>
      <c r="BI354" s="24">
        <v>0</v>
      </c>
      <c r="BJ354" s="24">
        <v>0</v>
      </c>
      <c r="BK354" s="24">
        <v>0</v>
      </c>
      <c r="BL354" s="25">
        <v>126</v>
      </c>
      <c r="BM354" s="24">
        <v>0</v>
      </c>
      <c r="BO354" s="25">
        <v>8</v>
      </c>
      <c r="BP354" s="24">
        <v>20</v>
      </c>
      <c r="BQ354" s="24">
        <v>0</v>
      </c>
      <c r="BR354" s="24">
        <v>1</v>
      </c>
      <c r="BS354" s="24">
        <v>0</v>
      </c>
      <c r="BT354" s="24">
        <v>0</v>
      </c>
      <c r="BU354" s="24">
        <v>0</v>
      </c>
      <c r="BV354" s="24">
        <v>6</v>
      </c>
      <c r="BW354" s="24">
        <v>0</v>
      </c>
      <c r="BX354" s="24">
        <v>0</v>
      </c>
      <c r="BZ354" s="24">
        <v>105600</v>
      </c>
      <c r="CA354" s="24">
        <v>0</v>
      </c>
      <c r="CB354" s="24">
        <v>0</v>
      </c>
      <c r="CC354" s="24">
        <v>0</v>
      </c>
      <c r="CD354" s="24">
        <v>0</v>
      </c>
      <c r="CE354" s="24">
        <v>0</v>
      </c>
      <c r="CG354" s="24">
        <v>-1</v>
      </c>
      <c r="CH354" s="24">
        <v>0</v>
      </c>
      <c r="CI354" s="24">
        <v>0</v>
      </c>
      <c r="CJ354" s="24">
        <v>0</v>
      </c>
      <c r="CK354" s="24">
        <v>0</v>
      </c>
      <c r="CL354" s="24">
        <v>0</v>
      </c>
      <c r="CM354" s="24">
        <v>0</v>
      </c>
      <c r="CN354" s="24">
        <v>0</v>
      </c>
      <c r="CO354" s="24">
        <v>0</v>
      </c>
      <c r="CQ354" s="24">
        <v>0</v>
      </c>
      <c r="CR354" s="24">
        <v>0</v>
      </c>
      <c r="CS354" s="24">
        <v>0</v>
      </c>
      <c r="CT354" s="24">
        <v>0</v>
      </c>
      <c r="CV354" s="24">
        <v>100201</v>
      </c>
      <c r="CW354" s="24">
        <v>13</v>
      </c>
      <c r="CX354" s="24">
        <v>-1</v>
      </c>
      <c r="CY354" s="24">
        <v>1</v>
      </c>
      <c r="CZ354" s="24">
        <v>2</v>
      </c>
      <c r="DC354" s="24">
        <v>1</v>
      </c>
      <c r="DD354" s="24">
        <v>1</v>
      </c>
      <c r="DE354" s="24">
        <v>0</v>
      </c>
      <c r="DF354" s="24">
        <v>0</v>
      </c>
      <c r="DG354" s="24">
        <v>-1</v>
      </c>
      <c r="DI354" s="24">
        <v>0</v>
      </c>
      <c r="DJ354" s="24">
        <v>0</v>
      </c>
      <c r="DL354" s="24">
        <v>0</v>
      </c>
      <c r="DM354" s="24">
        <v>0</v>
      </c>
      <c r="DO354" s="24">
        <v>0</v>
      </c>
      <c r="DP354" s="24">
        <v>0</v>
      </c>
      <c r="DQ354" s="24">
        <v>0</v>
      </c>
      <c r="DR354" s="24">
        <v>0</v>
      </c>
      <c r="DS354" s="24">
        <v>0</v>
      </c>
      <c r="DT354" s="24">
        <v>0</v>
      </c>
      <c r="DV354" s="24">
        <v>0</v>
      </c>
      <c r="DW354" s="24">
        <v>0</v>
      </c>
      <c r="DX354" s="24">
        <v>0</v>
      </c>
      <c r="DY354" s="24">
        <v>0</v>
      </c>
      <c r="DZ354" s="24">
        <v>0</v>
      </c>
    </row>
    <row r="355" spans="1:130">
      <c r="A355" s="24" t="s">
        <v>142</v>
      </c>
      <c r="B355" s="24" t="s">
        <v>142</v>
      </c>
      <c r="C355" s="24" t="s">
        <v>142</v>
      </c>
      <c r="D355" s="24" t="s">
        <v>142</v>
      </c>
      <c r="E355" s="24">
        <v>105601</v>
      </c>
      <c r="F355" s="24" t="s">
        <v>831</v>
      </c>
      <c r="G355" s="24">
        <v>0</v>
      </c>
      <c r="H355" s="24">
        <v>0</v>
      </c>
      <c r="I355" s="24" t="s">
        <v>831</v>
      </c>
      <c r="J355" s="24" t="s">
        <v>831</v>
      </c>
      <c r="K355" s="24" t="s">
        <v>644</v>
      </c>
      <c r="M355" s="24">
        <v>0</v>
      </c>
      <c r="N355" s="24">
        <v>0</v>
      </c>
      <c r="P355" s="25">
        <v>8</v>
      </c>
      <c r="Q355" s="25">
        <v>0</v>
      </c>
      <c r="R355" s="24">
        <v>105600</v>
      </c>
      <c r="S355" s="25">
        <v>0</v>
      </c>
      <c r="T355" s="24"/>
      <c r="U355" s="24">
        <v>3</v>
      </c>
      <c r="V355" s="25">
        <v>2050</v>
      </c>
      <c r="W355" s="24">
        <v>1</v>
      </c>
      <c r="X355" s="24">
        <v>105600</v>
      </c>
      <c r="Y355" s="24">
        <v>0</v>
      </c>
      <c r="Z355" s="24">
        <v>1000</v>
      </c>
      <c r="AB355" s="24">
        <v>30001</v>
      </c>
      <c r="AC355" s="24">
        <v>-1</v>
      </c>
      <c r="AD355" s="24">
        <v>-1</v>
      </c>
      <c r="AE355" s="24">
        <v>-1</v>
      </c>
      <c r="AG355" s="24">
        <v>1</v>
      </c>
      <c r="AH355" s="24">
        <v>0</v>
      </c>
      <c r="AI355" s="24">
        <v>0</v>
      </c>
      <c r="AJ355" s="24">
        <v>0</v>
      </c>
      <c r="AK355" s="24">
        <v>0</v>
      </c>
      <c r="AL355" s="24">
        <v>0</v>
      </c>
      <c r="AM355" s="24">
        <v>0</v>
      </c>
      <c r="AN355" s="24">
        <v>0</v>
      </c>
      <c r="AO355" s="24">
        <v>0</v>
      </c>
      <c r="AP355" s="24">
        <v>0</v>
      </c>
      <c r="AQ355" s="24">
        <v>0</v>
      </c>
      <c r="AR355" s="24">
        <v>0</v>
      </c>
      <c r="AS355" s="24">
        <v>0</v>
      </c>
      <c r="AT355" s="24">
        <v>0</v>
      </c>
      <c r="AU355" s="24">
        <v>0</v>
      </c>
      <c r="AV355" s="24">
        <v>0</v>
      </c>
      <c r="AW355" s="24">
        <v>0</v>
      </c>
      <c r="AX355" s="24">
        <v>0</v>
      </c>
      <c r="AY355" s="24">
        <v>0</v>
      </c>
      <c r="BA355" s="24">
        <v>0</v>
      </c>
      <c r="BB355" s="24">
        <v>0</v>
      </c>
      <c r="BC355" s="24">
        <v>0</v>
      </c>
      <c r="BD355" s="24">
        <v>0</v>
      </c>
      <c r="BE355" s="24">
        <v>0</v>
      </c>
      <c r="BF355" s="24">
        <v>1</v>
      </c>
      <c r="BG355" s="25">
        <v>0</v>
      </c>
      <c r="BH355" s="24">
        <v>4</v>
      </c>
      <c r="BI355" s="24">
        <v>105601</v>
      </c>
      <c r="BJ355" s="24">
        <v>1</v>
      </c>
      <c r="BK355" s="24">
        <v>1</v>
      </c>
      <c r="BL355" s="25">
        <v>126</v>
      </c>
      <c r="BM355" s="24">
        <v>0</v>
      </c>
      <c r="BO355" s="25">
        <v>1</v>
      </c>
      <c r="BP355" s="24">
        <v>0</v>
      </c>
      <c r="BQ355" s="24">
        <v>0</v>
      </c>
      <c r="BR355" s="24">
        <v>1</v>
      </c>
      <c r="BS355" s="24">
        <v>0</v>
      </c>
      <c r="BT355" s="24">
        <v>0</v>
      </c>
      <c r="BU355" s="24">
        <v>0</v>
      </c>
      <c r="BV355" s="24">
        <v>0</v>
      </c>
      <c r="BW355" s="24">
        <v>0</v>
      </c>
      <c r="BX355" s="24">
        <v>0</v>
      </c>
      <c r="BZ355" s="24">
        <v>105601</v>
      </c>
      <c r="CA355" s="24">
        <v>0</v>
      </c>
      <c r="CB355" s="24">
        <v>0</v>
      </c>
      <c r="CC355" s="24">
        <v>0</v>
      </c>
      <c r="CD355" s="24">
        <v>0</v>
      </c>
      <c r="CE355" s="24">
        <v>0</v>
      </c>
      <c r="CG355" s="24">
        <v>-1</v>
      </c>
      <c r="CH355" s="24">
        <v>0</v>
      </c>
      <c r="CI355" s="24">
        <v>0</v>
      </c>
      <c r="CJ355" s="24">
        <v>0</v>
      </c>
      <c r="CK355" s="24">
        <v>0</v>
      </c>
      <c r="CL355" s="24">
        <v>0</v>
      </c>
      <c r="CM355" s="24">
        <v>0</v>
      </c>
      <c r="CN355" s="24">
        <v>0</v>
      </c>
      <c r="CO355" s="24">
        <v>0</v>
      </c>
      <c r="CQ355" s="24">
        <v>0</v>
      </c>
      <c r="CR355" s="24">
        <v>0</v>
      </c>
      <c r="CS355" s="24">
        <v>0</v>
      </c>
      <c r="CT355" s="24">
        <v>0</v>
      </c>
      <c r="CV355" s="24">
        <v>0</v>
      </c>
      <c r="CW355" s="24">
        <v>0</v>
      </c>
      <c r="CX355" s="24">
        <v>-1</v>
      </c>
      <c r="CY355" s="24">
        <v>1</v>
      </c>
      <c r="CZ355" s="24">
        <v>0</v>
      </c>
      <c r="DC355" s="24">
        <v>1</v>
      </c>
      <c r="DD355" s="24">
        <v>0</v>
      </c>
      <c r="DE355" s="24">
        <v>0</v>
      </c>
      <c r="DF355" s="24">
        <v>0</v>
      </c>
      <c r="DG355" s="24">
        <v>0</v>
      </c>
      <c r="DI355" s="24">
        <v>0</v>
      </c>
      <c r="DJ355" s="24">
        <v>0</v>
      </c>
      <c r="DL355" s="24">
        <v>0</v>
      </c>
      <c r="DM355" s="24">
        <v>0</v>
      </c>
      <c r="DO355" s="24">
        <v>0</v>
      </c>
      <c r="DP355" s="24">
        <v>0</v>
      </c>
      <c r="DQ355" s="24">
        <v>0</v>
      </c>
      <c r="DR355" s="24">
        <v>0</v>
      </c>
      <c r="DS355" s="24">
        <v>0</v>
      </c>
      <c r="DT355" s="24">
        <v>0</v>
      </c>
      <c r="DV355" s="24">
        <v>0</v>
      </c>
      <c r="DW355" s="24">
        <v>0</v>
      </c>
      <c r="DX355" s="24">
        <v>0</v>
      </c>
      <c r="DY355" s="24">
        <v>0</v>
      </c>
      <c r="DZ355" s="24">
        <v>0</v>
      </c>
    </row>
    <row r="356" spans="1:130">
      <c r="A356" s="24" t="s">
        <v>142</v>
      </c>
      <c r="B356" s="24" t="s">
        <v>142</v>
      </c>
      <c r="C356" s="24" t="s">
        <v>142</v>
      </c>
      <c r="D356" s="24" t="s">
        <v>142</v>
      </c>
      <c r="E356" s="24">
        <v>105605</v>
      </c>
      <c r="F356" s="24" t="s">
        <v>832</v>
      </c>
      <c r="G356" s="24">
        <v>0</v>
      </c>
      <c r="H356" s="24">
        <v>0</v>
      </c>
      <c r="I356" s="24" t="s">
        <v>832</v>
      </c>
      <c r="J356" s="24" t="s">
        <v>832</v>
      </c>
      <c r="K356" s="24" t="s">
        <v>644</v>
      </c>
      <c r="M356" s="24">
        <v>0</v>
      </c>
      <c r="N356" s="24">
        <v>0</v>
      </c>
      <c r="P356" s="25">
        <v>4</v>
      </c>
      <c r="Q356" s="25">
        <v>0</v>
      </c>
      <c r="R356" s="24">
        <v>0</v>
      </c>
      <c r="S356" s="25">
        <v>0</v>
      </c>
      <c r="T356" s="24"/>
      <c r="U356" s="24">
        <v>2</v>
      </c>
      <c r="V356" s="25">
        <v>2</v>
      </c>
      <c r="W356" s="24">
        <v>3</v>
      </c>
      <c r="X356" s="24">
        <v>105601</v>
      </c>
      <c r="Y356" s="24">
        <v>5</v>
      </c>
      <c r="Z356" s="24">
        <v>1000</v>
      </c>
      <c r="AB356" s="24">
        <v>20001</v>
      </c>
      <c r="AC356" s="24">
        <v>-1</v>
      </c>
      <c r="AD356" s="24">
        <v>-1</v>
      </c>
      <c r="AE356" s="24">
        <v>-1</v>
      </c>
      <c r="AG356" s="24">
        <v>1</v>
      </c>
      <c r="AH356" s="24">
        <v>0</v>
      </c>
      <c r="AI356" s="24">
        <v>0</v>
      </c>
      <c r="AJ356" s="24">
        <v>0</v>
      </c>
      <c r="AK356" s="24">
        <v>0</v>
      </c>
      <c r="AL356" s="24">
        <v>0</v>
      </c>
      <c r="AM356" s="24">
        <v>0</v>
      </c>
      <c r="AN356" s="24">
        <v>0</v>
      </c>
      <c r="AO356" s="24">
        <v>0</v>
      </c>
      <c r="AP356" s="24">
        <v>0</v>
      </c>
      <c r="AQ356" s="24">
        <v>0</v>
      </c>
      <c r="AR356" s="24">
        <v>0</v>
      </c>
      <c r="AS356" s="24">
        <v>0</v>
      </c>
      <c r="AT356" s="24">
        <v>0</v>
      </c>
      <c r="AU356" s="24">
        <v>0</v>
      </c>
      <c r="AV356" s="24">
        <v>0</v>
      </c>
      <c r="AW356" s="24">
        <v>0</v>
      </c>
      <c r="AX356" s="24">
        <v>0</v>
      </c>
      <c r="AY356" s="24">
        <v>0</v>
      </c>
      <c r="BA356" s="24">
        <v>0</v>
      </c>
      <c r="BB356" s="24">
        <v>0</v>
      </c>
      <c r="BC356" s="24">
        <v>0</v>
      </c>
      <c r="BD356" s="24">
        <v>0</v>
      </c>
      <c r="BE356" s="24">
        <v>0</v>
      </c>
      <c r="BF356" s="24">
        <v>1</v>
      </c>
      <c r="BG356" s="25">
        <v>2</v>
      </c>
      <c r="BH356" s="24">
        <v>4</v>
      </c>
      <c r="BI356" s="24">
        <v>105630</v>
      </c>
      <c r="BJ356" s="24">
        <v>1</v>
      </c>
      <c r="BK356" s="24">
        <v>1</v>
      </c>
      <c r="BL356" s="25">
        <v>126</v>
      </c>
      <c r="BM356" s="24">
        <v>0</v>
      </c>
      <c r="BO356" s="25">
        <v>1</v>
      </c>
      <c r="BP356" s="24">
        <v>0</v>
      </c>
      <c r="BQ356" s="24">
        <v>0</v>
      </c>
      <c r="BR356" s="24">
        <v>1</v>
      </c>
      <c r="BS356" s="24">
        <v>0</v>
      </c>
      <c r="BT356" s="24">
        <v>0</v>
      </c>
      <c r="BU356" s="24">
        <v>0</v>
      </c>
      <c r="BV356" s="24">
        <v>5</v>
      </c>
      <c r="BW356" s="24">
        <v>0</v>
      </c>
      <c r="BX356" s="24">
        <v>4</v>
      </c>
      <c r="BZ356" s="24">
        <v>105605</v>
      </c>
      <c r="CA356" s="24">
        <v>0</v>
      </c>
      <c r="CB356" s="24">
        <v>0</v>
      </c>
      <c r="CC356" s="24">
        <v>0</v>
      </c>
      <c r="CD356" s="24">
        <v>0</v>
      </c>
      <c r="CE356" s="24">
        <v>0</v>
      </c>
      <c r="CG356" s="24">
        <v>-1</v>
      </c>
      <c r="CH356" s="24">
        <v>0</v>
      </c>
      <c r="CI356" s="24">
        <v>0</v>
      </c>
      <c r="CJ356" s="24">
        <v>0</v>
      </c>
      <c r="CK356" s="24">
        <v>0</v>
      </c>
      <c r="CL356" s="24">
        <v>0</v>
      </c>
      <c r="CM356" s="24">
        <v>0</v>
      </c>
      <c r="CN356" s="24">
        <v>0</v>
      </c>
      <c r="CO356" s="24">
        <v>0</v>
      </c>
      <c r="CQ356" s="24">
        <v>0</v>
      </c>
      <c r="CR356" s="24">
        <v>0</v>
      </c>
      <c r="CS356" s="24">
        <v>0</v>
      </c>
      <c r="CT356" s="24">
        <v>0</v>
      </c>
      <c r="CV356" s="24">
        <v>0</v>
      </c>
      <c r="CW356" s="24">
        <v>0</v>
      </c>
      <c r="CX356" s="24">
        <v>-1</v>
      </c>
      <c r="CY356" s="24">
        <v>1</v>
      </c>
      <c r="CZ356" s="24">
        <v>0</v>
      </c>
      <c r="DC356" s="24">
        <v>1</v>
      </c>
      <c r="DD356" s="24">
        <v>0</v>
      </c>
      <c r="DE356" s="24">
        <v>0</v>
      </c>
      <c r="DF356" s="24">
        <v>0</v>
      </c>
      <c r="DG356" s="24">
        <v>0</v>
      </c>
      <c r="DI356" s="24">
        <v>0</v>
      </c>
      <c r="DJ356" s="24">
        <v>0</v>
      </c>
      <c r="DL356" s="24">
        <v>0</v>
      </c>
      <c r="DM356" s="24">
        <v>0</v>
      </c>
      <c r="DO356" s="24">
        <v>0</v>
      </c>
      <c r="DP356" s="24">
        <v>0</v>
      </c>
      <c r="DQ356" s="24">
        <v>0</v>
      </c>
      <c r="DR356" s="24">
        <v>0</v>
      </c>
      <c r="DS356" s="24">
        <v>0</v>
      </c>
      <c r="DT356" s="24">
        <v>0</v>
      </c>
      <c r="DV356" s="24">
        <v>0</v>
      </c>
      <c r="DW356" s="24">
        <v>0</v>
      </c>
      <c r="DX356" s="24">
        <v>0</v>
      </c>
      <c r="DY356" s="24">
        <v>0</v>
      </c>
      <c r="DZ356" s="24">
        <v>0</v>
      </c>
    </row>
    <row r="357" spans="1:130">
      <c r="A357" s="24" t="s">
        <v>142</v>
      </c>
      <c r="B357" s="24" t="s">
        <v>142</v>
      </c>
      <c r="C357" s="24" t="s">
        <v>142</v>
      </c>
      <c r="D357" s="24" t="s">
        <v>142</v>
      </c>
      <c r="E357" s="24">
        <v>105606</v>
      </c>
      <c r="F357" s="24" t="s">
        <v>833</v>
      </c>
      <c r="G357" s="24">
        <v>0</v>
      </c>
      <c r="H357" s="24">
        <v>0</v>
      </c>
      <c r="I357" s="24" t="s">
        <v>833</v>
      </c>
      <c r="J357" s="24" t="s">
        <v>833</v>
      </c>
      <c r="K357" s="24" t="s">
        <v>644</v>
      </c>
      <c r="M357" s="24">
        <v>0</v>
      </c>
      <c r="N357" s="24">
        <v>0</v>
      </c>
      <c r="P357" s="25">
        <v>4</v>
      </c>
      <c r="Q357" s="25">
        <v>0</v>
      </c>
      <c r="R357" s="24">
        <v>0</v>
      </c>
      <c r="S357" s="25">
        <v>0</v>
      </c>
      <c r="T357" s="24"/>
      <c r="U357" s="24">
        <v>2</v>
      </c>
      <c r="V357" s="25">
        <v>2</v>
      </c>
      <c r="W357" s="24">
        <v>3</v>
      </c>
      <c r="X357" s="24">
        <v>105601</v>
      </c>
      <c r="Y357" s="24">
        <v>5</v>
      </c>
      <c r="Z357" s="24">
        <v>1000</v>
      </c>
      <c r="AB357" s="24">
        <v>20001</v>
      </c>
      <c r="AC357" s="24">
        <v>-1</v>
      </c>
      <c r="AD357" s="24">
        <v>-1</v>
      </c>
      <c r="AE357" s="24">
        <v>-1</v>
      </c>
      <c r="AG357" s="24">
        <v>1</v>
      </c>
      <c r="AH357" s="24">
        <v>0</v>
      </c>
      <c r="AI357" s="24">
        <v>0</v>
      </c>
      <c r="AJ357" s="24">
        <v>0</v>
      </c>
      <c r="AK357" s="24">
        <v>0</v>
      </c>
      <c r="AL357" s="24">
        <v>0</v>
      </c>
      <c r="AM357" s="24">
        <v>0</v>
      </c>
      <c r="AN357" s="24">
        <v>0</v>
      </c>
      <c r="AO357" s="24">
        <v>0</v>
      </c>
      <c r="AP357" s="24">
        <v>0</v>
      </c>
      <c r="AQ357" s="24">
        <v>0</v>
      </c>
      <c r="AR357" s="24">
        <v>0</v>
      </c>
      <c r="AS357" s="24">
        <v>0</v>
      </c>
      <c r="AT357" s="24">
        <v>0</v>
      </c>
      <c r="AU357" s="24">
        <v>0</v>
      </c>
      <c r="AV357" s="24">
        <v>0</v>
      </c>
      <c r="AW357" s="24">
        <v>0</v>
      </c>
      <c r="AX357" s="24">
        <v>0</v>
      </c>
      <c r="AY357" s="24">
        <v>0</v>
      </c>
      <c r="BA357" s="24">
        <v>0</v>
      </c>
      <c r="BB357" s="24">
        <v>0</v>
      </c>
      <c r="BC357" s="24">
        <v>0</v>
      </c>
      <c r="BD357" s="24">
        <v>0</v>
      </c>
      <c r="BE357" s="24">
        <v>0</v>
      </c>
      <c r="BF357" s="24">
        <v>1</v>
      </c>
      <c r="BG357" s="25">
        <v>2</v>
      </c>
      <c r="BH357" s="24">
        <v>5</v>
      </c>
      <c r="BI357" s="24">
        <v>105601</v>
      </c>
      <c r="BJ357" s="24">
        <v>1</v>
      </c>
      <c r="BK357" s="24">
        <v>5</v>
      </c>
      <c r="BL357" s="25">
        <v>126</v>
      </c>
      <c r="BM357" s="24">
        <v>0</v>
      </c>
      <c r="BO357" s="25">
        <v>1</v>
      </c>
      <c r="BP357" s="24">
        <v>0</v>
      </c>
      <c r="BQ357" s="24">
        <v>0</v>
      </c>
      <c r="BR357" s="24">
        <v>1</v>
      </c>
      <c r="BS357" s="24">
        <v>0</v>
      </c>
      <c r="BT357" s="24">
        <v>0</v>
      </c>
      <c r="BU357" s="24">
        <v>0</v>
      </c>
      <c r="BV357" s="24">
        <v>5</v>
      </c>
      <c r="BW357" s="24">
        <v>0</v>
      </c>
      <c r="BX357" s="24">
        <v>4</v>
      </c>
      <c r="BZ357" s="24">
        <v>105606</v>
      </c>
      <c r="CA357" s="24">
        <v>0</v>
      </c>
      <c r="CB357" s="24">
        <v>0</v>
      </c>
      <c r="CC357" s="24">
        <v>0</v>
      </c>
      <c r="CD357" s="24">
        <v>0</v>
      </c>
      <c r="CE357" s="24">
        <v>0</v>
      </c>
      <c r="CG357" s="24">
        <v>-1</v>
      </c>
      <c r="CH357" s="24">
        <v>0</v>
      </c>
      <c r="CI357" s="24">
        <v>0</v>
      </c>
      <c r="CJ357" s="24">
        <v>0</v>
      </c>
      <c r="CK357" s="24">
        <v>0</v>
      </c>
      <c r="CL357" s="24">
        <v>0</v>
      </c>
      <c r="CM357" s="24">
        <v>0</v>
      </c>
      <c r="CN357" s="24">
        <v>0</v>
      </c>
      <c r="CO357" s="24">
        <v>0</v>
      </c>
      <c r="CQ357" s="24">
        <v>0</v>
      </c>
      <c r="CR357" s="24">
        <v>0</v>
      </c>
      <c r="CS357" s="24">
        <v>0</v>
      </c>
      <c r="CT357" s="24">
        <v>0</v>
      </c>
      <c r="CV357" s="24">
        <v>0</v>
      </c>
      <c r="CW357" s="24">
        <v>0</v>
      </c>
      <c r="CX357" s="24">
        <v>-1</v>
      </c>
      <c r="CY357" s="24">
        <v>1</v>
      </c>
      <c r="CZ357" s="24">
        <v>0</v>
      </c>
      <c r="DC357" s="24">
        <v>1</v>
      </c>
      <c r="DD357" s="24">
        <v>0</v>
      </c>
      <c r="DE357" s="24">
        <v>0</v>
      </c>
      <c r="DF357" s="24">
        <v>0</v>
      </c>
      <c r="DG357" s="24">
        <v>0</v>
      </c>
      <c r="DI357" s="24">
        <v>0</v>
      </c>
      <c r="DJ357" s="24">
        <v>0</v>
      </c>
      <c r="DL357" s="24">
        <v>0</v>
      </c>
      <c r="DM357" s="24">
        <v>0</v>
      </c>
      <c r="DO357" s="24">
        <v>0</v>
      </c>
      <c r="DP357" s="24">
        <v>0</v>
      </c>
      <c r="DQ357" s="24">
        <v>0</v>
      </c>
      <c r="DR357" s="24">
        <v>0</v>
      </c>
      <c r="DS357" s="24">
        <v>0</v>
      </c>
      <c r="DT357" s="24">
        <v>0</v>
      </c>
      <c r="DV357" s="24">
        <v>0</v>
      </c>
      <c r="DW357" s="24">
        <v>0</v>
      </c>
      <c r="DX357" s="24">
        <v>0</v>
      </c>
      <c r="DY357" s="24">
        <v>0</v>
      </c>
      <c r="DZ357" s="24">
        <v>0</v>
      </c>
    </row>
    <row r="358" spans="1:130">
      <c r="A358" s="24" t="s">
        <v>142</v>
      </c>
      <c r="B358" s="24" t="s">
        <v>142</v>
      </c>
      <c r="C358" s="24" t="s">
        <v>142</v>
      </c>
      <c r="D358" s="24" t="s">
        <v>142</v>
      </c>
      <c r="E358" s="24">
        <v>105610</v>
      </c>
      <c r="F358" s="24" t="s">
        <v>834</v>
      </c>
      <c r="G358" s="24">
        <v>0</v>
      </c>
      <c r="H358" s="24">
        <v>0</v>
      </c>
      <c r="I358" s="24" t="s">
        <v>834</v>
      </c>
      <c r="J358" s="24" t="s">
        <v>834</v>
      </c>
      <c r="K358" s="24" t="s">
        <v>644</v>
      </c>
      <c r="M358" s="24">
        <v>102</v>
      </c>
      <c r="N358" s="24">
        <v>0</v>
      </c>
      <c r="P358" s="25">
        <v>2</v>
      </c>
      <c r="Q358" s="25">
        <v>4718608</v>
      </c>
      <c r="R358" s="24">
        <v>0</v>
      </c>
      <c r="S358" s="25">
        <v>0</v>
      </c>
      <c r="T358" s="24"/>
      <c r="U358" s="24">
        <v>0</v>
      </c>
      <c r="V358" s="25">
        <v>0</v>
      </c>
      <c r="W358" s="24">
        <v>0</v>
      </c>
      <c r="X358" s="24">
        <v>0</v>
      </c>
      <c r="Y358" s="24">
        <v>0</v>
      </c>
      <c r="Z358" s="24">
        <v>0</v>
      </c>
      <c r="AB358" s="24">
        <v>10002</v>
      </c>
      <c r="AC358" s="24">
        <v>100805</v>
      </c>
      <c r="AD358" s="24">
        <v>2500</v>
      </c>
      <c r="AE358" s="24">
        <v>-1</v>
      </c>
      <c r="AG358" s="24">
        <v>1</v>
      </c>
      <c r="AH358" s="24">
        <v>0</v>
      </c>
      <c r="AI358" s="24">
        <v>0</v>
      </c>
      <c r="AJ358" s="24">
        <v>0</v>
      </c>
      <c r="AK358" s="24">
        <v>0</v>
      </c>
      <c r="AL358" s="24">
        <v>0</v>
      </c>
      <c r="AM358" s="24">
        <v>0</v>
      </c>
      <c r="AN358" s="24">
        <v>0</v>
      </c>
      <c r="AO358" s="24">
        <v>0</v>
      </c>
      <c r="AP358" s="24">
        <v>0</v>
      </c>
      <c r="AQ358" s="24">
        <v>0</v>
      </c>
      <c r="AR358" s="24">
        <v>0</v>
      </c>
      <c r="AS358" s="24">
        <v>0</v>
      </c>
      <c r="AT358" s="24">
        <v>0</v>
      </c>
      <c r="AU358" s="24">
        <v>0</v>
      </c>
      <c r="AV358" s="24">
        <v>0</v>
      </c>
      <c r="AW358" s="24">
        <v>0</v>
      </c>
      <c r="AX358" s="24">
        <v>0</v>
      </c>
      <c r="AY358" s="24">
        <v>0</v>
      </c>
      <c r="BA358" s="24">
        <v>0</v>
      </c>
      <c r="BB358" s="24">
        <v>300</v>
      </c>
      <c r="BC358" s="24">
        <v>2500</v>
      </c>
      <c r="BD358" s="24">
        <v>0</v>
      </c>
      <c r="BE358" s="24">
        <v>2500</v>
      </c>
      <c r="BF358" s="24">
        <v>1</v>
      </c>
      <c r="BG358" s="25">
        <v>2</v>
      </c>
      <c r="BH358" s="24">
        <v>2</v>
      </c>
      <c r="BI358" s="24">
        <v>0</v>
      </c>
      <c r="BJ358" s="24">
        <v>0</v>
      </c>
      <c r="BK358" s="24">
        <v>0</v>
      </c>
      <c r="BL358" s="25">
        <v>126</v>
      </c>
      <c r="BM358" s="24">
        <v>0</v>
      </c>
      <c r="BO358" s="25">
        <v>4</v>
      </c>
      <c r="BP358" s="24">
        <v>20</v>
      </c>
      <c r="BQ358" s="24">
        <v>0</v>
      </c>
      <c r="BR358" s="24">
        <v>1</v>
      </c>
      <c r="BS358" s="24">
        <v>0</v>
      </c>
      <c r="BT358" s="24">
        <v>0</v>
      </c>
      <c r="BU358" s="24">
        <v>0</v>
      </c>
      <c r="BV358" s="24">
        <v>5</v>
      </c>
      <c r="BW358" s="24">
        <v>2</v>
      </c>
      <c r="BX358" s="24">
        <v>1</v>
      </c>
      <c r="BZ358" s="24">
        <v>105610</v>
      </c>
      <c r="CA358" s="24">
        <v>0</v>
      </c>
      <c r="CB358" s="24">
        <v>0</v>
      </c>
      <c r="CC358" s="24">
        <v>0</v>
      </c>
      <c r="CD358" s="24">
        <v>0</v>
      </c>
      <c r="CE358" s="24">
        <v>0</v>
      </c>
      <c r="CG358" s="24">
        <v>-1</v>
      </c>
      <c r="CH358" s="24">
        <v>0</v>
      </c>
      <c r="CI358" s="24">
        <v>0</v>
      </c>
      <c r="CJ358" s="24">
        <v>0</v>
      </c>
      <c r="CK358" s="24">
        <v>0</v>
      </c>
      <c r="CL358" s="24">
        <v>0</v>
      </c>
      <c r="CM358" s="24">
        <v>0</v>
      </c>
      <c r="CN358" s="24">
        <v>0</v>
      </c>
      <c r="CO358" s="24">
        <v>0</v>
      </c>
      <c r="CQ358" s="24">
        <v>0</v>
      </c>
      <c r="CR358" s="24">
        <v>0</v>
      </c>
      <c r="CS358" s="24">
        <v>0</v>
      </c>
      <c r="CT358" s="24">
        <v>0</v>
      </c>
      <c r="CV358" s="24">
        <v>100105</v>
      </c>
      <c r="CW358" s="24">
        <v>0</v>
      </c>
      <c r="CX358" s="24">
        <v>3001</v>
      </c>
      <c r="CY358" s="24">
        <v>1</v>
      </c>
      <c r="CZ358" s="24">
        <v>0</v>
      </c>
      <c r="DC358" s="24">
        <v>2</v>
      </c>
      <c r="DD358" s="24">
        <v>1</v>
      </c>
      <c r="DE358" s="24">
        <v>0</v>
      </c>
      <c r="DF358" s="24">
        <v>0</v>
      </c>
      <c r="DG358" s="24">
        <v>0</v>
      </c>
      <c r="DI358" s="24">
        <v>0</v>
      </c>
      <c r="DJ358" s="24">
        <v>0</v>
      </c>
      <c r="DL358" s="24">
        <v>0</v>
      </c>
      <c r="DM358" s="24">
        <v>0</v>
      </c>
      <c r="DO358" s="24">
        <v>0</v>
      </c>
      <c r="DP358" s="24">
        <v>0</v>
      </c>
      <c r="DQ358" s="24">
        <v>0</v>
      </c>
      <c r="DR358" s="24">
        <v>0</v>
      </c>
      <c r="DS358" s="24">
        <v>0</v>
      </c>
      <c r="DT358" s="24">
        <v>0</v>
      </c>
      <c r="DV358" s="24">
        <v>0</v>
      </c>
      <c r="DW358" s="24">
        <v>0</v>
      </c>
      <c r="DX358" s="24">
        <v>0</v>
      </c>
      <c r="DY358" s="24">
        <v>0</v>
      </c>
      <c r="DZ358" s="24">
        <v>0</v>
      </c>
    </row>
    <row r="359" spans="1:130">
      <c r="A359" s="24" t="s">
        <v>142</v>
      </c>
      <c r="B359" s="24" t="s">
        <v>142</v>
      </c>
      <c r="C359" s="24" t="s">
        <v>142</v>
      </c>
      <c r="D359" s="24" t="s">
        <v>142</v>
      </c>
      <c r="E359" s="24">
        <v>105620</v>
      </c>
      <c r="F359" s="24" t="s">
        <v>835</v>
      </c>
      <c r="G359" s="24">
        <v>0</v>
      </c>
      <c r="H359" s="24">
        <v>0</v>
      </c>
      <c r="I359" s="24" t="s">
        <v>835</v>
      </c>
      <c r="J359" s="24" t="s">
        <v>835</v>
      </c>
      <c r="K359" s="24" t="s">
        <v>644</v>
      </c>
      <c r="M359" s="24">
        <v>102</v>
      </c>
      <c r="N359" s="24">
        <v>0</v>
      </c>
      <c r="P359" s="25">
        <v>2</v>
      </c>
      <c r="Q359" s="25">
        <v>4718608</v>
      </c>
      <c r="R359" s="24">
        <v>0</v>
      </c>
      <c r="S359" s="25">
        <v>0</v>
      </c>
      <c r="T359" s="24"/>
      <c r="U359" s="24">
        <v>0</v>
      </c>
      <c r="V359" s="25">
        <v>0</v>
      </c>
      <c r="W359" s="24">
        <v>0</v>
      </c>
      <c r="X359" s="24">
        <v>0</v>
      </c>
      <c r="Y359" s="24">
        <v>0</v>
      </c>
      <c r="Z359" s="24">
        <v>0</v>
      </c>
      <c r="AB359" s="24">
        <v>10001</v>
      </c>
      <c r="AC359" s="24">
        <v>-1</v>
      </c>
      <c r="AD359" s="24">
        <v>-1</v>
      </c>
      <c r="AE359" s="24">
        <v>-1</v>
      </c>
      <c r="AG359" s="24">
        <v>1</v>
      </c>
      <c r="AH359" s="24">
        <v>0</v>
      </c>
      <c r="AI359" s="24">
        <v>0</v>
      </c>
      <c r="AJ359" s="24">
        <v>0</v>
      </c>
      <c r="AK359" s="24">
        <v>0</v>
      </c>
      <c r="AL359" s="24">
        <v>0</v>
      </c>
      <c r="AM359" s="24">
        <v>0</v>
      </c>
      <c r="AN359" s="24">
        <v>0</v>
      </c>
      <c r="AO359" s="24">
        <v>0</v>
      </c>
      <c r="AP359" s="24">
        <v>0</v>
      </c>
      <c r="AQ359" s="24">
        <v>0</v>
      </c>
      <c r="AR359" s="24">
        <v>0</v>
      </c>
      <c r="AS359" s="24">
        <v>0</v>
      </c>
      <c r="AT359" s="24">
        <v>0</v>
      </c>
      <c r="AU359" s="24">
        <v>0</v>
      </c>
      <c r="AV359" s="24">
        <v>0</v>
      </c>
      <c r="AW359" s="24">
        <v>0</v>
      </c>
      <c r="AX359" s="24">
        <v>0</v>
      </c>
      <c r="AY359" s="24">
        <v>0</v>
      </c>
      <c r="BA359" s="24">
        <v>0</v>
      </c>
      <c r="BB359" s="24">
        <v>500</v>
      </c>
      <c r="BC359" s="24">
        <v>1100</v>
      </c>
      <c r="BD359" s="24">
        <v>0</v>
      </c>
      <c r="BE359" s="24">
        <v>0</v>
      </c>
      <c r="BF359" s="24">
        <v>1</v>
      </c>
      <c r="BG359" s="25">
        <v>514</v>
      </c>
      <c r="BH359" s="24">
        <v>4</v>
      </c>
      <c r="BI359" s="24">
        <v>105620</v>
      </c>
      <c r="BJ359" s="24">
        <v>1</v>
      </c>
      <c r="BK359" s="24">
        <v>8</v>
      </c>
      <c r="BL359" s="25">
        <v>126</v>
      </c>
      <c r="BM359" s="24">
        <v>0</v>
      </c>
      <c r="BO359" s="25">
        <v>4</v>
      </c>
      <c r="BP359" s="24">
        <v>20</v>
      </c>
      <c r="BQ359" s="24">
        <v>0</v>
      </c>
      <c r="BR359" s="24">
        <v>1</v>
      </c>
      <c r="BS359" s="24">
        <v>0</v>
      </c>
      <c r="BT359" s="24">
        <v>0</v>
      </c>
      <c r="BU359" s="24">
        <v>0</v>
      </c>
      <c r="BV359" s="24">
        <v>5</v>
      </c>
      <c r="BW359" s="24">
        <v>2</v>
      </c>
      <c r="BX359" s="24">
        <v>1</v>
      </c>
      <c r="BZ359" s="24">
        <v>105620</v>
      </c>
      <c r="CA359" s="24">
        <v>0</v>
      </c>
      <c r="CB359" s="24">
        <v>0</v>
      </c>
      <c r="CC359" s="24">
        <v>0</v>
      </c>
      <c r="CD359" s="24">
        <v>0</v>
      </c>
      <c r="CE359" s="24">
        <v>0</v>
      </c>
      <c r="CG359" s="24">
        <v>-1</v>
      </c>
      <c r="CH359" s="24">
        <v>0</v>
      </c>
      <c r="CI359" s="24">
        <v>0</v>
      </c>
      <c r="CJ359" s="24">
        <v>0</v>
      </c>
      <c r="CK359" s="24">
        <v>0</v>
      </c>
      <c r="CL359" s="24">
        <v>0</v>
      </c>
      <c r="CM359" s="24">
        <v>0</v>
      </c>
      <c r="CN359" s="24">
        <v>0</v>
      </c>
      <c r="CO359" s="24">
        <v>0</v>
      </c>
      <c r="CQ359" s="24">
        <v>0</v>
      </c>
      <c r="CR359" s="24">
        <v>0</v>
      </c>
      <c r="CS359" s="24">
        <v>0</v>
      </c>
      <c r="CT359" s="24">
        <v>0</v>
      </c>
      <c r="CV359" s="24">
        <v>100105</v>
      </c>
      <c r="CW359" s="24">
        <v>0</v>
      </c>
      <c r="CX359" s="24">
        <v>3001</v>
      </c>
      <c r="CY359" s="24">
        <v>1</v>
      </c>
      <c r="CZ359" s="24">
        <v>0</v>
      </c>
      <c r="DC359" s="24">
        <v>2</v>
      </c>
      <c r="DD359" s="24">
        <v>1</v>
      </c>
      <c r="DE359" s="24">
        <v>0</v>
      </c>
      <c r="DF359" s="24">
        <v>0</v>
      </c>
      <c r="DG359" s="24">
        <v>0</v>
      </c>
      <c r="DI359" s="24">
        <v>0</v>
      </c>
      <c r="DJ359" s="24">
        <v>0</v>
      </c>
      <c r="DL359" s="24">
        <v>0</v>
      </c>
      <c r="DM359" s="24">
        <v>0</v>
      </c>
      <c r="DO359" s="24">
        <v>0</v>
      </c>
      <c r="DP359" s="24">
        <v>0</v>
      </c>
      <c r="DQ359" s="24">
        <v>0</v>
      </c>
      <c r="DR359" s="24">
        <v>0</v>
      </c>
      <c r="DS359" s="24">
        <v>0</v>
      </c>
      <c r="DT359" s="24">
        <v>0</v>
      </c>
      <c r="DV359" s="24">
        <v>0</v>
      </c>
      <c r="DW359" s="24">
        <v>0</v>
      </c>
      <c r="DX359" s="24">
        <v>0</v>
      </c>
      <c r="DY359" s="24">
        <v>0</v>
      </c>
      <c r="DZ359" s="24">
        <v>0</v>
      </c>
    </row>
    <row r="360" spans="1:130">
      <c r="A360" s="24" t="s">
        <v>142</v>
      </c>
      <c r="B360" s="24" t="s">
        <v>142</v>
      </c>
      <c r="C360" s="24" t="s">
        <v>142</v>
      </c>
      <c r="D360" s="24" t="s">
        <v>142</v>
      </c>
      <c r="E360" s="24">
        <v>105630</v>
      </c>
      <c r="F360" s="24" t="s">
        <v>836</v>
      </c>
      <c r="G360" s="24">
        <v>0</v>
      </c>
      <c r="H360" s="24">
        <v>0</v>
      </c>
      <c r="I360" s="24" t="s">
        <v>836</v>
      </c>
      <c r="J360" s="24" t="s">
        <v>836</v>
      </c>
      <c r="K360" s="24" t="s">
        <v>644</v>
      </c>
      <c r="M360" s="24">
        <v>102</v>
      </c>
      <c r="N360" s="24">
        <v>0</v>
      </c>
      <c r="P360" s="25">
        <v>2</v>
      </c>
      <c r="Q360" s="25">
        <v>4194320</v>
      </c>
      <c r="R360" s="24">
        <v>0</v>
      </c>
      <c r="S360" s="25">
        <v>0</v>
      </c>
      <c r="T360" s="24"/>
      <c r="U360" s="24">
        <v>0</v>
      </c>
      <c r="V360" s="25">
        <v>0</v>
      </c>
      <c r="W360" s="24">
        <v>0</v>
      </c>
      <c r="X360" s="24">
        <v>0</v>
      </c>
      <c r="Y360" s="24">
        <v>0</v>
      </c>
      <c r="Z360" s="24">
        <v>0</v>
      </c>
      <c r="AB360" s="24">
        <v>10001</v>
      </c>
      <c r="AC360" s="24">
        <v>-1</v>
      </c>
      <c r="AD360" s="24">
        <v>-1</v>
      </c>
      <c r="AE360" s="24">
        <v>-1</v>
      </c>
      <c r="AG360" s="24">
        <v>1</v>
      </c>
      <c r="AH360" s="24">
        <v>0</v>
      </c>
      <c r="AI360" s="24">
        <v>0</v>
      </c>
      <c r="AJ360" s="24">
        <v>0</v>
      </c>
      <c r="AK360" s="24">
        <v>0</v>
      </c>
      <c r="AL360" s="24">
        <v>0</v>
      </c>
      <c r="AM360" s="24">
        <v>0</v>
      </c>
      <c r="AN360" s="24">
        <v>0</v>
      </c>
      <c r="AO360" s="24">
        <v>0</v>
      </c>
      <c r="AP360" s="24">
        <v>0</v>
      </c>
      <c r="AQ360" s="24">
        <v>0</v>
      </c>
      <c r="AR360" s="24">
        <v>0</v>
      </c>
      <c r="AS360" s="24">
        <v>0</v>
      </c>
      <c r="AT360" s="24">
        <v>0</v>
      </c>
      <c r="AU360" s="24">
        <v>0</v>
      </c>
      <c r="AV360" s="24">
        <v>0</v>
      </c>
      <c r="AW360" s="24">
        <v>0</v>
      </c>
      <c r="AX360" s="24">
        <v>0</v>
      </c>
      <c r="AY360" s="24">
        <v>0</v>
      </c>
      <c r="BA360" s="24">
        <v>0</v>
      </c>
      <c r="BB360" s="24">
        <v>500</v>
      </c>
      <c r="BC360" s="24">
        <v>1100</v>
      </c>
      <c r="BD360" s="24">
        <v>0</v>
      </c>
      <c r="BE360" s="24">
        <v>0</v>
      </c>
      <c r="BF360" s="24">
        <v>1</v>
      </c>
      <c r="BG360" s="25">
        <v>512</v>
      </c>
      <c r="BH360" s="24">
        <v>4</v>
      </c>
      <c r="BI360" s="24">
        <v>105630</v>
      </c>
      <c r="BJ360" s="24">
        <v>1</v>
      </c>
      <c r="BK360" s="24">
        <v>1</v>
      </c>
      <c r="BL360" s="25">
        <v>126</v>
      </c>
      <c r="BM360" s="24">
        <v>0</v>
      </c>
      <c r="BO360" s="25">
        <v>1</v>
      </c>
      <c r="BP360" s="24">
        <v>0</v>
      </c>
      <c r="BQ360" s="24">
        <v>0</v>
      </c>
      <c r="BR360" s="24">
        <v>1</v>
      </c>
      <c r="BS360" s="24">
        <v>0</v>
      </c>
      <c r="BT360" s="24">
        <v>0</v>
      </c>
      <c r="BU360" s="24">
        <v>0</v>
      </c>
      <c r="BV360" s="24">
        <v>5</v>
      </c>
      <c r="BW360" s="24">
        <v>2</v>
      </c>
      <c r="BX360" s="24">
        <v>1</v>
      </c>
      <c r="BZ360" s="24">
        <v>105630</v>
      </c>
      <c r="CA360" s="24">
        <v>0</v>
      </c>
      <c r="CB360" s="24">
        <v>0</v>
      </c>
      <c r="CC360" s="24">
        <v>0</v>
      </c>
      <c r="CD360" s="24">
        <v>0</v>
      </c>
      <c r="CE360" s="24">
        <v>0</v>
      </c>
      <c r="CG360" s="24">
        <v>-1</v>
      </c>
      <c r="CH360" s="24">
        <v>0</v>
      </c>
      <c r="CI360" s="24">
        <v>0</v>
      </c>
      <c r="CJ360" s="24">
        <v>0</v>
      </c>
      <c r="CK360" s="24">
        <v>0</v>
      </c>
      <c r="CL360" s="24">
        <v>0</v>
      </c>
      <c r="CM360" s="24">
        <v>0</v>
      </c>
      <c r="CN360" s="24">
        <v>0</v>
      </c>
      <c r="CO360" s="24">
        <v>0</v>
      </c>
      <c r="CQ360" s="24">
        <v>0</v>
      </c>
      <c r="CR360" s="24">
        <v>0</v>
      </c>
      <c r="CS360" s="24">
        <v>0</v>
      </c>
      <c r="CT360" s="24">
        <v>0</v>
      </c>
      <c r="CV360" s="24">
        <v>100105</v>
      </c>
      <c r="CW360" s="24">
        <v>0</v>
      </c>
      <c r="CX360" s="24">
        <v>3001</v>
      </c>
      <c r="CY360" s="24">
        <v>1</v>
      </c>
      <c r="CZ360" s="24">
        <v>0</v>
      </c>
      <c r="DC360" s="24">
        <v>1</v>
      </c>
      <c r="DD360" s="24">
        <v>1</v>
      </c>
      <c r="DE360" s="24">
        <v>0</v>
      </c>
      <c r="DF360" s="24">
        <v>0</v>
      </c>
      <c r="DG360" s="24">
        <v>0</v>
      </c>
      <c r="DI360" s="24">
        <v>0</v>
      </c>
      <c r="DJ360" s="24">
        <v>0</v>
      </c>
      <c r="DL360" s="24">
        <v>0</v>
      </c>
      <c r="DM360" s="24">
        <v>0</v>
      </c>
      <c r="DO360" s="24">
        <v>0</v>
      </c>
      <c r="DP360" s="24">
        <v>0</v>
      </c>
      <c r="DQ360" s="24">
        <v>0</v>
      </c>
      <c r="DR360" s="24">
        <v>0</v>
      </c>
      <c r="DS360" s="24">
        <v>0</v>
      </c>
      <c r="DT360" s="24">
        <v>0</v>
      </c>
      <c r="DV360" s="24">
        <v>0</v>
      </c>
      <c r="DW360" s="24">
        <v>0</v>
      </c>
      <c r="DX360" s="24">
        <v>0</v>
      </c>
      <c r="DY360" s="24">
        <v>0</v>
      </c>
      <c r="DZ360" s="24">
        <v>0</v>
      </c>
    </row>
    <row r="361" spans="1:130">
      <c r="A361" s="24" t="s">
        <v>142</v>
      </c>
      <c r="B361" s="24" t="s">
        <v>142</v>
      </c>
      <c r="C361" s="24" t="s">
        <v>142</v>
      </c>
      <c r="D361" s="24" t="s">
        <v>142</v>
      </c>
      <c r="E361" s="24">
        <v>105631</v>
      </c>
      <c r="F361" s="24" t="s">
        <v>837</v>
      </c>
      <c r="G361" s="24">
        <v>0</v>
      </c>
      <c r="H361" s="24">
        <v>0</v>
      </c>
      <c r="I361" s="24" t="s">
        <v>837</v>
      </c>
      <c r="J361" s="24" t="s">
        <v>837</v>
      </c>
      <c r="K361" s="24" t="s">
        <v>644</v>
      </c>
      <c r="M361" s="24">
        <v>0</v>
      </c>
      <c r="N361" s="24">
        <v>0</v>
      </c>
      <c r="P361" s="25">
        <v>2</v>
      </c>
      <c r="Q361" s="25">
        <v>4194320</v>
      </c>
      <c r="R361" s="24">
        <v>105630</v>
      </c>
      <c r="S361" s="25">
        <v>0</v>
      </c>
      <c r="T361" s="24"/>
      <c r="U361" s="24">
        <v>1</v>
      </c>
      <c r="V361" s="25">
        <v>2</v>
      </c>
      <c r="W361" s="24">
        <v>1</v>
      </c>
      <c r="X361" s="24">
        <v>105630</v>
      </c>
      <c r="Y361" s="24">
        <v>0</v>
      </c>
      <c r="Z361" s="24">
        <v>0</v>
      </c>
      <c r="AB361" s="24">
        <v>30001</v>
      </c>
      <c r="AC361" s="24">
        <v>-1</v>
      </c>
      <c r="AD361" s="24">
        <v>-1</v>
      </c>
      <c r="AE361" s="24">
        <v>-1</v>
      </c>
      <c r="AG361" s="24">
        <v>1</v>
      </c>
      <c r="AH361" s="24">
        <v>0</v>
      </c>
      <c r="AI361" s="24">
        <v>0</v>
      </c>
      <c r="AJ361" s="24">
        <v>0</v>
      </c>
      <c r="AK361" s="24">
        <v>0</v>
      </c>
      <c r="AL361" s="24">
        <v>0</v>
      </c>
      <c r="AM361" s="24">
        <v>0</v>
      </c>
      <c r="AN361" s="24">
        <v>0</v>
      </c>
      <c r="AO361" s="24">
        <v>0</v>
      </c>
      <c r="AP361" s="24">
        <v>0</v>
      </c>
      <c r="AQ361" s="24">
        <v>0</v>
      </c>
      <c r="AR361" s="24">
        <v>0</v>
      </c>
      <c r="AS361" s="24">
        <v>0</v>
      </c>
      <c r="AT361" s="24">
        <v>0</v>
      </c>
      <c r="AU361" s="24">
        <v>0</v>
      </c>
      <c r="AV361" s="24">
        <v>0</v>
      </c>
      <c r="AW361" s="24">
        <v>0</v>
      </c>
      <c r="AX361" s="24">
        <v>0</v>
      </c>
      <c r="AY361" s="24">
        <v>0</v>
      </c>
      <c r="BA361" s="24">
        <v>0</v>
      </c>
      <c r="BB361" s="24">
        <v>0</v>
      </c>
      <c r="BC361" s="24">
        <v>0</v>
      </c>
      <c r="BD361" s="24">
        <v>0</v>
      </c>
      <c r="BE361" s="24">
        <v>0</v>
      </c>
      <c r="BF361" s="24">
        <v>1</v>
      </c>
      <c r="BG361" s="25">
        <v>512</v>
      </c>
      <c r="BH361" s="24">
        <v>4</v>
      </c>
      <c r="BI361" s="24">
        <v>105631</v>
      </c>
      <c r="BJ361" s="24">
        <v>1</v>
      </c>
      <c r="BK361" s="24">
        <v>1</v>
      </c>
      <c r="BL361" s="25">
        <v>126</v>
      </c>
      <c r="BM361" s="24">
        <v>0</v>
      </c>
      <c r="BO361" s="25">
        <v>1</v>
      </c>
      <c r="BP361" s="24">
        <v>0</v>
      </c>
      <c r="BQ361" s="24">
        <v>0</v>
      </c>
      <c r="BR361" s="24">
        <v>1</v>
      </c>
      <c r="BS361" s="24">
        <v>0</v>
      </c>
      <c r="BT361" s="24">
        <v>0</v>
      </c>
      <c r="BU361" s="24">
        <v>0</v>
      </c>
      <c r="BV361" s="24">
        <v>5</v>
      </c>
      <c r="BW361" s="24">
        <v>2</v>
      </c>
      <c r="BX361" s="24">
        <v>1</v>
      </c>
      <c r="BZ361" s="24">
        <v>105631</v>
      </c>
      <c r="CA361" s="24">
        <v>0</v>
      </c>
      <c r="CB361" s="24">
        <v>0</v>
      </c>
      <c r="CC361" s="24">
        <v>0</v>
      </c>
      <c r="CD361" s="24">
        <v>0</v>
      </c>
      <c r="CE361" s="24">
        <v>0</v>
      </c>
      <c r="CG361" s="24">
        <v>-1</v>
      </c>
      <c r="CH361" s="24">
        <v>0</v>
      </c>
      <c r="CI361" s="24">
        <v>0</v>
      </c>
      <c r="CJ361" s="24">
        <v>0</v>
      </c>
      <c r="CK361" s="24">
        <v>0</v>
      </c>
      <c r="CL361" s="24">
        <v>0</v>
      </c>
      <c r="CM361" s="24">
        <v>0</v>
      </c>
      <c r="CN361" s="24">
        <v>0</v>
      </c>
      <c r="CO361" s="24">
        <v>0</v>
      </c>
      <c r="CQ361" s="24">
        <v>0</v>
      </c>
      <c r="CR361" s="24">
        <v>0</v>
      </c>
      <c r="CS361" s="24">
        <v>0</v>
      </c>
      <c r="CT361" s="24">
        <v>0</v>
      </c>
      <c r="CV361" s="24">
        <v>0</v>
      </c>
      <c r="CW361" s="24">
        <v>0</v>
      </c>
      <c r="CX361" s="24">
        <v>3001</v>
      </c>
      <c r="CY361" s="24">
        <v>1</v>
      </c>
      <c r="CZ361" s="24">
        <v>0</v>
      </c>
      <c r="DC361" s="24">
        <v>1</v>
      </c>
      <c r="DD361" s="24">
        <v>1</v>
      </c>
      <c r="DE361" s="24">
        <v>0</v>
      </c>
      <c r="DF361" s="24">
        <v>0</v>
      </c>
      <c r="DG361" s="24">
        <v>0</v>
      </c>
      <c r="DI361" s="24">
        <v>0</v>
      </c>
      <c r="DJ361" s="24">
        <v>0</v>
      </c>
      <c r="DL361" s="24">
        <v>0</v>
      </c>
      <c r="DM361" s="24">
        <v>0</v>
      </c>
      <c r="DO361" s="24">
        <v>0</v>
      </c>
      <c r="DP361" s="24">
        <v>0</v>
      </c>
      <c r="DQ361" s="24">
        <v>0</v>
      </c>
      <c r="DR361" s="24">
        <v>0</v>
      </c>
      <c r="DS361" s="24">
        <v>0</v>
      </c>
      <c r="DT361" s="24">
        <v>0</v>
      </c>
      <c r="DV361" s="24">
        <v>0</v>
      </c>
      <c r="DW361" s="24">
        <v>0</v>
      </c>
      <c r="DX361" s="24">
        <v>0</v>
      </c>
      <c r="DY361" s="24">
        <v>0</v>
      </c>
      <c r="DZ361" s="24">
        <v>0</v>
      </c>
    </row>
    <row r="362" spans="1:130">
      <c r="S362" s="25"/>
      <c r="T362" s="24"/>
      <c r="BO362" s="25" t="s">
        <v>639</v>
      </c>
      <c r="CY362" s="24"/>
    </row>
    <row r="363" spans="1:130">
      <c r="S363" s="25"/>
      <c r="T363" s="24"/>
      <c r="BO363" s="25" t="s">
        <v>639</v>
      </c>
      <c r="CY363" s="24"/>
    </row>
    <row r="364" spans="1:130">
      <c r="S364" s="25"/>
      <c r="T364" s="24"/>
      <c r="BO364" s="25" t="s">
        <v>639</v>
      </c>
      <c r="CY364" s="24"/>
    </row>
    <row r="365" spans="1:130">
      <c r="A365" s="24" t="s">
        <v>142</v>
      </c>
      <c r="B365" s="24" t="s">
        <v>142</v>
      </c>
      <c r="C365" s="24" t="s">
        <v>142</v>
      </c>
      <c r="D365" s="24" t="s">
        <v>142</v>
      </c>
      <c r="E365" s="24">
        <v>105700</v>
      </c>
      <c r="F365" s="24" t="s">
        <v>838</v>
      </c>
      <c r="G365" s="24">
        <v>0</v>
      </c>
      <c r="H365" s="24">
        <v>0</v>
      </c>
      <c r="I365" s="24" t="s">
        <v>838</v>
      </c>
      <c r="J365" s="24" t="s">
        <v>838</v>
      </c>
      <c r="K365" s="24" t="s">
        <v>644</v>
      </c>
      <c r="M365" s="24">
        <v>102</v>
      </c>
      <c r="N365" s="24">
        <v>0</v>
      </c>
      <c r="P365" s="25">
        <v>2</v>
      </c>
      <c r="Q365" s="25">
        <v>4719632</v>
      </c>
      <c r="R365" s="24">
        <v>0</v>
      </c>
      <c r="S365" s="25">
        <v>0</v>
      </c>
      <c r="T365" s="24"/>
      <c r="U365" s="24">
        <v>0</v>
      </c>
      <c r="V365" s="25">
        <v>0</v>
      </c>
      <c r="W365" s="24">
        <v>0</v>
      </c>
      <c r="X365" s="24">
        <v>0</v>
      </c>
      <c r="Y365" s="24">
        <v>0</v>
      </c>
      <c r="Z365" s="24">
        <v>0</v>
      </c>
      <c r="AB365" s="24">
        <v>10001</v>
      </c>
      <c r="AC365" s="24">
        <v>-1</v>
      </c>
      <c r="AD365" s="24">
        <v>-1</v>
      </c>
      <c r="AE365" s="24">
        <v>-1</v>
      </c>
      <c r="AG365" s="24">
        <v>2</v>
      </c>
      <c r="AH365" s="24">
        <v>24</v>
      </c>
      <c r="AI365" s="24">
        <v>0</v>
      </c>
      <c r="AJ365" s="24">
        <v>0</v>
      </c>
      <c r="AK365" s="24">
        <v>1</v>
      </c>
      <c r="AL365" s="24">
        <v>5</v>
      </c>
      <c r="AM365" s="24">
        <v>0</v>
      </c>
      <c r="AN365" s="24">
        <v>0</v>
      </c>
      <c r="AO365" s="24">
        <v>0</v>
      </c>
      <c r="AP365" s="24">
        <v>1000</v>
      </c>
      <c r="AQ365" s="24">
        <v>80</v>
      </c>
      <c r="AR365" s="24">
        <v>0</v>
      </c>
      <c r="AS365" s="24">
        <v>0</v>
      </c>
      <c r="AT365" s="24">
        <v>0</v>
      </c>
      <c r="AU365" s="24">
        <v>2012</v>
      </c>
      <c r="AV365" s="24">
        <v>2013</v>
      </c>
      <c r="AW365" s="24">
        <v>0</v>
      </c>
      <c r="AX365" s="24">
        <v>6007</v>
      </c>
      <c r="AY365" s="24">
        <v>0</v>
      </c>
      <c r="BA365" s="24">
        <v>0</v>
      </c>
      <c r="BB365" s="24">
        <v>400</v>
      </c>
      <c r="BC365" s="24">
        <v>700</v>
      </c>
      <c r="BD365" s="24">
        <v>0</v>
      </c>
      <c r="BE365" s="24">
        <v>200</v>
      </c>
      <c r="BF365" s="24">
        <v>5</v>
      </c>
      <c r="BG365" s="25">
        <v>1</v>
      </c>
      <c r="BH365" s="24">
        <v>1</v>
      </c>
      <c r="BI365" s="24">
        <v>0</v>
      </c>
      <c r="BJ365" s="24">
        <v>0</v>
      </c>
      <c r="BK365" s="24">
        <v>0</v>
      </c>
      <c r="BL365" s="25">
        <v>126</v>
      </c>
      <c r="BM365" s="24">
        <v>0</v>
      </c>
      <c r="BO365" s="25">
        <v>8</v>
      </c>
      <c r="BP365" s="24">
        <v>20</v>
      </c>
      <c r="BQ365" s="24">
        <v>0</v>
      </c>
      <c r="BR365" s="24">
        <v>1</v>
      </c>
      <c r="BS365" s="24">
        <v>0</v>
      </c>
      <c r="BT365" s="24">
        <v>0</v>
      </c>
      <c r="BU365" s="24">
        <v>0</v>
      </c>
      <c r="BV365" s="24">
        <v>6</v>
      </c>
      <c r="BW365" s="24">
        <v>0</v>
      </c>
      <c r="BX365" s="24">
        <v>0</v>
      </c>
      <c r="BZ365" s="24">
        <v>105700</v>
      </c>
      <c r="CA365" s="24">
        <v>0</v>
      </c>
      <c r="CB365" s="24">
        <v>0</v>
      </c>
      <c r="CC365" s="24">
        <v>0</v>
      </c>
      <c r="CD365" s="24">
        <v>0</v>
      </c>
      <c r="CE365" s="24">
        <v>0</v>
      </c>
      <c r="CG365" s="24">
        <v>-1</v>
      </c>
      <c r="CH365" s="24">
        <v>0</v>
      </c>
      <c r="CI365" s="24">
        <v>0</v>
      </c>
      <c r="CJ365" s="24">
        <v>0</v>
      </c>
      <c r="CK365" s="24">
        <v>0</v>
      </c>
      <c r="CL365" s="24">
        <v>0</v>
      </c>
      <c r="CM365" s="24">
        <v>0</v>
      </c>
      <c r="CN365" s="24">
        <v>0</v>
      </c>
      <c r="CO365" s="24">
        <v>0</v>
      </c>
      <c r="CQ365" s="24">
        <v>0</v>
      </c>
      <c r="CR365" s="24">
        <v>0</v>
      </c>
      <c r="CS365" s="24">
        <v>0</v>
      </c>
      <c r="CT365" s="24">
        <v>0</v>
      </c>
      <c r="CV365" s="24">
        <v>100201</v>
      </c>
      <c r="CW365" s="24">
        <v>13</v>
      </c>
      <c r="CX365" s="24">
        <v>-1</v>
      </c>
      <c r="CY365" s="24">
        <v>1</v>
      </c>
      <c r="CZ365" s="24">
        <v>2</v>
      </c>
      <c r="DC365" s="24">
        <v>1</v>
      </c>
      <c r="DD365" s="24">
        <v>1</v>
      </c>
      <c r="DE365" s="24">
        <v>0</v>
      </c>
      <c r="DF365" s="24">
        <v>0</v>
      </c>
      <c r="DG365" s="24">
        <v>-1</v>
      </c>
      <c r="DI365" s="24">
        <v>0</v>
      </c>
      <c r="DJ365" s="24">
        <v>0</v>
      </c>
      <c r="DL365" s="24">
        <v>0</v>
      </c>
      <c r="DM365" s="24">
        <v>0</v>
      </c>
      <c r="DO365" s="24">
        <v>0</v>
      </c>
      <c r="DP365" s="24">
        <v>0</v>
      </c>
      <c r="DQ365" s="24">
        <v>0</v>
      </c>
      <c r="DR365" s="24">
        <v>0</v>
      </c>
      <c r="DS365" s="24">
        <v>0</v>
      </c>
      <c r="DT365" s="24">
        <v>0</v>
      </c>
      <c r="DV365" s="24">
        <v>0</v>
      </c>
      <c r="DW365" s="24">
        <v>0</v>
      </c>
      <c r="DX365" s="24">
        <v>0</v>
      </c>
      <c r="DY365" s="24">
        <v>0</v>
      </c>
      <c r="DZ365" s="24">
        <v>0</v>
      </c>
    </row>
    <row r="366" spans="1:130">
      <c r="A366" s="24" t="s">
        <v>142</v>
      </c>
      <c r="B366" s="24" t="s">
        <v>142</v>
      </c>
      <c r="C366" s="24" t="s">
        <v>142</v>
      </c>
      <c r="D366" s="24" t="s">
        <v>142</v>
      </c>
      <c r="E366" s="24">
        <v>105705</v>
      </c>
      <c r="F366" s="24" t="s">
        <v>839</v>
      </c>
      <c r="G366" s="24">
        <v>0</v>
      </c>
      <c r="H366" s="24">
        <v>0</v>
      </c>
      <c r="I366" s="24" t="s">
        <v>839</v>
      </c>
      <c r="J366" s="24" t="s">
        <v>839</v>
      </c>
      <c r="K366" s="24" t="s">
        <v>644</v>
      </c>
      <c r="M366" s="24">
        <v>0</v>
      </c>
      <c r="N366" s="24">
        <v>0</v>
      </c>
      <c r="P366" s="25">
        <v>12</v>
      </c>
      <c r="Q366" s="25">
        <v>0</v>
      </c>
      <c r="R366" s="24">
        <v>0</v>
      </c>
      <c r="S366" s="25">
        <v>0</v>
      </c>
      <c r="T366" s="24"/>
      <c r="U366" s="24">
        <v>0</v>
      </c>
      <c r="V366" s="25">
        <v>2</v>
      </c>
      <c r="W366" s="24">
        <v>32</v>
      </c>
      <c r="X366" s="24">
        <v>105700</v>
      </c>
      <c r="Y366" s="24">
        <v>1</v>
      </c>
      <c r="Z366" s="24">
        <v>1000</v>
      </c>
      <c r="AB366" s="24">
        <v>30001</v>
      </c>
      <c r="AC366" s="24">
        <v>-1</v>
      </c>
      <c r="AD366" s="24">
        <v>-1</v>
      </c>
      <c r="AE366" s="24">
        <v>-1</v>
      </c>
      <c r="AG366" s="24">
        <v>1</v>
      </c>
      <c r="AH366" s="24">
        <v>0</v>
      </c>
      <c r="AI366" s="24">
        <v>0</v>
      </c>
      <c r="AJ366" s="24">
        <v>0</v>
      </c>
      <c r="AK366" s="24">
        <v>0</v>
      </c>
      <c r="AL366" s="24">
        <v>0</v>
      </c>
      <c r="AM366" s="24">
        <v>0</v>
      </c>
      <c r="AN366" s="24">
        <v>0</v>
      </c>
      <c r="AO366" s="24">
        <v>0</v>
      </c>
      <c r="AP366" s="24">
        <v>0</v>
      </c>
      <c r="AQ366" s="24">
        <v>0</v>
      </c>
      <c r="AR366" s="24">
        <v>0</v>
      </c>
      <c r="AS366" s="24">
        <v>0</v>
      </c>
      <c r="AT366" s="24">
        <v>0</v>
      </c>
      <c r="AU366" s="24">
        <v>0</v>
      </c>
      <c r="AV366" s="24">
        <v>0</v>
      </c>
      <c r="AW366" s="24">
        <v>0</v>
      </c>
      <c r="AX366" s="24">
        <v>0</v>
      </c>
      <c r="AY366" s="24">
        <v>0</v>
      </c>
      <c r="BA366" s="24">
        <v>0</v>
      </c>
      <c r="BB366" s="24">
        <v>0</v>
      </c>
      <c r="BC366" s="24">
        <v>0</v>
      </c>
      <c r="BD366" s="24">
        <v>0</v>
      </c>
      <c r="BE366" s="24">
        <v>0</v>
      </c>
      <c r="BF366" s="24">
        <v>1</v>
      </c>
      <c r="BG366" s="25">
        <v>2</v>
      </c>
      <c r="BH366" s="24">
        <v>4</v>
      </c>
      <c r="BI366" s="24">
        <v>105705</v>
      </c>
      <c r="BJ366" s="24">
        <v>1</v>
      </c>
      <c r="BK366" s="24">
        <v>1</v>
      </c>
      <c r="BL366" s="25">
        <v>126</v>
      </c>
      <c r="BM366" s="24">
        <v>0</v>
      </c>
      <c r="BO366" s="25">
        <v>1</v>
      </c>
      <c r="BP366" s="24">
        <v>0</v>
      </c>
      <c r="BQ366" s="24">
        <v>0</v>
      </c>
      <c r="BR366" s="24">
        <v>1</v>
      </c>
      <c r="BS366" s="24">
        <v>80</v>
      </c>
      <c r="BT366" s="24">
        <v>0</v>
      </c>
      <c r="BU366" s="24">
        <v>0</v>
      </c>
      <c r="BV366" s="24">
        <v>5</v>
      </c>
      <c r="BW366" s="24">
        <v>0</v>
      </c>
      <c r="BX366" s="24">
        <v>4</v>
      </c>
      <c r="BZ366" s="24">
        <v>105705</v>
      </c>
      <c r="CA366" s="24">
        <v>0</v>
      </c>
      <c r="CB366" s="24">
        <v>0</v>
      </c>
      <c r="CC366" s="24">
        <v>0</v>
      </c>
      <c r="CD366" s="24">
        <v>0</v>
      </c>
      <c r="CE366" s="24">
        <v>0</v>
      </c>
      <c r="CG366" s="24">
        <v>-1</v>
      </c>
      <c r="CH366" s="24">
        <v>0</v>
      </c>
      <c r="CI366" s="24">
        <v>0</v>
      </c>
      <c r="CJ366" s="24">
        <v>0</v>
      </c>
      <c r="CK366" s="24">
        <v>0</v>
      </c>
      <c r="CL366" s="24">
        <v>0</v>
      </c>
      <c r="CM366" s="24">
        <v>0</v>
      </c>
      <c r="CN366" s="24">
        <v>0</v>
      </c>
      <c r="CO366" s="24">
        <v>0</v>
      </c>
      <c r="CQ366" s="24">
        <v>0</v>
      </c>
      <c r="CR366" s="24">
        <v>0</v>
      </c>
      <c r="CS366" s="24">
        <v>0</v>
      </c>
      <c r="CT366" s="24">
        <v>0</v>
      </c>
      <c r="CV366" s="24">
        <v>0</v>
      </c>
      <c r="CW366" s="24">
        <v>0</v>
      </c>
      <c r="CX366" s="24">
        <v>-1</v>
      </c>
      <c r="CY366" s="24">
        <v>1</v>
      </c>
      <c r="CZ366" s="24">
        <v>0</v>
      </c>
      <c r="DC366" s="24">
        <v>1</v>
      </c>
      <c r="DD366" s="24">
        <v>0</v>
      </c>
      <c r="DE366" s="24">
        <v>0</v>
      </c>
      <c r="DF366" s="24">
        <v>0</v>
      </c>
      <c r="DG366" s="24">
        <v>0</v>
      </c>
      <c r="DI366" s="24">
        <v>0</v>
      </c>
      <c r="DJ366" s="24">
        <v>0</v>
      </c>
      <c r="DL366" s="24">
        <v>0</v>
      </c>
      <c r="DM366" s="24">
        <v>0</v>
      </c>
      <c r="DO366" s="24">
        <v>0</v>
      </c>
      <c r="DP366" s="24">
        <v>0</v>
      </c>
      <c r="DQ366" s="24">
        <v>0</v>
      </c>
      <c r="DR366" s="24">
        <v>0</v>
      </c>
      <c r="DS366" s="24">
        <v>0</v>
      </c>
      <c r="DT366" s="24">
        <v>0</v>
      </c>
      <c r="DV366" s="24">
        <v>0</v>
      </c>
      <c r="DW366" s="24">
        <v>0</v>
      </c>
      <c r="DX366" s="24">
        <v>0</v>
      </c>
      <c r="DY366" s="24">
        <v>0</v>
      </c>
      <c r="DZ366" s="24">
        <v>0</v>
      </c>
    </row>
    <row r="367" spans="1:130">
      <c r="A367" s="24" t="s">
        <v>142</v>
      </c>
      <c r="B367" s="24" t="s">
        <v>142</v>
      </c>
      <c r="C367" s="24" t="s">
        <v>142</v>
      </c>
      <c r="D367" s="24" t="s">
        <v>142</v>
      </c>
      <c r="E367" s="24">
        <v>105710</v>
      </c>
      <c r="F367" s="24" t="s">
        <v>840</v>
      </c>
      <c r="G367" s="24">
        <v>0</v>
      </c>
      <c r="H367" s="24">
        <v>0</v>
      </c>
      <c r="I367" s="24" t="s">
        <v>840</v>
      </c>
      <c r="J367" s="24" t="s">
        <v>840</v>
      </c>
      <c r="K367" s="24" t="s">
        <v>644</v>
      </c>
      <c r="M367" s="24">
        <v>102</v>
      </c>
      <c r="N367" s="24">
        <v>0</v>
      </c>
      <c r="P367" s="25">
        <v>2</v>
      </c>
      <c r="Q367" s="25">
        <v>4718608</v>
      </c>
      <c r="R367" s="24">
        <v>0</v>
      </c>
      <c r="S367" s="25">
        <v>0</v>
      </c>
      <c r="T367" s="24"/>
      <c r="U367" s="24">
        <v>0</v>
      </c>
      <c r="V367" s="25">
        <v>0</v>
      </c>
      <c r="W367" s="24">
        <v>0</v>
      </c>
      <c r="X367" s="24">
        <v>0</v>
      </c>
      <c r="Y367" s="24">
        <v>0</v>
      </c>
      <c r="Z367" s="24">
        <v>0</v>
      </c>
      <c r="AB367" s="24">
        <v>10002</v>
      </c>
      <c r="AC367" s="24">
        <v>100805</v>
      </c>
      <c r="AD367" s="24">
        <v>2000</v>
      </c>
      <c r="AE367" s="24">
        <v>-1</v>
      </c>
      <c r="AG367" s="24">
        <v>1</v>
      </c>
      <c r="AH367" s="24">
        <v>0</v>
      </c>
      <c r="AI367" s="24">
        <v>0</v>
      </c>
      <c r="AJ367" s="24">
        <v>0</v>
      </c>
      <c r="AK367" s="24">
        <v>0</v>
      </c>
      <c r="AL367" s="24">
        <v>0</v>
      </c>
      <c r="AM367" s="24">
        <v>0</v>
      </c>
      <c r="AN367" s="24">
        <v>0</v>
      </c>
      <c r="AO367" s="24">
        <v>0</v>
      </c>
      <c r="AP367" s="24">
        <v>0</v>
      </c>
      <c r="AQ367" s="24">
        <v>0</v>
      </c>
      <c r="AR367" s="24">
        <v>0</v>
      </c>
      <c r="AS367" s="24">
        <v>0</v>
      </c>
      <c r="AT367" s="24">
        <v>0</v>
      </c>
      <c r="AU367" s="24">
        <v>0</v>
      </c>
      <c r="AV367" s="24">
        <v>0</v>
      </c>
      <c r="AW367" s="24">
        <v>0</v>
      </c>
      <c r="AX367" s="24">
        <v>0</v>
      </c>
      <c r="AY367" s="24">
        <v>0</v>
      </c>
      <c r="BA367" s="24">
        <v>0</v>
      </c>
      <c r="BB367" s="24">
        <v>300</v>
      </c>
      <c r="BC367" s="24">
        <v>2000</v>
      </c>
      <c r="BD367" s="24">
        <v>0</v>
      </c>
      <c r="BE367" s="24">
        <v>2000</v>
      </c>
      <c r="BF367" s="24">
        <v>1</v>
      </c>
      <c r="BG367" s="25">
        <v>2</v>
      </c>
      <c r="BH367" s="24">
        <v>2</v>
      </c>
      <c r="BI367" s="24">
        <v>0</v>
      </c>
      <c r="BJ367" s="24">
        <v>0</v>
      </c>
      <c r="BK367" s="24">
        <v>0</v>
      </c>
      <c r="BL367" s="25">
        <v>126</v>
      </c>
      <c r="BM367" s="24">
        <v>0</v>
      </c>
      <c r="BO367" s="25">
        <v>4</v>
      </c>
      <c r="BP367" s="24">
        <v>20</v>
      </c>
      <c r="BQ367" s="24">
        <v>0</v>
      </c>
      <c r="BR367" s="24">
        <v>1</v>
      </c>
      <c r="BS367" s="24">
        <v>0</v>
      </c>
      <c r="BT367" s="24">
        <v>0</v>
      </c>
      <c r="BU367" s="24">
        <v>0</v>
      </c>
      <c r="BV367" s="24">
        <v>5</v>
      </c>
      <c r="BW367" s="24">
        <v>2</v>
      </c>
      <c r="BX367" s="24">
        <v>1</v>
      </c>
      <c r="BZ367" s="24">
        <v>105710</v>
      </c>
      <c r="CA367" s="24">
        <v>0</v>
      </c>
      <c r="CB367" s="24">
        <v>0</v>
      </c>
      <c r="CC367" s="24">
        <v>0</v>
      </c>
      <c r="CD367" s="24">
        <v>0</v>
      </c>
      <c r="CE367" s="24">
        <v>0</v>
      </c>
      <c r="CG367" s="24">
        <v>-1</v>
      </c>
      <c r="CH367" s="24">
        <v>0</v>
      </c>
      <c r="CI367" s="24">
        <v>0</v>
      </c>
      <c r="CJ367" s="24">
        <v>0</v>
      </c>
      <c r="CK367" s="24">
        <v>0</v>
      </c>
      <c r="CL367" s="24">
        <v>0</v>
      </c>
      <c r="CM367" s="24">
        <v>0</v>
      </c>
      <c r="CN367" s="24">
        <v>0</v>
      </c>
      <c r="CO367" s="24">
        <v>0</v>
      </c>
      <c r="CQ367" s="24">
        <v>0</v>
      </c>
      <c r="CR367" s="24">
        <v>0</v>
      </c>
      <c r="CS367" s="24">
        <v>0</v>
      </c>
      <c r="CT367" s="24">
        <v>0</v>
      </c>
      <c r="CV367" s="24">
        <v>100105</v>
      </c>
      <c r="CW367" s="24">
        <v>0</v>
      </c>
      <c r="CX367" s="24">
        <v>3001</v>
      </c>
      <c r="CY367" s="24">
        <v>1</v>
      </c>
      <c r="CZ367" s="24">
        <v>0</v>
      </c>
      <c r="DC367" s="24">
        <v>2</v>
      </c>
      <c r="DD367" s="24">
        <v>1</v>
      </c>
      <c r="DE367" s="24">
        <v>0</v>
      </c>
      <c r="DF367" s="24">
        <v>0</v>
      </c>
      <c r="DG367" s="24">
        <v>0</v>
      </c>
      <c r="DI367" s="24">
        <v>0</v>
      </c>
      <c r="DJ367" s="24">
        <v>0</v>
      </c>
      <c r="DL367" s="24">
        <v>0</v>
      </c>
      <c r="DM367" s="24">
        <v>0</v>
      </c>
      <c r="DO367" s="24">
        <v>0</v>
      </c>
      <c r="DP367" s="24">
        <v>0</v>
      </c>
      <c r="DQ367" s="24">
        <v>0</v>
      </c>
      <c r="DR367" s="24">
        <v>0</v>
      </c>
      <c r="DS367" s="24">
        <v>0</v>
      </c>
      <c r="DT367" s="24">
        <v>0</v>
      </c>
      <c r="DV367" s="24">
        <v>0</v>
      </c>
      <c r="DW367" s="24">
        <v>0</v>
      </c>
      <c r="DX367" s="24">
        <v>0</v>
      </c>
      <c r="DY367" s="24">
        <v>0</v>
      </c>
      <c r="DZ367" s="24">
        <v>0</v>
      </c>
    </row>
    <row r="368" spans="1:130">
      <c r="A368" s="24" t="s">
        <v>142</v>
      </c>
      <c r="B368" s="24" t="s">
        <v>142</v>
      </c>
      <c r="C368" s="24" t="s">
        <v>142</v>
      </c>
      <c r="D368" s="24" t="s">
        <v>142</v>
      </c>
      <c r="E368" s="24">
        <v>105720</v>
      </c>
      <c r="F368" s="24" t="s">
        <v>841</v>
      </c>
      <c r="G368" s="24">
        <v>0</v>
      </c>
      <c r="H368" s="24">
        <v>0</v>
      </c>
      <c r="I368" s="24" t="s">
        <v>841</v>
      </c>
      <c r="J368" s="24" t="s">
        <v>841</v>
      </c>
      <c r="K368" s="24" t="s">
        <v>644</v>
      </c>
      <c r="M368" s="24">
        <v>102</v>
      </c>
      <c r="N368" s="24">
        <v>0</v>
      </c>
      <c r="P368" s="25">
        <v>2</v>
      </c>
      <c r="Q368" s="25">
        <v>4718608</v>
      </c>
      <c r="R368" s="24">
        <v>0</v>
      </c>
      <c r="S368" s="25">
        <v>0</v>
      </c>
      <c r="T368" s="24"/>
      <c r="U368" s="24">
        <v>0</v>
      </c>
      <c r="V368" s="25">
        <v>0</v>
      </c>
      <c r="W368" s="24">
        <v>0</v>
      </c>
      <c r="X368" s="24">
        <v>0</v>
      </c>
      <c r="Y368" s="24">
        <v>0</v>
      </c>
      <c r="Z368" s="24">
        <v>0</v>
      </c>
      <c r="AB368" s="24">
        <v>10002</v>
      </c>
      <c r="AC368" s="24">
        <v>100805</v>
      </c>
      <c r="AD368" s="24">
        <v>1500</v>
      </c>
      <c r="AE368" s="24">
        <v>-1</v>
      </c>
      <c r="AG368" s="24">
        <v>1</v>
      </c>
      <c r="AH368" s="24">
        <v>0</v>
      </c>
      <c r="AI368" s="24">
        <v>0</v>
      </c>
      <c r="AJ368" s="24">
        <v>0</v>
      </c>
      <c r="AK368" s="24">
        <v>0</v>
      </c>
      <c r="AL368" s="24">
        <v>0</v>
      </c>
      <c r="AM368" s="24">
        <v>0</v>
      </c>
      <c r="AN368" s="24">
        <v>0</v>
      </c>
      <c r="AO368" s="24">
        <v>0</v>
      </c>
      <c r="AP368" s="24">
        <v>0</v>
      </c>
      <c r="AQ368" s="24">
        <v>0</v>
      </c>
      <c r="AR368" s="24">
        <v>0</v>
      </c>
      <c r="AS368" s="24">
        <v>0</v>
      </c>
      <c r="AT368" s="24">
        <v>0</v>
      </c>
      <c r="AU368" s="24">
        <v>0</v>
      </c>
      <c r="AV368" s="24">
        <v>0</v>
      </c>
      <c r="AW368" s="24">
        <v>0</v>
      </c>
      <c r="AX368" s="24">
        <v>0</v>
      </c>
      <c r="AY368" s="24">
        <v>0</v>
      </c>
      <c r="BA368" s="24">
        <v>0</v>
      </c>
      <c r="BB368" s="24">
        <v>300</v>
      </c>
      <c r="BC368" s="24">
        <v>1500</v>
      </c>
      <c r="BD368" s="24">
        <v>0</v>
      </c>
      <c r="BE368" s="24">
        <v>1500</v>
      </c>
      <c r="BF368" s="24">
        <v>1</v>
      </c>
      <c r="BG368" s="25">
        <v>2</v>
      </c>
      <c r="BH368" s="24">
        <v>2</v>
      </c>
      <c r="BI368" s="24">
        <v>0</v>
      </c>
      <c r="BJ368" s="24">
        <v>0</v>
      </c>
      <c r="BK368" s="24">
        <v>0</v>
      </c>
      <c r="BL368" s="25">
        <v>126</v>
      </c>
      <c r="BM368" s="24">
        <v>0</v>
      </c>
      <c r="BO368" s="25">
        <v>4</v>
      </c>
      <c r="BP368" s="24">
        <v>20</v>
      </c>
      <c r="BQ368" s="24">
        <v>0</v>
      </c>
      <c r="BR368" s="24">
        <v>2</v>
      </c>
      <c r="BS368" s="24">
        <v>80</v>
      </c>
      <c r="BT368" s="24">
        <v>0</v>
      </c>
      <c r="BU368" s="24">
        <v>0</v>
      </c>
      <c r="BV368" s="24">
        <v>5</v>
      </c>
      <c r="BW368" s="24">
        <v>2</v>
      </c>
      <c r="BX368" s="24">
        <v>4</v>
      </c>
      <c r="BZ368" s="24">
        <v>105720</v>
      </c>
      <c r="CA368" s="24">
        <v>0</v>
      </c>
      <c r="CB368" s="24">
        <v>0</v>
      </c>
      <c r="CC368" s="24">
        <v>0</v>
      </c>
      <c r="CD368" s="24">
        <v>0</v>
      </c>
      <c r="CE368" s="24">
        <v>0</v>
      </c>
      <c r="CG368" s="24">
        <v>-1</v>
      </c>
      <c r="CH368" s="24">
        <v>0</v>
      </c>
      <c r="CI368" s="24">
        <v>0</v>
      </c>
      <c r="CJ368" s="24">
        <v>0</v>
      </c>
      <c r="CK368" s="24">
        <v>0</v>
      </c>
      <c r="CL368" s="24">
        <v>0</v>
      </c>
      <c r="CM368" s="24">
        <v>0</v>
      </c>
      <c r="CN368" s="24">
        <v>0</v>
      </c>
      <c r="CO368" s="24">
        <v>0</v>
      </c>
      <c r="CQ368" s="24">
        <v>0</v>
      </c>
      <c r="CR368" s="24">
        <v>0</v>
      </c>
      <c r="CS368" s="24">
        <v>0</v>
      </c>
      <c r="CT368" s="24">
        <v>0</v>
      </c>
      <c r="CV368" s="24">
        <v>100105</v>
      </c>
      <c r="CW368" s="24">
        <v>0</v>
      </c>
      <c r="CX368" s="24">
        <v>3001</v>
      </c>
      <c r="CY368" s="24">
        <v>1</v>
      </c>
      <c r="CZ368" s="24">
        <v>0</v>
      </c>
      <c r="DC368" s="24">
        <v>2</v>
      </c>
      <c r="DD368" s="24">
        <v>1</v>
      </c>
      <c r="DE368" s="24">
        <v>0</v>
      </c>
      <c r="DF368" s="24">
        <v>0</v>
      </c>
      <c r="DG368" s="24">
        <v>0</v>
      </c>
      <c r="DI368" s="24">
        <v>0</v>
      </c>
      <c r="DJ368" s="24">
        <v>0</v>
      </c>
      <c r="DL368" s="24">
        <v>0</v>
      </c>
      <c r="DM368" s="24">
        <v>0</v>
      </c>
      <c r="DO368" s="24">
        <v>0</v>
      </c>
      <c r="DP368" s="24">
        <v>0</v>
      </c>
      <c r="DQ368" s="24">
        <v>0</v>
      </c>
      <c r="DR368" s="24">
        <v>0</v>
      </c>
      <c r="DS368" s="24">
        <v>0</v>
      </c>
      <c r="DT368" s="24">
        <v>0</v>
      </c>
      <c r="DV368" s="24">
        <v>0</v>
      </c>
      <c r="DW368" s="24">
        <v>0</v>
      </c>
      <c r="DX368" s="24">
        <v>0</v>
      </c>
      <c r="DY368" s="24">
        <v>0</v>
      </c>
      <c r="DZ368" s="24">
        <v>0</v>
      </c>
    </row>
    <row r="369" spans="1:130">
      <c r="A369" s="24" t="s">
        <v>142</v>
      </c>
      <c r="B369" s="24" t="s">
        <v>142</v>
      </c>
      <c r="C369" s="24" t="s">
        <v>142</v>
      </c>
      <c r="D369" s="24" t="s">
        <v>142</v>
      </c>
      <c r="E369" s="24">
        <v>105730</v>
      </c>
      <c r="F369" s="24" t="s">
        <v>842</v>
      </c>
      <c r="G369" s="24">
        <v>0</v>
      </c>
      <c r="H369" s="24">
        <v>0</v>
      </c>
      <c r="I369" s="24" t="s">
        <v>842</v>
      </c>
      <c r="J369" s="24" t="s">
        <v>842</v>
      </c>
      <c r="K369" s="24" t="s">
        <v>644</v>
      </c>
      <c r="M369" s="24">
        <v>102</v>
      </c>
      <c r="N369" s="24">
        <v>0</v>
      </c>
      <c r="P369" s="25">
        <v>2</v>
      </c>
      <c r="Q369" s="25">
        <v>4194320</v>
      </c>
      <c r="R369" s="24">
        <v>0</v>
      </c>
      <c r="S369" s="25">
        <v>0</v>
      </c>
      <c r="T369" s="24"/>
      <c r="U369" s="24">
        <v>0</v>
      </c>
      <c r="V369" s="25">
        <v>0</v>
      </c>
      <c r="W369" s="24">
        <v>0</v>
      </c>
      <c r="X369" s="24">
        <v>0</v>
      </c>
      <c r="Y369" s="24">
        <v>0</v>
      </c>
      <c r="Z369" s="24">
        <v>0</v>
      </c>
      <c r="AB369" s="24">
        <v>10002</v>
      </c>
      <c r="AC369" s="24">
        <v>100805</v>
      </c>
      <c r="AD369" s="24">
        <v>2500</v>
      </c>
      <c r="AE369" s="24">
        <v>-1</v>
      </c>
      <c r="AG369" s="24">
        <v>1</v>
      </c>
      <c r="AH369" s="24">
        <v>0</v>
      </c>
      <c r="AI369" s="24">
        <v>0</v>
      </c>
      <c r="AJ369" s="24">
        <v>0</v>
      </c>
      <c r="AK369" s="24">
        <v>0</v>
      </c>
      <c r="AL369" s="24">
        <v>0</v>
      </c>
      <c r="AM369" s="24">
        <v>0</v>
      </c>
      <c r="AN369" s="24">
        <v>0</v>
      </c>
      <c r="AO369" s="24">
        <v>0</v>
      </c>
      <c r="AP369" s="24">
        <v>0</v>
      </c>
      <c r="AQ369" s="24">
        <v>0</v>
      </c>
      <c r="AR369" s="24">
        <v>0</v>
      </c>
      <c r="AS369" s="24">
        <v>0</v>
      </c>
      <c r="AT369" s="24">
        <v>0</v>
      </c>
      <c r="AU369" s="24">
        <v>0</v>
      </c>
      <c r="AV369" s="24">
        <v>0</v>
      </c>
      <c r="AW369" s="24">
        <v>0</v>
      </c>
      <c r="AX369" s="24">
        <v>0</v>
      </c>
      <c r="AY369" s="24">
        <v>0</v>
      </c>
      <c r="BA369" s="24">
        <v>0</v>
      </c>
      <c r="BB369" s="24">
        <v>500</v>
      </c>
      <c r="BC369" s="24">
        <v>2500</v>
      </c>
      <c r="BD369" s="24">
        <v>0</v>
      </c>
      <c r="BE369" s="24">
        <v>2500</v>
      </c>
      <c r="BF369" s="24">
        <v>1</v>
      </c>
      <c r="BG369" s="25">
        <v>4098</v>
      </c>
      <c r="BH369" s="24">
        <v>14</v>
      </c>
      <c r="BI369" s="24">
        <v>1</v>
      </c>
      <c r="BJ369" s="24">
        <v>1</v>
      </c>
      <c r="BK369" s="24">
        <v>1</v>
      </c>
      <c r="BL369" s="25">
        <v>126</v>
      </c>
      <c r="BM369" s="24">
        <v>0</v>
      </c>
      <c r="BO369" s="25">
        <v>1</v>
      </c>
      <c r="BP369" s="24">
        <v>20</v>
      </c>
      <c r="BQ369" s="24">
        <v>0</v>
      </c>
      <c r="BR369" s="24">
        <v>2</v>
      </c>
      <c r="BS369" s="24">
        <v>80</v>
      </c>
      <c r="BT369" s="24">
        <v>0</v>
      </c>
      <c r="BU369" s="24">
        <v>0</v>
      </c>
      <c r="BV369" s="24">
        <v>5</v>
      </c>
      <c r="BW369" s="24">
        <v>2</v>
      </c>
      <c r="BX369" s="24">
        <v>8</v>
      </c>
      <c r="BZ369" s="24">
        <v>105730</v>
      </c>
      <c r="CA369" s="24">
        <v>0</v>
      </c>
      <c r="CB369" s="24">
        <v>0</v>
      </c>
      <c r="CC369" s="24">
        <v>0</v>
      </c>
      <c r="CD369" s="24">
        <v>0</v>
      </c>
      <c r="CE369" s="24">
        <v>0</v>
      </c>
      <c r="CG369" s="24">
        <v>-1</v>
      </c>
      <c r="CH369" s="24">
        <v>0</v>
      </c>
      <c r="CI369" s="24">
        <v>0</v>
      </c>
      <c r="CJ369" s="24">
        <v>0</v>
      </c>
      <c r="CK369" s="24">
        <v>0</v>
      </c>
      <c r="CL369" s="24">
        <v>0</v>
      </c>
      <c r="CM369" s="24">
        <v>0</v>
      </c>
      <c r="CN369" s="24">
        <v>0</v>
      </c>
      <c r="CO369" s="24">
        <v>0</v>
      </c>
      <c r="CQ369" s="24">
        <v>0</v>
      </c>
      <c r="CR369" s="24">
        <v>0</v>
      </c>
      <c r="CS369" s="24">
        <v>0</v>
      </c>
      <c r="CT369" s="24">
        <v>0</v>
      </c>
      <c r="CV369" s="24">
        <v>100105</v>
      </c>
      <c r="CW369" s="24">
        <v>0</v>
      </c>
      <c r="CX369" s="24">
        <v>3001</v>
      </c>
      <c r="CY369" s="24">
        <v>1</v>
      </c>
      <c r="CZ369" s="24">
        <v>0</v>
      </c>
      <c r="DC369" s="24">
        <v>2</v>
      </c>
      <c r="DD369" s="24">
        <v>1</v>
      </c>
      <c r="DE369" s="24">
        <v>0</v>
      </c>
      <c r="DF369" s="24">
        <v>0</v>
      </c>
      <c r="DG369" s="24">
        <v>0</v>
      </c>
      <c r="DI369" s="24">
        <v>0</v>
      </c>
      <c r="DJ369" s="24">
        <v>0</v>
      </c>
      <c r="DL369" s="24">
        <v>0</v>
      </c>
      <c r="DM369" s="24">
        <v>0</v>
      </c>
      <c r="DO369" s="24">
        <v>0</v>
      </c>
      <c r="DP369" s="24">
        <v>0</v>
      </c>
      <c r="DQ369" s="24">
        <v>0</v>
      </c>
      <c r="DR369" s="24">
        <v>0</v>
      </c>
      <c r="DS369" s="24">
        <v>0</v>
      </c>
      <c r="DT369" s="24">
        <v>0</v>
      </c>
      <c r="DV369" s="24">
        <v>0</v>
      </c>
      <c r="DW369" s="24">
        <v>0</v>
      </c>
      <c r="DX369" s="24">
        <v>0</v>
      </c>
      <c r="DY369" s="24">
        <v>0</v>
      </c>
      <c r="DZ369" s="24">
        <v>0</v>
      </c>
    </row>
    <row r="370" spans="1:130">
      <c r="S370" s="25"/>
      <c r="T370" s="24"/>
      <c r="BO370" s="25" t="s">
        <v>639</v>
      </c>
      <c r="CY370" s="24"/>
    </row>
    <row r="371" spans="1:130">
      <c r="E371" s="24">
        <v>106600</v>
      </c>
      <c r="F371" s="24" t="s">
        <v>978</v>
      </c>
      <c r="G371" s="24">
        <v>0</v>
      </c>
      <c r="H371" s="24">
        <v>0</v>
      </c>
      <c r="I371" s="24" t="s">
        <v>978</v>
      </c>
      <c r="J371" s="24" t="s">
        <v>978</v>
      </c>
      <c r="M371" s="24">
        <v>0</v>
      </c>
      <c r="N371" s="24">
        <v>0</v>
      </c>
      <c r="P371" s="25">
        <v>4</v>
      </c>
      <c r="Q371" s="25">
        <v>0</v>
      </c>
      <c r="R371" s="24">
        <v>0</v>
      </c>
      <c r="S371" s="25">
        <v>0</v>
      </c>
      <c r="T371" s="24"/>
      <c r="U371" s="24">
        <v>0</v>
      </c>
      <c r="V371" s="25">
        <v>0</v>
      </c>
      <c r="W371" s="24">
        <v>0</v>
      </c>
      <c r="X371" s="24">
        <v>0</v>
      </c>
      <c r="Y371" s="24">
        <v>0</v>
      </c>
      <c r="Z371" s="24">
        <v>0</v>
      </c>
      <c r="AB371" s="24">
        <v>20003</v>
      </c>
      <c r="AC371" s="24">
        <v>-1</v>
      </c>
      <c r="AD371" s="24">
        <v>-1</v>
      </c>
      <c r="AE371" s="24">
        <v>-1</v>
      </c>
      <c r="AF371" s="24">
        <v>0</v>
      </c>
      <c r="AH371" s="24">
        <v>1</v>
      </c>
      <c r="AI371" s="24">
        <v>0</v>
      </c>
      <c r="AJ371" s="24">
        <v>0</v>
      </c>
      <c r="AK371" s="24">
        <v>0</v>
      </c>
      <c r="AL371" s="24">
        <v>0</v>
      </c>
      <c r="AM371" s="24">
        <v>0</v>
      </c>
      <c r="AN371" s="24">
        <v>0</v>
      </c>
      <c r="AO371" s="24">
        <v>0</v>
      </c>
      <c r="AP371" s="24">
        <v>0</v>
      </c>
      <c r="AQ371" s="24">
        <v>0</v>
      </c>
      <c r="AR371" s="24">
        <v>0</v>
      </c>
      <c r="AS371" s="24">
        <v>0</v>
      </c>
      <c r="AT371" s="24">
        <v>0</v>
      </c>
      <c r="AU371" s="24">
        <v>0</v>
      </c>
      <c r="AV371" s="24">
        <v>0</v>
      </c>
      <c r="AW371" s="24">
        <v>0</v>
      </c>
      <c r="AX371" s="24">
        <v>0</v>
      </c>
      <c r="AY371" s="24">
        <v>0</v>
      </c>
      <c r="BB371" s="24">
        <v>0</v>
      </c>
      <c r="BC371" s="24">
        <v>0</v>
      </c>
      <c r="BD371" s="24">
        <v>0</v>
      </c>
      <c r="BE371" s="24">
        <v>0</v>
      </c>
      <c r="BF371" s="24">
        <v>1</v>
      </c>
      <c r="BG371" s="25">
        <v>512</v>
      </c>
      <c r="BH371" s="24">
        <v>0</v>
      </c>
      <c r="BI371" s="24">
        <v>0</v>
      </c>
      <c r="BJ371" s="24">
        <v>0</v>
      </c>
      <c r="BK371" s="24">
        <v>0</v>
      </c>
      <c r="BL371" s="25">
        <v>126</v>
      </c>
      <c r="BM371" s="24">
        <v>0</v>
      </c>
      <c r="BO371" s="24">
        <v>0</v>
      </c>
      <c r="BP371" s="25">
        <v>1</v>
      </c>
      <c r="BQ371" s="24">
        <v>0</v>
      </c>
      <c r="BR371" s="24">
        <v>1</v>
      </c>
      <c r="BS371" s="24">
        <v>0</v>
      </c>
      <c r="BT371" s="24">
        <v>0</v>
      </c>
      <c r="BU371" s="24">
        <v>0</v>
      </c>
      <c r="BV371" s="24">
        <v>0</v>
      </c>
      <c r="BW371" s="24">
        <v>0</v>
      </c>
      <c r="BX371" s="24">
        <v>1</v>
      </c>
      <c r="CA371" s="24">
        <v>-1</v>
      </c>
      <c r="CB371" s="24">
        <v>0</v>
      </c>
      <c r="CC371" s="24">
        <v>0</v>
      </c>
      <c r="CD371" s="24">
        <v>0</v>
      </c>
      <c r="CE371" s="24">
        <v>0</v>
      </c>
      <c r="CF371" s="24">
        <v>0</v>
      </c>
      <c r="CG371" s="24">
        <v>-1</v>
      </c>
      <c r="CH371" s="24">
        <v>0</v>
      </c>
      <c r="CI371" s="24">
        <v>0</v>
      </c>
      <c r="CJ371" s="24">
        <v>0</v>
      </c>
      <c r="CK371" s="24">
        <v>0</v>
      </c>
      <c r="CL371" s="24">
        <v>0</v>
      </c>
      <c r="CM371" s="24">
        <v>0</v>
      </c>
      <c r="CN371" s="24">
        <v>0</v>
      </c>
      <c r="CO371" s="24">
        <v>0</v>
      </c>
      <c r="CQ371" s="24">
        <v>0</v>
      </c>
      <c r="CR371" s="24">
        <v>0</v>
      </c>
      <c r="CS371" s="24">
        <v>0</v>
      </c>
      <c r="CT371" s="24">
        <v>0</v>
      </c>
      <c r="CV371" s="24">
        <v>0</v>
      </c>
      <c r="CW371" s="24">
        <v>0</v>
      </c>
      <c r="CX371" s="24">
        <v>-1</v>
      </c>
      <c r="CY371" s="26">
        <v>1</v>
      </c>
      <c r="CZ371" s="24">
        <v>1</v>
      </c>
      <c r="DA371" s="24">
        <v>0</v>
      </c>
      <c r="DC371" s="24">
        <v>1</v>
      </c>
      <c r="DD371" s="24">
        <v>1</v>
      </c>
      <c r="DE371" s="24">
        <v>0</v>
      </c>
      <c r="DF371" s="24">
        <v>0</v>
      </c>
      <c r="DG371" s="24">
        <v>-1</v>
      </c>
      <c r="DI371" s="24">
        <v>0</v>
      </c>
      <c r="DJ371" s="24">
        <v>0</v>
      </c>
      <c r="DL371" s="24">
        <v>0</v>
      </c>
      <c r="DM371" s="24">
        <v>0</v>
      </c>
      <c r="DO371" s="24">
        <v>0</v>
      </c>
      <c r="DP371" s="24">
        <v>0</v>
      </c>
      <c r="DQ371" s="24">
        <v>0</v>
      </c>
      <c r="DR371" s="24">
        <v>0</v>
      </c>
      <c r="DS371" s="24">
        <v>0</v>
      </c>
      <c r="DT371" s="24">
        <v>0</v>
      </c>
      <c r="DV371" s="24">
        <v>0</v>
      </c>
      <c r="DW371" s="24">
        <v>0</v>
      </c>
      <c r="DX371" s="24">
        <v>0</v>
      </c>
      <c r="DY371" s="24">
        <v>0</v>
      </c>
      <c r="DZ371" s="24" t="s">
        <v>961</v>
      </c>
    </row>
    <row r="372" spans="1:130">
      <c r="E372" s="24">
        <v>106610</v>
      </c>
      <c r="F372" s="24" t="s">
        <v>979</v>
      </c>
      <c r="G372" s="24">
        <v>0</v>
      </c>
      <c r="H372" s="24">
        <v>0</v>
      </c>
      <c r="I372" s="24" t="s">
        <v>979</v>
      </c>
      <c r="J372" s="24" t="s">
        <v>979</v>
      </c>
      <c r="M372" s="24">
        <v>102</v>
      </c>
      <c r="N372" s="24">
        <v>0</v>
      </c>
      <c r="P372" s="25">
        <v>2</v>
      </c>
      <c r="Q372" s="25">
        <v>655360</v>
      </c>
      <c r="R372" s="24">
        <v>0</v>
      </c>
      <c r="S372" s="25">
        <v>1</v>
      </c>
      <c r="T372" s="24"/>
      <c r="U372" s="24">
        <v>0</v>
      </c>
      <c r="V372" s="25">
        <v>0</v>
      </c>
      <c r="W372" s="24">
        <v>0</v>
      </c>
      <c r="X372" s="24">
        <v>0</v>
      </c>
      <c r="Y372" s="24">
        <v>0</v>
      </c>
      <c r="Z372" s="24">
        <v>0</v>
      </c>
      <c r="AB372" s="24">
        <v>10001</v>
      </c>
      <c r="AC372" s="24">
        <v>-1</v>
      </c>
      <c r="AD372" s="24">
        <v>-1</v>
      </c>
      <c r="AE372" s="24">
        <v>-1</v>
      </c>
      <c r="AF372" s="24">
        <v>0</v>
      </c>
      <c r="AH372" s="24">
        <v>1</v>
      </c>
      <c r="AI372" s="24">
        <v>0</v>
      </c>
      <c r="AJ372" s="24">
        <v>0</v>
      </c>
      <c r="AK372" s="24">
        <v>0</v>
      </c>
      <c r="AL372" s="24">
        <v>0</v>
      </c>
      <c r="AM372" s="24">
        <v>0</v>
      </c>
      <c r="AN372" s="24">
        <v>0</v>
      </c>
      <c r="AO372" s="24">
        <v>0</v>
      </c>
      <c r="AP372" s="24">
        <v>0</v>
      </c>
      <c r="AQ372" s="24">
        <v>0</v>
      </c>
      <c r="AR372" s="24">
        <v>0</v>
      </c>
      <c r="AS372" s="24">
        <v>0</v>
      </c>
      <c r="AT372" s="24">
        <v>0</v>
      </c>
      <c r="AU372" s="24">
        <v>0</v>
      </c>
      <c r="AV372" s="24">
        <v>0</v>
      </c>
      <c r="AW372" s="24">
        <v>0</v>
      </c>
      <c r="AX372" s="24">
        <v>0</v>
      </c>
      <c r="AY372" s="24">
        <v>0</v>
      </c>
      <c r="BB372" s="24">
        <v>0</v>
      </c>
      <c r="BC372" s="24">
        <v>400</v>
      </c>
      <c r="BD372" s="24">
        <v>0</v>
      </c>
      <c r="BE372" s="24">
        <v>200</v>
      </c>
      <c r="BF372" s="24">
        <v>1</v>
      </c>
      <c r="BG372" s="25">
        <v>1</v>
      </c>
      <c r="BH372" s="24">
        <v>1</v>
      </c>
      <c r="BI372" s="24">
        <v>0</v>
      </c>
      <c r="BJ372" s="24">
        <v>0</v>
      </c>
      <c r="BK372" s="24">
        <v>0</v>
      </c>
      <c r="BL372" s="25">
        <v>126</v>
      </c>
      <c r="BM372" s="24">
        <v>0</v>
      </c>
      <c r="BO372" s="24">
        <v>0</v>
      </c>
      <c r="BP372" s="25">
        <v>2</v>
      </c>
      <c r="BQ372" s="24">
        <v>40</v>
      </c>
      <c r="BR372" s="24">
        <v>1</v>
      </c>
      <c r="BS372" s="24">
        <v>0</v>
      </c>
      <c r="BT372" s="24">
        <v>0</v>
      </c>
      <c r="BU372" s="24">
        <v>0</v>
      </c>
      <c r="BV372" s="24">
        <v>6</v>
      </c>
      <c r="BW372" s="24">
        <v>0</v>
      </c>
      <c r="BX372" s="24">
        <v>1</v>
      </c>
      <c r="CA372" s="24">
        <v>-1</v>
      </c>
      <c r="CB372" s="24">
        <v>0</v>
      </c>
      <c r="CC372" s="24">
        <v>0</v>
      </c>
      <c r="CD372" s="24">
        <v>0</v>
      </c>
      <c r="CE372" s="24">
        <v>0</v>
      </c>
      <c r="CF372" s="24">
        <v>0</v>
      </c>
      <c r="CG372" s="24">
        <v>-1</v>
      </c>
      <c r="CH372" s="24">
        <v>0</v>
      </c>
      <c r="CI372" s="24">
        <v>0</v>
      </c>
      <c r="CJ372" s="24">
        <v>0</v>
      </c>
      <c r="CK372" s="24">
        <v>0</v>
      </c>
      <c r="CL372" s="24">
        <v>0</v>
      </c>
      <c r="CM372" s="24">
        <v>0</v>
      </c>
      <c r="CN372" s="24">
        <v>0</v>
      </c>
      <c r="CO372" s="24">
        <v>0</v>
      </c>
      <c r="CQ372" s="24">
        <v>0</v>
      </c>
      <c r="CR372" s="24">
        <v>0</v>
      </c>
      <c r="CS372" s="24">
        <v>0</v>
      </c>
      <c r="CT372" s="24">
        <v>0</v>
      </c>
      <c r="CV372" s="24">
        <v>1025</v>
      </c>
      <c r="CW372" s="24">
        <v>6</v>
      </c>
      <c r="CX372" s="24">
        <v>-1</v>
      </c>
      <c r="CY372" s="26">
        <v>1</v>
      </c>
      <c r="CZ372" s="24">
        <v>1</v>
      </c>
      <c r="DA372" s="24">
        <v>0</v>
      </c>
      <c r="DC372" s="24">
        <v>0</v>
      </c>
      <c r="DD372" s="24">
        <v>0</v>
      </c>
      <c r="DE372" s="24">
        <v>0</v>
      </c>
      <c r="DF372" s="24">
        <v>0</v>
      </c>
      <c r="DG372" s="24">
        <v>-1</v>
      </c>
      <c r="DI372" s="24">
        <v>0</v>
      </c>
      <c r="DJ372" s="24">
        <v>0</v>
      </c>
      <c r="DL372" s="24">
        <v>0</v>
      </c>
      <c r="DM372" s="24">
        <v>0</v>
      </c>
      <c r="DO372" s="24">
        <v>0</v>
      </c>
      <c r="DP372" s="24">
        <v>0</v>
      </c>
      <c r="DQ372" s="24">
        <v>0</v>
      </c>
      <c r="DR372" s="24">
        <v>0</v>
      </c>
      <c r="DS372" s="24">
        <v>0</v>
      </c>
      <c r="DT372" s="24">
        <v>0</v>
      </c>
      <c r="DV372" s="24">
        <v>0</v>
      </c>
      <c r="DW372" s="24">
        <v>0</v>
      </c>
      <c r="DX372" s="24">
        <v>0</v>
      </c>
      <c r="DY372" s="24">
        <v>0</v>
      </c>
      <c r="DZ372" s="24" t="s">
        <v>961</v>
      </c>
    </row>
    <row r="373" spans="1:130">
      <c r="E373" s="24">
        <v>106611</v>
      </c>
      <c r="F373" s="24" t="s">
        <v>980</v>
      </c>
      <c r="G373" s="24">
        <v>0</v>
      </c>
      <c r="H373" s="24">
        <v>0</v>
      </c>
      <c r="I373" s="24" t="s">
        <v>980</v>
      </c>
      <c r="J373" s="24" t="s">
        <v>980</v>
      </c>
      <c r="M373" s="24">
        <v>0</v>
      </c>
      <c r="N373" s="24">
        <v>0</v>
      </c>
      <c r="P373" s="25">
        <v>12</v>
      </c>
      <c r="Q373" s="25">
        <v>0</v>
      </c>
      <c r="R373" s="24">
        <v>106610</v>
      </c>
      <c r="S373" s="25">
        <v>36</v>
      </c>
      <c r="T373" s="24"/>
      <c r="U373" s="24">
        <v>1</v>
      </c>
      <c r="V373" s="25">
        <v>2050</v>
      </c>
      <c r="W373" s="24">
        <v>1</v>
      </c>
      <c r="X373" s="24">
        <v>106610</v>
      </c>
      <c r="Y373" s="24">
        <v>0</v>
      </c>
      <c r="Z373" s="24">
        <v>1000</v>
      </c>
      <c r="AB373" s="24">
        <v>30001</v>
      </c>
      <c r="AC373" s="24">
        <v>-1</v>
      </c>
      <c r="AD373" s="24">
        <v>-1</v>
      </c>
      <c r="AE373" s="24">
        <v>-1</v>
      </c>
      <c r="AF373" s="24">
        <v>0</v>
      </c>
      <c r="AH373" s="24">
        <v>1</v>
      </c>
      <c r="AI373" s="24">
        <v>0</v>
      </c>
      <c r="AJ373" s="24">
        <v>0</v>
      </c>
      <c r="AK373" s="24">
        <v>0</v>
      </c>
      <c r="AL373" s="24">
        <v>0</v>
      </c>
      <c r="AM373" s="24">
        <v>0</v>
      </c>
      <c r="AN373" s="24">
        <v>0</v>
      </c>
      <c r="AO373" s="24">
        <v>0</v>
      </c>
      <c r="AP373" s="24">
        <v>0</v>
      </c>
      <c r="AQ373" s="24">
        <v>0</v>
      </c>
      <c r="AR373" s="24">
        <v>0</v>
      </c>
      <c r="AS373" s="24">
        <v>0</v>
      </c>
      <c r="AT373" s="24">
        <v>0</v>
      </c>
      <c r="AU373" s="24">
        <v>0</v>
      </c>
      <c r="AV373" s="24">
        <v>0</v>
      </c>
      <c r="AW373" s="24">
        <v>0</v>
      </c>
      <c r="AX373" s="24">
        <v>0</v>
      </c>
      <c r="AY373" s="24">
        <v>0</v>
      </c>
      <c r="BB373" s="24">
        <v>0</v>
      </c>
      <c r="BC373" s="24">
        <v>0</v>
      </c>
      <c r="BD373" s="24">
        <v>0</v>
      </c>
      <c r="BE373" s="24">
        <v>200</v>
      </c>
      <c r="BF373" s="24">
        <v>1</v>
      </c>
      <c r="BG373" s="25">
        <v>1024</v>
      </c>
      <c r="BH373" s="24">
        <v>4</v>
      </c>
      <c r="BI373" s="24">
        <v>106611</v>
      </c>
      <c r="BJ373" s="24">
        <v>1</v>
      </c>
      <c r="BK373" s="24">
        <v>1</v>
      </c>
      <c r="BL373" s="25">
        <v>126</v>
      </c>
      <c r="BM373" s="24">
        <v>0</v>
      </c>
      <c r="BO373" s="24">
        <v>0</v>
      </c>
      <c r="BP373" s="25">
        <v>2</v>
      </c>
      <c r="BQ373" s="24">
        <v>0</v>
      </c>
      <c r="BR373" s="24">
        <v>1</v>
      </c>
      <c r="BS373" s="24">
        <v>0</v>
      </c>
      <c r="BT373" s="24">
        <v>0</v>
      </c>
      <c r="BU373" s="24">
        <v>0</v>
      </c>
      <c r="BV373" s="24">
        <v>6</v>
      </c>
      <c r="BW373" s="24">
        <v>0</v>
      </c>
      <c r="BX373" s="24">
        <v>1</v>
      </c>
      <c r="CA373" s="24">
        <v>-1</v>
      </c>
      <c r="CB373" s="24">
        <v>0</v>
      </c>
      <c r="CC373" s="24">
        <v>0</v>
      </c>
      <c r="CD373" s="24">
        <v>0</v>
      </c>
      <c r="CE373" s="24">
        <v>0</v>
      </c>
      <c r="CF373" s="24">
        <v>0</v>
      </c>
      <c r="CG373" s="24">
        <v>-1</v>
      </c>
      <c r="CH373" s="24">
        <v>0</v>
      </c>
      <c r="CI373" s="24">
        <v>0</v>
      </c>
      <c r="CJ373" s="24">
        <v>0</v>
      </c>
      <c r="CK373" s="24">
        <v>0</v>
      </c>
      <c r="CL373" s="24">
        <v>0</v>
      </c>
      <c r="CM373" s="24">
        <v>0</v>
      </c>
      <c r="CN373" s="24">
        <v>0</v>
      </c>
      <c r="CO373" s="24">
        <v>0</v>
      </c>
      <c r="CQ373" s="24">
        <v>0</v>
      </c>
      <c r="CR373" s="24">
        <v>0</v>
      </c>
      <c r="CS373" s="24">
        <v>0</v>
      </c>
      <c r="CT373" s="24">
        <v>0</v>
      </c>
      <c r="CV373" s="24">
        <v>0</v>
      </c>
      <c r="CW373" s="24">
        <v>0</v>
      </c>
      <c r="CX373" s="24">
        <v>-1</v>
      </c>
      <c r="CY373" s="26">
        <v>1</v>
      </c>
      <c r="CZ373" s="24">
        <v>1</v>
      </c>
      <c r="DA373" s="24">
        <v>0</v>
      </c>
      <c r="DC373" s="24">
        <v>1</v>
      </c>
      <c r="DD373" s="24">
        <v>1</v>
      </c>
      <c r="DE373" s="24">
        <v>0</v>
      </c>
      <c r="DF373" s="24">
        <v>0</v>
      </c>
      <c r="DG373" s="24">
        <v>-1</v>
      </c>
      <c r="DI373" s="24">
        <v>0</v>
      </c>
      <c r="DJ373" s="24">
        <v>0</v>
      </c>
      <c r="DL373" s="24">
        <v>0</v>
      </c>
      <c r="DM373" s="24">
        <v>0</v>
      </c>
      <c r="DO373" s="24">
        <v>0</v>
      </c>
      <c r="DP373" s="24">
        <v>0</v>
      </c>
      <c r="DQ373" s="24">
        <v>0</v>
      </c>
      <c r="DR373" s="24">
        <v>0</v>
      </c>
      <c r="DS373" s="24">
        <v>0</v>
      </c>
      <c r="DT373" s="24">
        <v>0</v>
      </c>
      <c r="DV373" s="24">
        <v>0</v>
      </c>
      <c r="DW373" s="24">
        <v>0</v>
      </c>
      <c r="DX373" s="24">
        <v>0</v>
      </c>
      <c r="DY373" s="24">
        <v>0</v>
      </c>
      <c r="DZ373" s="24" t="s">
        <v>473</v>
      </c>
    </row>
    <row r="374" spans="1:130">
      <c r="E374" s="24">
        <v>106620</v>
      </c>
      <c r="F374" s="24" t="s">
        <v>981</v>
      </c>
      <c r="G374" s="24">
        <v>0</v>
      </c>
      <c r="H374" s="24">
        <v>0</v>
      </c>
      <c r="I374" s="24" t="s">
        <v>981</v>
      </c>
      <c r="J374" s="24" t="s">
        <v>981</v>
      </c>
      <c r="M374" s="24">
        <v>102</v>
      </c>
      <c r="N374" s="24">
        <v>0</v>
      </c>
      <c r="P374" s="25">
        <v>2</v>
      </c>
      <c r="Q374" s="25">
        <v>524544</v>
      </c>
      <c r="R374" s="24">
        <v>0</v>
      </c>
      <c r="S374" s="25">
        <v>6</v>
      </c>
      <c r="T374" s="24"/>
      <c r="U374" s="24">
        <v>0</v>
      </c>
      <c r="V374" s="25">
        <v>0</v>
      </c>
      <c r="W374" s="24">
        <v>0</v>
      </c>
      <c r="X374" s="24">
        <v>0</v>
      </c>
      <c r="Y374" s="24">
        <v>0</v>
      </c>
      <c r="Z374" s="24">
        <v>0</v>
      </c>
      <c r="AB374" s="24">
        <v>10001</v>
      </c>
      <c r="AC374" s="24">
        <v>-1</v>
      </c>
      <c r="AD374" s="24">
        <v>-1</v>
      </c>
      <c r="AE374" s="24">
        <v>-1</v>
      </c>
      <c r="AF374" s="24">
        <v>0</v>
      </c>
      <c r="AH374" s="24">
        <v>1</v>
      </c>
      <c r="AI374" s="24">
        <v>0</v>
      </c>
      <c r="AJ374" s="24">
        <v>0</v>
      </c>
      <c r="AK374" s="24">
        <v>0</v>
      </c>
      <c r="AL374" s="24">
        <v>0</v>
      </c>
      <c r="AM374" s="24">
        <v>0</v>
      </c>
      <c r="AN374" s="24">
        <v>0</v>
      </c>
      <c r="AO374" s="24">
        <v>0</v>
      </c>
      <c r="AP374" s="24">
        <v>0</v>
      </c>
      <c r="AQ374" s="24">
        <v>0</v>
      </c>
      <c r="AR374" s="24">
        <v>0</v>
      </c>
      <c r="AS374" s="24">
        <v>0</v>
      </c>
      <c r="AT374" s="24">
        <v>0</v>
      </c>
      <c r="AU374" s="24">
        <v>0</v>
      </c>
      <c r="AV374" s="24">
        <v>0</v>
      </c>
      <c r="AW374" s="24">
        <v>0</v>
      </c>
      <c r="AX374" s="24">
        <v>0</v>
      </c>
      <c r="AY374" s="24">
        <v>0</v>
      </c>
      <c r="BB374" s="24">
        <v>0</v>
      </c>
      <c r="BC374" s="24">
        <v>100</v>
      </c>
      <c r="BD374" s="24">
        <v>0</v>
      </c>
      <c r="BE374" s="24">
        <v>200</v>
      </c>
      <c r="BF374" s="24">
        <v>1</v>
      </c>
      <c r="BG374" s="25">
        <v>1</v>
      </c>
      <c r="BH374" s="24">
        <v>1</v>
      </c>
      <c r="BI374" s="24">
        <v>0</v>
      </c>
      <c r="BJ374" s="24">
        <v>0</v>
      </c>
      <c r="BK374" s="24">
        <v>0</v>
      </c>
      <c r="BL374" s="25">
        <v>126</v>
      </c>
      <c r="BM374" s="24">
        <v>0</v>
      </c>
      <c r="BO374" s="24">
        <v>0</v>
      </c>
      <c r="BP374" s="25">
        <v>2</v>
      </c>
      <c r="BQ374" s="24">
        <v>40</v>
      </c>
      <c r="BR374" s="24">
        <v>1</v>
      </c>
      <c r="BS374" s="24">
        <v>0</v>
      </c>
      <c r="BT374" s="24">
        <v>0</v>
      </c>
      <c r="BU374" s="24">
        <v>0</v>
      </c>
      <c r="BV374" s="24">
        <v>6</v>
      </c>
      <c r="BW374" s="24">
        <v>0</v>
      </c>
      <c r="BX374" s="24">
        <v>1</v>
      </c>
      <c r="CA374" s="24">
        <v>5001</v>
      </c>
      <c r="CB374" s="24">
        <v>0</v>
      </c>
      <c r="CC374" s="24">
        <v>0</v>
      </c>
      <c r="CD374" s="24">
        <v>0</v>
      </c>
      <c r="CE374" s="24">
        <v>0</v>
      </c>
      <c r="CF374" s="24">
        <v>0</v>
      </c>
      <c r="CG374" s="24">
        <v>-1</v>
      </c>
      <c r="CH374" s="24">
        <v>0</v>
      </c>
      <c r="CI374" s="24">
        <v>0</v>
      </c>
      <c r="CJ374" s="24">
        <v>0</v>
      </c>
      <c r="CK374" s="24">
        <v>0</v>
      </c>
      <c r="CL374" s="24">
        <v>0</v>
      </c>
      <c r="CM374" s="24">
        <v>0</v>
      </c>
      <c r="CN374" s="24">
        <v>0</v>
      </c>
      <c r="CO374" s="24">
        <v>0</v>
      </c>
      <c r="CQ374" s="24">
        <v>0</v>
      </c>
      <c r="CR374" s="24">
        <v>0</v>
      </c>
      <c r="CS374" s="24">
        <v>0</v>
      </c>
      <c r="CT374" s="24">
        <v>0</v>
      </c>
      <c r="CV374" s="24">
        <v>1026</v>
      </c>
      <c r="CW374" s="24">
        <v>6</v>
      </c>
      <c r="CX374" s="24">
        <v>-1</v>
      </c>
      <c r="CY374" s="26">
        <v>1</v>
      </c>
      <c r="CZ374" s="24">
        <v>1</v>
      </c>
      <c r="DA374" s="24">
        <v>0</v>
      </c>
      <c r="DC374" s="24">
        <v>2</v>
      </c>
      <c r="DD374" s="24">
        <v>1</v>
      </c>
      <c r="DE374" s="24">
        <v>0</v>
      </c>
      <c r="DF374" s="24">
        <v>0</v>
      </c>
      <c r="DG374" s="24">
        <v>-1</v>
      </c>
      <c r="DI374" s="24">
        <v>0</v>
      </c>
      <c r="DJ374" s="24">
        <v>0</v>
      </c>
      <c r="DL374" s="24">
        <v>0</v>
      </c>
      <c r="DM374" s="24">
        <v>0</v>
      </c>
      <c r="DO374" s="24">
        <v>0</v>
      </c>
      <c r="DP374" s="24">
        <v>0</v>
      </c>
      <c r="DQ374" s="24">
        <v>0</v>
      </c>
      <c r="DR374" s="24">
        <v>0</v>
      </c>
      <c r="DS374" s="24">
        <v>0</v>
      </c>
      <c r="DT374" s="24">
        <v>0</v>
      </c>
      <c r="DV374" s="24">
        <v>0</v>
      </c>
      <c r="DW374" s="24">
        <v>0</v>
      </c>
      <c r="DX374" s="24">
        <v>0</v>
      </c>
      <c r="DY374" s="24">
        <v>0</v>
      </c>
      <c r="DZ374" s="24" t="s">
        <v>473</v>
      </c>
    </row>
    <row r="375" spans="1:130">
      <c r="E375" s="24">
        <v>106621</v>
      </c>
      <c r="F375" s="24" t="s">
        <v>982</v>
      </c>
      <c r="G375" s="24">
        <v>0</v>
      </c>
      <c r="H375" s="24">
        <v>0</v>
      </c>
      <c r="I375" s="24" t="s">
        <v>982</v>
      </c>
      <c r="J375" s="24" t="s">
        <v>982</v>
      </c>
      <c r="M375" s="24">
        <v>0</v>
      </c>
      <c r="N375" s="24">
        <v>0</v>
      </c>
      <c r="P375" s="25">
        <v>12</v>
      </c>
      <c r="Q375" s="25">
        <v>0</v>
      </c>
      <c r="R375" s="24">
        <v>106620</v>
      </c>
      <c r="S375" s="25">
        <v>0</v>
      </c>
      <c r="T375" s="24"/>
      <c r="U375" s="24">
        <v>1</v>
      </c>
      <c r="V375" s="25">
        <v>2050</v>
      </c>
      <c r="W375" s="24">
        <v>1</v>
      </c>
      <c r="X375" s="24">
        <v>106620</v>
      </c>
      <c r="Y375" s="24">
        <v>0</v>
      </c>
      <c r="Z375" s="24">
        <v>1000</v>
      </c>
      <c r="AB375" s="24">
        <v>30001</v>
      </c>
      <c r="AC375" s="24">
        <v>-1</v>
      </c>
      <c r="AD375" s="24">
        <v>-1</v>
      </c>
      <c r="AE375" s="24">
        <v>-1</v>
      </c>
      <c r="AF375" s="24">
        <v>0</v>
      </c>
      <c r="AH375" s="24">
        <v>1</v>
      </c>
      <c r="AI375" s="24">
        <v>0</v>
      </c>
      <c r="AJ375" s="24">
        <v>0</v>
      </c>
      <c r="AK375" s="24">
        <v>0</v>
      </c>
      <c r="AL375" s="24">
        <v>0</v>
      </c>
      <c r="AM375" s="24">
        <v>0</v>
      </c>
      <c r="AN375" s="24">
        <v>0</v>
      </c>
      <c r="AO375" s="24">
        <v>0</v>
      </c>
      <c r="AP375" s="24">
        <v>0</v>
      </c>
      <c r="AQ375" s="24">
        <v>0</v>
      </c>
      <c r="AR375" s="24">
        <v>0</v>
      </c>
      <c r="AS375" s="24">
        <v>0</v>
      </c>
      <c r="AT375" s="24">
        <v>0</v>
      </c>
      <c r="AU375" s="24">
        <v>0</v>
      </c>
      <c r="AV375" s="24">
        <v>0</v>
      </c>
      <c r="AW375" s="24">
        <v>0</v>
      </c>
      <c r="AX375" s="24">
        <v>0</v>
      </c>
      <c r="AY375" s="24">
        <v>0</v>
      </c>
      <c r="BB375" s="24">
        <v>0</v>
      </c>
      <c r="BC375" s="24">
        <v>0</v>
      </c>
      <c r="BD375" s="24">
        <v>0</v>
      </c>
      <c r="BE375" s="24">
        <v>0</v>
      </c>
      <c r="BF375" s="24">
        <v>1</v>
      </c>
      <c r="BG375" s="25">
        <v>512</v>
      </c>
      <c r="BH375" s="24">
        <v>4</v>
      </c>
      <c r="BI375" s="24">
        <v>106621</v>
      </c>
      <c r="BJ375" s="24">
        <v>1</v>
      </c>
      <c r="BK375" s="24">
        <v>1</v>
      </c>
      <c r="BL375" s="25">
        <v>126</v>
      </c>
      <c r="BM375" s="24">
        <v>0</v>
      </c>
      <c r="BO375" s="24">
        <v>0</v>
      </c>
      <c r="BP375" s="25">
        <v>1</v>
      </c>
      <c r="BQ375" s="24">
        <v>0</v>
      </c>
      <c r="BR375" s="24">
        <v>1</v>
      </c>
      <c r="BS375" s="24">
        <v>0</v>
      </c>
      <c r="BT375" s="24">
        <v>0</v>
      </c>
      <c r="BU375" s="24">
        <v>0</v>
      </c>
      <c r="BV375" s="24">
        <v>0</v>
      </c>
      <c r="BW375" s="24">
        <v>0</v>
      </c>
      <c r="BX375" s="24">
        <v>1</v>
      </c>
      <c r="CA375" s="24">
        <v>-1</v>
      </c>
      <c r="CB375" s="24">
        <v>0</v>
      </c>
      <c r="CC375" s="24">
        <v>0</v>
      </c>
      <c r="CD375" s="24">
        <v>0</v>
      </c>
      <c r="CE375" s="24">
        <v>0</v>
      </c>
      <c r="CF375" s="24">
        <v>0</v>
      </c>
      <c r="CG375" s="24">
        <v>-1</v>
      </c>
      <c r="CH375" s="24">
        <v>0</v>
      </c>
      <c r="CI375" s="24">
        <v>0</v>
      </c>
      <c r="CJ375" s="24">
        <v>0</v>
      </c>
      <c r="CK375" s="24">
        <v>0</v>
      </c>
      <c r="CL375" s="24">
        <v>0</v>
      </c>
      <c r="CM375" s="24">
        <v>0</v>
      </c>
      <c r="CN375" s="24">
        <v>0</v>
      </c>
      <c r="CO375" s="24">
        <v>0</v>
      </c>
      <c r="CQ375" s="24">
        <v>0</v>
      </c>
      <c r="CR375" s="24">
        <v>0</v>
      </c>
      <c r="CS375" s="24">
        <v>0</v>
      </c>
      <c r="CT375" s="24">
        <v>0</v>
      </c>
      <c r="CV375" s="24">
        <v>0</v>
      </c>
      <c r="CW375" s="24">
        <v>0</v>
      </c>
      <c r="CX375" s="24">
        <v>-1</v>
      </c>
      <c r="CY375" s="26">
        <v>1</v>
      </c>
      <c r="CZ375" s="24">
        <v>1</v>
      </c>
      <c r="DA375" s="24">
        <v>0</v>
      </c>
      <c r="DC375" s="24">
        <v>0</v>
      </c>
      <c r="DD375" s="24">
        <v>0</v>
      </c>
      <c r="DE375" s="24">
        <v>0</v>
      </c>
      <c r="DF375" s="24">
        <v>0</v>
      </c>
      <c r="DG375" s="24">
        <v>-1</v>
      </c>
      <c r="DI375" s="24">
        <v>0</v>
      </c>
      <c r="DJ375" s="24">
        <v>0</v>
      </c>
      <c r="DL375" s="24">
        <v>0</v>
      </c>
      <c r="DM375" s="24">
        <v>0</v>
      </c>
      <c r="DO375" s="24">
        <v>0</v>
      </c>
      <c r="DP375" s="24">
        <v>0</v>
      </c>
      <c r="DQ375" s="24">
        <v>0</v>
      </c>
      <c r="DR375" s="24">
        <v>0</v>
      </c>
      <c r="DS375" s="24">
        <v>0</v>
      </c>
      <c r="DT375" s="24">
        <v>0</v>
      </c>
      <c r="DV375" s="24">
        <v>0</v>
      </c>
      <c r="DW375" s="24">
        <v>0</v>
      </c>
      <c r="DX375" s="24">
        <v>0</v>
      </c>
      <c r="DY375" s="24">
        <v>0</v>
      </c>
      <c r="DZ375" s="24" t="s">
        <v>473</v>
      </c>
    </row>
    <row r="376" spans="1:130">
      <c r="E376" s="24">
        <v>106630</v>
      </c>
      <c r="F376" s="24" t="s">
        <v>983</v>
      </c>
      <c r="G376" s="24">
        <v>0</v>
      </c>
      <c r="H376" s="24">
        <v>0</v>
      </c>
      <c r="I376" s="24" t="s">
        <v>983</v>
      </c>
      <c r="J376" s="24" t="s">
        <v>984</v>
      </c>
      <c r="M376" s="24">
        <v>102</v>
      </c>
      <c r="N376" s="24">
        <v>0</v>
      </c>
      <c r="P376" s="25">
        <v>2</v>
      </c>
      <c r="Q376" s="25">
        <v>524288</v>
      </c>
      <c r="R376" s="24">
        <v>0</v>
      </c>
      <c r="S376" s="25">
        <v>260</v>
      </c>
      <c r="T376" s="24"/>
      <c r="U376" s="24">
        <v>0</v>
      </c>
      <c r="V376" s="25">
        <v>0</v>
      </c>
      <c r="W376" s="24">
        <v>0</v>
      </c>
      <c r="X376" s="24">
        <v>0</v>
      </c>
      <c r="Y376" s="24">
        <v>0</v>
      </c>
      <c r="Z376" s="24">
        <v>0</v>
      </c>
      <c r="AB376" s="24">
        <v>10001</v>
      </c>
      <c r="AC376" s="24">
        <v>-1</v>
      </c>
      <c r="AD376" s="24">
        <v>-1</v>
      </c>
      <c r="AE376" s="24">
        <v>-1</v>
      </c>
      <c r="AF376" s="24">
        <v>0</v>
      </c>
      <c r="AH376" s="24">
        <v>1</v>
      </c>
      <c r="AI376" s="24">
        <v>0</v>
      </c>
      <c r="AJ376" s="24">
        <v>0</v>
      </c>
      <c r="AK376" s="24">
        <v>0</v>
      </c>
      <c r="AL376" s="24">
        <v>0</v>
      </c>
      <c r="AM376" s="24">
        <v>0</v>
      </c>
      <c r="AN376" s="24">
        <v>0</v>
      </c>
      <c r="AO376" s="24">
        <v>0</v>
      </c>
      <c r="AP376" s="24">
        <v>0</v>
      </c>
      <c r="AQ376" s="24">
        <v>0</v>
      </c>
      <c r="AR376" s="24">
        <v>0</v>
      </c>
      <c r="AS376" s="24">
        <v>0</v>
      </c>
      <c r="AT376" s="24">
        <v>0</v>
      </c>
      <c r="AU376" s="24">
        <v>0</v>
      </c>
      <c r="AV376" s="24">
        <v>0</v>
      </c>
      <c r="AW376" s="24">
        <v>0</v>
      </c>
      <c r="AX376" s="24">
        <v>0</v>
      </c>
      <c r="AY376" s="24">
        <v>0</v>
      </c>
      <c r="BB376" s="24">
        <v>0</v>
      </c>
      <c r="BC376" s="24">
        <v>100</v>
      </c>
      <c r="BD376" s="24">
        <v>0</v>
      </c>
      <c r="BE376" s="24">
        <v>200</v>
      </c>
      <c r="BF376" s="24">
        <v>1</v>
      </c>
      <c r="BG376" s="25">
        <v>17</v>
      </c>
      <c r="BH376" s="24">
        <v>1</v>
      </c>
      <c r="BI376" s="24">
        <v>0</v>
      </c>
      <c r="BJ376" s="24">
        <v>0</v>
      </c>
      <c r="BK376" s="24">
        <v>0</v>
      </c>
      <c r="BL376" s="25">
        <v>126</v>
      </c>
      <c r="BM376" s="24">
        <v>0</v>
      </c>
      <c r="BO376" s="24">
        <v>0</v>
      </c>
      <c r="BP376" s="25">
        <v>2</v>
      </c>
      <c r="BQ376" s="24">
        <v>40</v>
      </c>
      <c r="BR376" s="24">
        <v>1</v>
      </c>
      <c r="BS376" s="24">
        <v>0</v>
      </c>
      <c r="BT376" s="24">
        <v>0</v>
      </c>
      <c r="BU376" s="24">
        <v>0</v>
      </c>
      <c r="BV376" s="24">
        <v>6</v>
      </c>
      <c r="BW376" s="24">
        <v>0</v>
      </c>
      <c r="BX376" s="24">
        <v>1</v>
      </c>
      <c r="CA376" s="24">
        <v>5001</v>
      </c>
      <c r="CB376" s="24">
        <v>0</v>
      </c>
      <c r="CC376" s="24">
        <v>0</v>
      </c>
      <c r="CD376" s="24">
        <v>0</v>
      </c>
      <c r="CE376" s="24">
        <v>0</v>
      </c>
      <c r="CF376" s="24">
        <v>0</v>
      </c>
      <c r="CG376" s="24">
        <v>-1</v>
      </c>
      <c r="CH376" s="24">
        <v>0</v>
      </c>
      <c r="CI376" s="24">
        <v>0</v>
      </c>
      <c r="CJ376" s="24">
        <v>0</v>
      </c>
      <c r="CK376" s="24">
        <v>0</v>
      </c>
      <c r="CL376" s="24">
        <v>0</v>
      </c>
      <c r="CM376" s="24">
        <v>0</v>
      </c>
      <c r="CN376" s="24">
        <v>0</v>
      </c>
      <c r="CO376" s="24">
        <v>0</v>
      </c>
      <c r="CQ376" s="24">
        <v>0</v>
      </c>
      <c r="CR376" s="24">
        <v>0</v>
      </c>
      <c r="CS376" s="24">
        <v>0</v>
      </c>
      <c r="CT376" s="24">
        <v>0</v>
      </c>
      <c r="CV376" s="24">
        <v>1034</v>
      </c>
      <c r="CW376" s="24">
        <v>6</v>
      </c>
      <c r="CX376" s="24">
        <v>-1</v>
      </c>
      <c r="CY376" s="26">
        <v>1</v>
      </c>
      <c r="CZ376" s="24">
        <v>1</v>
      </c>
      <c r="DA376" s="24">
        <v>0</v>
      </c>
      <c r="DC376" s="24">
        <v>2</v>
      </c>
      <c r="DD376" s="24">
        <v>1</v>
      </c>
      <c r="DE376" s="24">
        <v>0</v>
      </c>
      <c r="DF376" s="24">
        <v>0</v>
      </c>
      <c r="DG376" s="24">
        <v>-1</v>
      </c>
      <c r="DI376" s="24">
        <v>0</v>
      </c>
      <c r="DJ376" s="24">
        <v>0</v>
      </c>
      <c r="DL376" s="24">
        <v>0</v>
      </c>
      <c r="DM376" s="24">
        <v>0</v>
      </c>
      <c r="DO376" s="24">
        <v>0</v>
      </c>
      <c r="DP376" s="24">
        <v>0</v>
      </c>
      <c r="DQ376" s="24">
        <v>0</v>
      </c>
      <c r="DR376" s="24">
        <v>0</v>
      </c>
      <c r="DS376" s="24">
        <v>0</v>
      </c>
      <c r="DT376" s="24">
        <v>0</v>
      </c>
      <c r="DV376" s="24">
        <v>0</v>
      </c>
      <c r="DW376" s="24">
        <v>0</v>
      </c>
      <c r="DX376" s="24">
        <v>0</v>
      </c>
      <c r="DY376" s="24">
        <v>0</v>
      </c>
      <c r="DZ376" s="24" t="s">
        <v>473</v>
      </c>
    </row>
    <row r="377" spans="1:130">
      <c r="E377" s="24">
        <v>106631</v>
      </c>
      <c r="F377" s="24" t="s">
        <v>985</v>
      </c>
      <c r="G377" s="24">
        <v>0</v>
      </c>
      <c r="H377" s="24">
        <v>0</v>
      </c>
      <c r="I377" s="24" t="s">
        <v>985</v>
      </c>
      <c r="J377" s="24" t="s">
        <v>985</v>
      </c>
      <c r="M377" s="24">
        <v>0</v>
      </c>
      <c r="N377" s="24">
        <v>0</v>
      </c>
      <c r="P377" s="25">
        <v>12</v>
      </c>
      <c r="Q377" s="25">
        <v>0</v>
      </c>
      <c r="R377" s="24">
        <v>106630</v>
      </c>
      <c r="S377" s="25">
        <v>0</v>
      </c>
      <c r="T377" s="24"/>
      <c r="U377" s="24">
        <v>1</v>
      </c>
      <c r="V377" s="25">
        <v>2050</v>
      </c>
      <c r="W377" s="24">
        <v>1</v>
      </c>
      <c r="X377" s="24">
        <v>106630</v>
      </c>
      <c r="Y377" s="24">
        <v>0</v>
      </c>
      <c r="Z377" s="24">
        <v>1000</v>
      </c>
      <c r="AB377" s="24">
        <v>30001</v>
      </c>
      <c r="AC377" s="24">
        <v>-1</v>
      </c>
      <c r="AD377" s="24">
        <v>-1</v>
      </c>
      <c r="AE377" s="24">
        <v>-1</v>
      </c>
      <c r="AF377" s="24">
        <v>0</v>
      </c>
      <c r="AH377" s="24">
        <v>1</v>
      </c>
      <c r="AI377" s="24">
        <v>0</v>
      </c>
      <c r="AJ377" s="24">
        <v>0</v>
      </c>
      <c r="AK377" s="24">
        <v>0</v>
      </c>
      <c r="AL377" s="24">
        <v>0</v>
      </c>
      <c r="AM377" s="24">
        <v>0</v>
      </c>
      <c r="AN377" s="24">
        <v>0</v>
      </c>
      <c r="AO377" s="24">
        <v>0</v>
      </c>
      <c r="AP377" s="24">
        <v>0</v>
      </c>
      <c r="AQ377" s="24">
        <v>0</v>
      </c>
      <c r="AR377" s="24">
        <v>0</v>
      </c>
      <c r="AS377" s="24">
        <v>0</v>
      </c>
      <c r="AT377" s="24">
        <v>0</v>
      </c>
      <c r="AU377" s="24">
        <v>0</v>
      </c>
      <c r="AV377" s="24">
        <v>0</v>
      </c>
      <c r="AW377" s="24">
        <v>0</v>
      </c>
      <c r="AX377" s="24">
        <v>0</v>
      </c>
      <c r="AY377" s="24">
        <v>0</v>
      </c>
      <c r="BB377" s="24">
        <v>0</v>
      </c>
      <c r="BC377" s="24">
        <v>0</v>
      </c>
      <c r="BD377" s="24">
        <v>0</v>
      </c>
      <c r="BE377" s="24">
        <v>0</v>
      </c>
      <c r="BF377" s="24">
        <v>1</v>
      </c>
      <c r="BG377" s="25">
        <v>512</v>
      </c>
      <c r="BH377" s="24">
        <v>11</v>
      </c>
      <c r="BI377" s="24">
        <v>5001</v>
      </c>
      <c r="BJ377" s="24">
        <v>20001</v>
      </c>
      <c r="BK377" s="24">
        <v>0</v>
      </c>
      <c r="BL377" s="25">
        <v>126</v>
      </c>
      <c r="BM377" s="24">
        <v>0</v>
      </c>
      <c r="BO377" s="24">
        <v>0</v>
      </c>
      <c r="BP377" s="25">
        <v>1</v>
      </c>
      <c r="BQ377" s="24">
        <v>0</v>
      </c>
      <c r="BR377" s="24">
        <v>1</v>
      </c>
      <c r="BS377" s="24">
        <v>0</v>
      </c>
      <c r="BT377" s="24">
        <v>0</v>
      </c>
      <c r="BU377" s="24">
        <v>0</v>
      </c>
      <c r="BV377" s="24">
        <v>0</v>
      </c>
      <c r="BW377" s="24">
        <v>0</v>
      </c>
      <c r="BX377" s="24">
        <v>1</v>
      </c>
      <c r="CA377" s="24">
        <v>-1</v>
      </c>
      <c r="CB377" s="24">
        <v>0</v>
      </c>
      <c r="CC377" s="24">
        <v>0</v>
      </c>
      <c r="CD377" s="24">
        <v>0</v>
      </c>
      <c r="CE377" s="24">
        <v>0</v>
      </c>
      <c r="CF377" s="24">
        <v>0</v>
      </c>
      <c r="CG377" s="24">
        <v>-1</v>
      </c>
      <c r="CH377" s="24">
        <v>0</v>
      </c>
      <c r="CI377" s="24">
        <v>0</v>
      </c>
      <c r="CJ377" s="24">
        <v>0</v>
      </c>
      <c r="CK377" s="24">
        <v>0</v>
      </c>
      <c r="CL377" s="24">
        <v>0</v>
      </c>
      <c r="CM377" s="24">
        <v>0</v>
      </c>
      <c r="CN377" s="24">
        <v>0</v>
      </c>
      <c r="CO377" s="24">
        <v>0</v>
      </c>
      <c r="CQ377" s="24">
        <v>0</v>
      </c>
      <c r="CR377" s="24">
        <v>0</v>
      </c>
      <c r="CS377" s="24">
        <v>0</v>
      </c>
      <c r="CT377" s="24">
        <v>0</v>
      </c>
      <c r="CV377" s="24">
        <v>0</v>
      </c>
      <c r="CW377" s="24">
        <v>0</v>
      </c>
      <c r="CX377" s="24">
        <v>-1</v>
      </c>
      <c r="CY377" s="26">
        <v>1</v>
      </c>
      <c r="CZ377" s="24">
        <v>1</v>
      </c>
      <c r="DA377" s="24">
        <v>0</v>
      </c>
      <c r="DC377" s="24">
        <v>0</v>
      </c>
      <c r="DD377" s="24">
        <v>0</v>
      </c>
      <c r="DE377" s="24">
        <v>0</v>
      </c>
      <c r="DF377" s="24">
        <v>0</v>
      </c>
      <c r="DG377" s="24">
        <v>-1</v>
      </c>
      <c r="DI377" s="24">
        <v>0</v>
      </c>
      <c r="DJ377" s="24">
        <v>0</v>
      </c>
      <c r="DL377" s="24">
        <v>0</v>
      </c>
      <c r="DM377" s="24">
        <v>0</v>
      </c>
      <c r="DO377" s="24">
        <v>0</v>
      </c>
      <c r="DP377" s="24">
        <v>0</v>
      </c>
      <c r="DQ377" s="24">
        <v>0</v>
      </c>
      <c r="DR377" s="24">
        <v>0</v>
      </c>
      <c r="DS377" s="24">
        <v>0</v>
      </c>
      <c r="DT377" s="24">
        <v>0</v>
      </c>
      <c r="DV377" s="24">
        <v>0</v>
      </c>
      <c r="DW377" s="24">
        <v>0</v>
      </c>
      <c r="DX377" s="24">
        <v>0</v>
      </c>
      <c r="DY377" s="24">
        <v>0</v>
      </c>
      <c r="DZ377" s="24" t="s">
        <v>473</v>
      </c>
    </row>
    <row r="378" spans="1:130">
      <c r="E378" s="24">
        <v>106640</v>
      </c>
      <c r="F378" s="24" t="s">
        <v>986</v>
      </c>
      <c r="G378" s="24">
        <v>0</v>
      </c>
      <c r="H378" s="24">
        <v>0</v>
      </c>
      <c r="I378" s="24" t="s">
        <v>986</v>
      </c>
      <c r="J378" s="24" t="s">
        <v>986</v>
      </c>
      <c r="M378" s="24">
        <v>0</v>
      </c>
      <c r="N378" s="24">
        <v>0</v>
      </c>
      <c r="P378" s="25">
        <v>2</v>
      </c>
      <c r="Q378" s="25">
        <v>0</v>
      </c>
      <c r="R378" s="24">
        <v>0</v>
      </c>
      <c r="S378" s="25">
        <v>0</v>
      </c>
      <c r="T378" s="24"/>
      <c r="U378" s="24">
        <v>0</v>
      </c>
      <c r="V378" s="25">
        <v>0</v>
      </c>
      <c r="W378" s="24">
        <v>0</v>
      </c>
      <c r="X378" s="24">
        <v>0</v>
      </c>
      <c r="Y378" s="24">
        <v>0</v>
      </c>
      <c r="Z378" s="24">
        <v>0</v>
      </c>
      <c r="AB378" s="24">
        <v>10001</v>
      </c>
      <c r="AC378" s="24">
        <v>-1</v>
      </c>
      <c r="AD378" s="24">
        <v>-1</v>
      </c>
      <c r="AE378" s="24">
        <v>-1</v>
      </c>
      <c r="AF378" s="24">
        <v>0</v>
      </c>
      <c r="AH378" s="24">
        <v>1</v>
      </c>
      <c r="AI378" s="24">
        <v>0</v>
      </c>
      <c r="AJ378" s="24">
        <v>0</v>
      </c>
      <c r="AK378" s="24">
        <v>0</v>
      </c>
      <c r="AL378" s="24">
        <v>0</v>
      </c>
      <c r="AM378" s="24">
        <v>0</v>
      </c>
      <c r="AN378" s="24">
        <v>0</v>
      </c>
      <c r="AO378" s="24">
        <v>0</v>
      </c>
      <c r="AP378" s="24">
        <v>0</v>
      </c>
      <c r="AQ378" s="24">
        <v>0</v>
      </c>
      <c r="AR378" s="24">
        <v>0</v>
      </c>
      <c r="AS378" s="24">
        <v>0</v>
      </c>
      <c r="AT378" s="24">
        <v>0</v>
      </c>
      <c r="AU378" s="24">
        <v>0</v>
      </c>
      <c r="AV378" s="24">
        <v>0</v>
      </c>
      <c r="AW378" s="24">
        <v>0</v>
      </c>
      <c r="AX378" s="24">
        <v>0</v>
      </c>
      <c r="AY378" s="24">
        <v>0</v>
      </c>
      <c r="BB378" s="24">
        <v>0</v>
      </c>
      <c r="BC378" s="24">
        <v>100</v>
      </c>
      <c r="BD378" s="24">
        <v>0</v>
      </c>
      <c r="BE378" s="24">
        <v>200</v>
      </c>
      <c r="BF378" s="24">
        <v>1</v>
      </c>
      <c r="BG378" s="25">
        <v>4096</v>
      </c>
      <c r="BH378" s="24">
        <v>14</v>
      </c>
      <c r="BI378" s="24">
        <v>2</v>
      </c>
      <c r="BJ378" s="24">
        <v>100</v>
      </c>
      <c r="BK378" s="24">
        <v>100</v>
      </c>
      <c r="BL378" s="25">
        <v>126</v>
      </c>
      <c r="BM378" s="24">
        <v>0</v>
      </c>
      <c r="BO378" s="24">
        <v>0</v>
      </c>
      <c r="BP378" s="25">
        <v>1</v>
      </c>
      <c r="BQ378" s="24">
        <v>0</v>
      </c>
      <c r="BR378" s="24">
        <v>1</v>
      </c>
      <c r="BS378" s="24">
        <v>0</v>
      </c>
      <c r="BT378" s="24">
        <v>0</v>
      </c>
      <c r="BU378" s="24">
        <v>0</v>
      </c>
      <c r="BV378" s="24">
        <v>0</v>
      </c>
      <c r="BW378" s="24">
        <v>0</v>
      </c>
      <c r="BX378" s="24">
        <v>1</v>
      </c>
      <c r="CA378" s="24">
        <v>5001</v>
      </c>
      <c r="CB378" s="24">
        <v>0</v>
      </c>
      <c r="CC378" s="24">
        <v>0</v>
      </c>
      <c r="CD378" s="24">
        <v>0</v>
      </c>
      <c r="CE378" s="24">
        <v>0</v>
      </c>
      <c r="CF378" s="24">
        <v>0</v>
      </c>
      <c r="CG378" s="24">
        <v>-1</v>
      </c>
      <c r="CH378" s="24">
        <v>0</v>
      </c>
      <c r="CI378" s="24">
        <v>0</v>
      </c>
      <c r="CJ378" s="24">
        <v>0</v>
      </c>
      <c r="CK378" s="24">
        <v>0</v>
      </c>
      <c r="CL378" s="24">
        <v>0</v>
      </c>
      <c r="CM378" s="24">
        <v>0</v>
      </c>
      <c r="CN378" s="24">
        <v>0</v>
      </c>
      <c r="CO378" s="24">
        <v>0</v>
      </c>
      <c r="CQ378" s="24">
        <v>0</v>
      </c>
      <c r="CR378" s="24">
        <v>0</v>
      </c>
      <c r="CS378" s="24">
        <v>0</v>
      </c>
      <c r="CT378" s="24">
        <v>0</v>
      </c>
      <c r="CV378" s="24">
        <v>100804</v>
      </c>
      <c r="CW378" s="24">
        <v>6</v>
      </c>
      <c r="CX378" s="24">
        <v>-1</v>
      </c>
      <c r="CY378" s="26">
        <v>1</v>
      </c>
      <c r="CZ378" s="24">
        <v>1</v>
      </c>
      <c r="DA378" s="24">
        <v>0</v>
      </c>
      <c r="DC378" s="24">
        <v>0</v>
      </c>
      <c r="DD378" s="24">
        <v>0</v>
      </c>
      <c r="DE378" s="24">
        <v>0</v>
      </c>
      <c r="DF378" s="24">
        <v>0</v>
      </c>
      <c r="DG378" s="24">
        <v>-1</v>
      </c>
      <c r="DI378" s="24">
        <v>0</v>
      </c>
      <c r="DJ378" s="24">
        <v>0</v>
      </c>
      <c r="DL378" s="24">
        <v>0</v>
      </c>
      <c r="DM378" s="24">
        <v>0</v>
      </c>
      <c r="DO378" s="24">
        <v>0</v>
      </c>
      <c r="DP378" s="24">
        <v>0</v>
      </c>
      <c r="DQ378" s="24">
        <v>0</v>
      </c>
      <c r="DR378" s="24">
        <v>0</v>
      </c>
      <c r="DS378" s="24">
        <v>0</v>
      </c>
      <c r="DT378" s="24">
        <v>0</v>
      </c>
      <c r="DV378" s="24">
        <v>0</v>
      </c>
      <c r="DW378" s="24">
        <v>0</v>
      </c>
      <c r="DX378" s="24">
        <v>0</v>
      </c>
      <c r="DY378" s="24">
        <v>0</v>
      </c>
      <c r="DZ378" s="24" t="s">
        <v>473</v>
      </c>
    </row>
    <row r="379" spans="1:130">
      <c r="E379" s="24">
        <v>106641</v>
      </c>
      <c r="F379" s="24" t="s">
        <v>987</v>
      </c>
      <c r="G379" s="24">
        <v>0</v>
      </c>
      <c r="H379" s="24">
        <v>0</v>
      </c>
      <c r="I379" s="24" t="s">
        <v>987</v>
      </c>
      <c r="J379" s="24" t="s">
        <v>987</v>
      </c>
      <c r="M379" s="24">
        <v>0</v>
      </c>
      <c r="N379" s="24">
        <v>0</v>
      </c>
      <c r="P379" s="25">
        <v>12</v>
      </c>
      <c r="Q379" s="25">
        <v>0</v>
      </c>
      <c r="R379" s="24">
        <v>106640</v>
      </c>
      <c r="S379" s="25">
        <v>0</v>
      </c>
      <c r="T379" s="24"/>
      <c r="U379" s="24">
        <v>1</v>
      </c>
      <c r="V379" s="25">
        <v>2050</v>
      </c>
      <c r="W379" s="24">
        <v>1</v>
      </c>
      <c r="X379" s="24">
        <v>106641</v>
      </c>
      <c r="Y379" s="24">
        <v>0</v>
      </c>
      <c r="Z379" s="24">
        <v>1000</v>
      </c>
      <c r="AB379" s="24">
        <v>30001</v>
      </c>
      <c r="AC379" s="24">
        <v>-1</v>
      </c>
      <c r="AD379" s="24">
        <v>-1</v>
      </c>
      <c r="AE379" s="24">
        <v>-1</v>
      </c>
      <c r="AF379" s="24">
        <v>0</v>
      </c>
      <c r="AH379" s="24">
        <v>1</v>
      </c>
      <c r="AI379" s="24">
        <v>0</v>
      </c>
      <c r="AJ379" s="24">
        <v>0</v>
      </c>
      <c r="AK379" s="24">
        <v>0</v>
      </c>
      <c r="AL379" s="24">
        <v>0</v>
      </c>
      <c r="AM379" s="24">
        <v>0</v>
      </c>
      <c r="AN379" s="24">
        <v>0</v>
      </c>
      <c r="AO379" s="24">
        <v>0</v>
      </c>
      <c r="AP379" s="24">
        <v>0</v>
      </c>
      <c r="AQ379" s="24">
        <v>0</v>
      </c>
      <c r="AR379" s="24">
        <v>0</v>
      </c>
      <c r="AS379" s="24">
        <v>0</v>
      </c>
      <c r="AT379" s="24">
        <v>0</v>
      </c>
      <c r="AU379" s="24">
        <v>0</v>
      </c>
      <c r="AV379" s="24">
        <v>0</v>
      </c>
      <c r="AW379" s="24">
        <v>0</v>
      </c>
      <c r="AX379" s="24">
        <v>0</v>
      </c>
      <c r="AY379" s="24">
        <v>0</v>
      </c>
      <c r="BB379" s="24">
        <v>0</v>
      </c>
      <c r="BC379" s="24">
        <v>0</v>
      </c>
      <c r="BD379" s="24">
        <v>0</v>
      </c>
      <c r="BE379" s="24">
        <v>200</v>
      </c>
      <c r="BF379" s="24">
        <v>1</v>
      </c>
      <c r="BG379" s="25">
        <v>4096</v>
      </c>
      <c r="BH379" s="24">
        <v>4</v>
      </c>
      <c r="BI379" s="24">
        <v>106641</v>
      </c>
      <c r="BJ379" s="24">
        <v>1</v>
      </c>
      <c r="BK379" s="24">
        <v>1</v>
      </c>
      <c r="BL379" s="25">
        <v>126</v>
      </c>
      <c r="BM379" s="24">
        <v>0</v>
      </c>
      <c r="BO379" s="24">
        <v>0</v>
      </c>
      <c r="BP379" s="25">
        <v>1</v>
      </c>
      <c r="BQ379" s="24">
        <v>0</v>
      </c>
      <c r="BR379" s="24">
        <v>1</v>
      </c>
      <c r="BS379" s="24">
        <v>0</v>
      </c>
      <c r="BT379" s="24">
        <v>0</v>
      </c>
      <c r="BU379" s="24">
        <v>0</v>
      </c>
      <c r="BV379" s="24">
        <v>0</v>
      </c>
      <c r="BW379" s="24">
        <v>0</v>
      </c>
      <c r="BX379" s="24">
        <v>1</v>
      </c>
      <c r="CA379" s="24">
        <v>-1</v>
      </c>
      <c r="CB379" s="24">
        <v>0</v>
      </c>
      <c r="CC379" s="24">
        <v>0</v>
      </c>
      <c r="CD379" s="24">
        <v>0</v>
      </c>
      <c r="CE379" s="24">
        <v>0</v>
      </c>
      <c r="CF379" s="24">
        <v>0</v>
      </c>
      <c r="CG379" s="24">
        <v>-1</v>
      </c>
      <c r="CH379" s="24">
        <v>0</v>
      </c>
      <c r="CI379" s="24">
        <v>0</v>
      </c>
      <c r="CJ379" s="24">
        <v>0</v>
      </c>
      <c r="CK379" s="24">
        <v>0</v>
      </c>
      <c r="CL379" s="24">
        <v>0</v>
      </c>
      <c r="CM379" s="24">
        <v>0</v>
      </c>
      <c r="CN379" s="24">
        <v>0</v>
      </c>
      <c r="CO379" s="24">
        <v>0</v>
      </c>
      <c r="CQ379" s="24">
        <v>0</v>
      </c>
      <c r="CR379" s="24">
        <v>0</v>
      </c>
      <c r="CS379" s="24">
        <v>0</v>
      </c>
      <c r="CT379" s="24">
        <v>0</v>
      </c>
      <c r="CV379" s="24">
        <v>0</v>
      </c>
      <c r="CW379" s="24">
        <v>0</v>
      </c>
      <c r="CX379" s="24">
        <v>-1</v>
      </c>
      <c r="CY379" s="26">
        <v>1</v>
      </c>
      <c r="CZ379" s="24">
        <v>1</v>
      </c>
      <c r="DA379" s="24">
        <v>0</v>
      </c>
      <c r="DC379" s="24">
        <v>0</v>
      </c>
      <c r="DD379" s="24">
        <v>0</v>
      </c>
      <c r="DE379" s="24">
        <v>0</v>
      </c>
      <c r="DF379" s="24">
        <v>0</v>
      </c>
      <c r="DG379" s="24">
        <v>-1</v>
      </c>
      <c r="DI379" s="24">
        <v>0</v>
      </c>
      <c r="DJ379" s="24">
        <v>0</v>
      </c>
      <c r="DL379" s="24">
        <v>0</v>
      </c>
      <c r="DM379" s="24">
        <v>0</v>
      </c>
      <c r="DO379" s="24">
        <v>0</v>
      </c>
      <c r="DP379" s="24">
        <v>0</v>
      </c>
      <c r="DQ379" s="24">
        <v>0</v>
      </c>
      <c r="DR379" s="24">
        <v>0</v>
      </c>
      <c r="DS379" s="24">
        <v>0</v>
      </c>
      <c r="DT379" s="24">
        <v>0</v>
      </c>
      <c r="DV379" s="24">
        <v>0</v>
      </c>
      <c r="DW379" s="24">
        <v>0</v>
      </c>
      <c r="DX379" s="24">
        <v>0</v>
      </c>
      <c r="DY379" s="24">
        <v>0</v>
      </c>
      <c r="DZ379" s="24" t="s">
        <v>473</v>
      </c>
    </row>
    <row r="391" spans="7:130">
      <c r="G391" s="24" t="s">
        <v>639</v>
      </c>
      <c r="K391" s="24" t="s">
        <v>639</v>
      </c>
      <c r="S391" s="25"/>
      <c r="T391" s="24"/>
      <c r="CV391" s="24" t="s">
        <v>639</v>
      </c>
      <c r="DC391" s="24" t="s">
        <v>639</v>
      </c>
      <c r="DD391" s="24" t="s">
        <v>639</v>
      </c>
      <c r="DE391" s="24" t="s">
        <v>639</v>
      </c>
      <c r="DF391" s="24" t="s">
        <v>639</v>
      </c>
      <c r="DG391" s="24" t="s">
        <v>639</v>
      </c>
      <c r="DI391" s="24" t="s">
        <v>639</v>
      </c>
      <c r="DJ391" s="24" t="s">
        <v>639</v>
      </c>
      <c r="DL391" s="24" t="s">
        <v>639</v>
      </c>
      <c r="DM391" s="24" t="s">
        <v>639</v>
      </c>
      <c r="DO391" s="24" t="s">
        <v>639</v>
      </c>
      <c r="DP391" s="24" t="s">
        <v>639</v>
      </c>
      <c r="DQ391" s="24" t="s">
        <v>639</v>
      </c>
      <c r="DR391" s="24" t="s">
        <v>639</v>
      </c>
      <c r="DS391" s="24" t="s">
        <v>639</v>
      </c>
      <c r="DT391" s="24" t="s">
        <v>639</v>
      </c>
      <c r="DV391" s="24" t="s">
        <v>639</v>
      </c>
      <c r="DW391" s="24" t="s">
        <v>639</v>
      </c>
      <c r="DX391" s="24" t="s">
        <v>639</v>
      </c>
      <c r="DY391" s="24" t="s">
        <v>639</v>
      </c>
      <c r="DZ391" s="24" t="s">
        <v>639</v>
      </c>
    </row>
    <row r="392" spans="7:130">
      <c r="S392" s="25"/>
      <c r="T392" s="33"/>
    </row>
    <row r="393" spans="7:130">
      <c r="S393" s="25"/>
      <c r="T393" s="24"/>
    </row>
    <row r="394" spans="7:130">
      <c r="S394" s="25"/>
      <c r="T394" s="24"/>
    </row>
    <row r="395" spans="7:130">
      <c r="S395" s="25"/>
      <c r="T395" s="24"/>
    </row>
    <row r="396" spans="7:130">
      <c r="S396" s="25"/>
      <c r="T396" s="24"/>
    </row>
    <row r="397" spans="7:130">
      <c r="S397" s="25"/>
      <c r="T397" s="24"/>
    </row>
    <row r="398" spans="7:130">
      <c r="S398" s="25"/>
      <c r="T398" s="24"/>
    </row>
    <row r="399" spans="7:130">
      <c r="S399" s="25"/>
      <c r="T399" s="24"/>
    </row>
    <row r="400" spans="7:130">
      <c r="S400" s="25"/>
      <c r="T400" s="24"/>
    </row>
    <row r="401" spans="1:130">
      <c r="S401" s="25"/>
      <c r="T401" s="24"/>
    </row>
    <row r="402" spans="1:130">
      <c r="S402" s="25"/>
      <c r="T402" s="24"/>
    </row>
    <row r="403" spans="1:130">
      <c r="S403" s="25"/>
      <c r="T403" s="24"/>
    </row>
    <row r="404" spans="1:130">
      <c r="S404" s="25"/>
      <c r="T404" s="24"/>
    </row>
    <row r="405" spans="1:130" s="43" customFormat="1">
      <c r="A405" s="47"/>
      <c r="F405" s="47" t="s">
        <v>1126</v>
      </c>
      <c r="S405" s="44"/>
      <c r="T405" s="45"/>
      <c r="CY405" s="46"/>
    </row>
    <row r="406" spans="1:130">
      <c r="S406" s="25"/>
      <c r="T406" s="24"/>
    </row>
    <row r="407" spans="1:130">
      <c r="S407" s="25"/>
      <c r="T407" s="24"/>
    </row>
    <row r="408" spans="1:130">
      <c r="A408" s="24" t="s">
        <v>143</v>
      </c>
      <c r="B408" s="24" t="s">
        <v>143</v>
      </c>
      <c r="C408" s="24" t="s">
        <v>143</v>
      </c>
      <c r="D408" s="24" t="s">
        <v>143</v>
      </c>
      <c r="E408" s="24">
        <v>30001</v>
      </c>
      <c r="F408" s="24" t="s">
        <v>269</v>
      </c>
      <c r="G408" s="24">
        <v>0</v>
      </c>
      <c r="H408" s="24">
        <f t="shared" ref="H408" si="6">500000+E408</f>
        <v>530001</v>
      </c>
      <c r="I408" s="24" t="s">
        <v>269</v>
      </c>
      <c r="J408" s="24" t="s">
        <v>269</v>
      </c>
      <c r="K408" s="24">
        <v>0</v>
      </c>
      <c r="M408" s="24">
        <v>0</v>
      </c>
      <c r="N408" s="24">
        <v>0</v>
      </c>
      <c r="P408" s="25">
        <v>2</v>
      </c>
      <c r="Q408" s="25">
        <v>0</v>
      </c>
      <c r="R408" s="24">
        <v>0</v>
      </c>
      <c r="S408" s="25">
        <v>0</v>
      </c>
      <c r="T408" s="24"/>
      <c r="U408" s="24">
        <v>0</v>
      </c>
      <c r="V408" s="25">
        <v>0</v>
      </c>
      <c r="W408" s="24">
        <v>0</v>
      </c>
      <c r="X408" s="24">
        <v>0</v>
      </c>
      <c r="Y408" s="24">
        <v>0</v>
      </c>
      <c r="Z408" s="24">
        <v>0</v>
      </c>
      <c r="AB408" s="24">
        <v>10001</v>
      </c>
      <c r="AC408" s="24">
        <v>-1</v>
      </c>
      <c r="AD408" s="24">
        <v>-1</v>
      </c>
      <c r="AE408" s="24">
        <v>-1</v>
      </c>
      <c r="AG408" s="24">
        <v>2</v>
      </c>
      <c r="AH408" s="24">
        <v>0</v>
      </c>
      <c r="AI408" s="24">
        <v>0</v>
      </c>
      <c r="AJ408" s="24">
        <v>0</v>
      </c>
      <c r="AK408" s="24">
        <v>0</v>
      </c>
      <c r="AL408" s="24">
        <v>1</v>
      </c>
      <c r="AM408" s="24">
        <v>0</v>
      </c>
      <c r="AN408" s="24">
        <v>0</v>
      </c>
      <c r="AO408" s="24">
        <v>0</v>
      </c>
      <c r="AP408" s="24">
        <v>0</v>
      </c>
      <c r="AQ408" s="24">
        <v>0</v>
      </c>
      <c r="AR408" s="24">
        <v>0</v>
      </c>
      <c r="AS408" s="24">
        <v>0</v>
      </c>
      <c r="AT408" s="24">
        <v>0</v>
      </c>
      <c r="AU408" s="24">
        <v>0</v>
      </c>
      <c r="AV408" s="24">
        <v>0</v>
      </c>
      <c r="AW408" s="24">
        <v>0</v>
      </c>
      <c r="AX408" s="24">
        <v>0</v>
      </c>
      <c r="AY408" s="24">
        <v>0</v>
      </c>
      <c r="BA408" s="24">
        <v>500</v>
      </c>
      <c r="BB408" s="24">
        <v>500</v>
      </c>
      <c r="BC408" s="24">
        <v>2000</v>
      </c>
      <c r="BD408" s="24">
        <v>0</v>
      </c>
      <c r="BE408" s="24">
        <v>200</v>
      </c>
      <c r="BF408" s="24">
        <v>1</v>
      </c>
      <c r="BG408" s="25">
        <v>0</v>
      </c>
      <c r="BH408" s="24">
        <v>0</v>
      </c>
      <c r="BI408" s="24">
        <v>0</v>
      </c>
      <c r="BJ408" s="24">
        <v>0</v>
      </c>
      <c r="BK408" s="24">
        <v>0</v>
      </c>
      <c r="BL408" s="25">
        <v>126</v>
      </c>
      <c r="BM408" s="24">
        <v>0</v>
      </c>
      <c r="BO408" s="25">
        <v>16</v>
      </c>
      <c r="BP408" s="24">
        <v>5</v>
      </c>
      <c r="BQ408" s="24">
        <v>0</v>
      </c>
      <c r="BR408" s="24">
        <v>0</v>
      </c>
      <c r="BS408" s="24">
        <v>0</v>
      </c>
      <c r="BT408" s="24">
        <v>0</v>
      </c>
      <c r="BU408" s="24">
        <v>0</v>
      </c>
      <c r="BV408" s="24">
        <v>0</v>
      </c>
      <c r="BW408" s="24">
        <v>0</v>
      </c>
      <c r="BX408" s="24">
        <v>0</v>
      </c>
      <c r="BZ408" s="24">
        <v>30001</v>
      </c>
      <c r="CA408" s="24">
        <v>0</v>
      </c>
      <c r="CB408" s="24">
        <v>0</v>
      </c>
      <c r="CC408" s="24">
        <v>0</v>
      </c>
      <c r="CD408" s="24">
        <v>0</v>
      </c>
      <c r="CE408" s="24">
        <v>0</v>
      </c>
      <c r="CG408" s="24">
        <v>0</v>
      </c>
      <c r="CH408" s="24">
        <v>0</v>
      </c>
      <c r="CI408" s="24">
        <v>0</v>
      </c>
      <c r="CJ408" s="24">
        <v>0</v>
      </c>
      <c r="CK408" s="24">
        <v>0</v>
      </c>
      <c r="CL408" s="24">
        <v>0</v>
      </c>
      <c r="CM408" s="24">
        <v>0</v>
      </c>
      <c r="CN408" s="24">
        <v>0</v>
      </c>
      <c r="CO408" s="24">
        <v>0</v>
      </c>
      <c r="CQ408" s="24">
        <v>8</v>
      </c>
      <c r="CR408" s="24">
        <v>0</v>
      </c>
      <c r="CS408" s="24">
        <v>0</v>
      </c>
      <c r="CT408" s="24">
        <v>0</v>
      </c>
      <c r="CV408" s="24">
        <v>0</v>
      </c>
      <c r="CW408" s="24">
        <v>51</v>
      </c>
      <c r="CX408" s="24">
        <v>0</v>
      </c>
      <c r="CY408" s="26">
        <v>1</v>
      </c>
      <c r="CZ408" s="24">
        <v>0</v>
      </c>
      <c r="DA408" s="24">
        <v>0</v>
      </c>
      <c r="DC408" s="24">
        <v>0</v>
      </c>
      <c r="DD408" s="24">
        <v>0</v>
      </c>
      <c r="DE408" s="24">
        <v>0</v>
      </c>
      <c r="DF408" s="24">
        <v>0</v>
      </c>
      <c r="DG408" s="24">
        <v>0</v>
      </c>
      <c r="DI408" s="24">
        <v>0</v>
      </c>
      <c r="DJ408" s="24">
        <v>0</v>
      </c>
      <c r="DL408" s="24">
        <v>0</v>
      </c>
      <c r="DM408" s="24">
        <v>0</v>
      </c>
      <c r="DO408" s="24">
        <v>0</v>
      </c>
      <c r="DP408" s="24">
        <v>0</v>
      </c>
      <c r="DQ408" s="24">
        <v>0</v>
      </c>
      <c r="DR408" s="24">
        <v>0</v>
      </c>
      <c r="DS408" s="24">
        <v>0</v>
      </c>
      <c r="DT408" s="24">
        <v>0</v>
      </c>
      <c r="DV408" s="24">
        <v>0</v>
      </c>
      <c r="DW408" s="24">
        <v>0</v>
      </c>
      <c r="DX408" s="24">
        <v>0</v>
      </c>
      <c r="DY408" s="24">
        <v>0</v>
      </c>
      <c r="DZ408" s="24">
        <v>0</v>
      </c>
    </row>
    <row r="409" spans="1:130">
      <c r="A409" s="24" t="s">
        <v>143</v>
      </c>
      <c r="B409" s="24" t="s">
        <v>143</v>
      </c>
      <c r="C409" s="24" t="s">
        <v>143</v>
      </c>
      <c r="D409" s="24" t="s">
        <v>143</v>
      </c>
      <c r="E409" s="24">
        <v>30002</v>
      </c>
      <c r="F409" s="24" t="s">
        <v>310</v>
      </c>
      <c r="G409" s="24">
        <v>0</v>
      </c>
      <c r="H409" s="24">
        <f>500000+E409</f>
        <v>530002</v>
      </c>
      <c r="I409" s="24" t="s">
        <v>310</v>
      </c>
      <c r="J409" s="24" t="s">
        <v>310</v>
      </c>
      <c r="K409" s="24">
        <v>0</v>
      </c>
      <c r="M409" s="24">
        <v>0</v>
      </c>
      <c r="N409" s="24">
        <v>0</v>
      </c>
      <c r="P409" s="25">
        <v>2</v>
      </c>
      <c r="Q409" s="25">
        <v>0</v>
      </c>
      <c r="R409" s="24">
        <v>0</v>
      </c>
      <c r="S409" s="25">
        <v>0</v>
      </c>
      <c r="T409" s="24"/>
      <c r="U409" s="24">
        <v>0</v>
      </c>
      <c r="V409" s="25">
        <v>0</v>
      </c>
      <c r="W409" s="24">
        <v>0</v>
      </c>
      <c r="X409" s="24">
        <v>0</v>
      </c>
      <c r="Y409" s="24">
        <v>0</v>
      </c>
      <c r="Z409" s="24">
        <v>0</v>
      </c>
      <c r="AB409" s="24">
        <v>10001</v>
      </c>
      <c r="AC409" s="24">
        <v>-1</v>
      </c>
      <c r="AD409" s="24">
        <v>-1</v>
      </c>
      <c r="AE409" s="24">
        <v>-1</v>
      </c>
      <c r="AG409" s="24">
        <v>1</v>
      </c>
      <c r="AH409" s="24">
        <v>0</v>
      </c>
      <c r="AI409" s="24">
        <v>0</v>
      </c>
      <c r="AJ409" s="24">
        <v>0</v>
      </c>
      <c r="AK409" s="24">
        <v>0</v>
      </c>
      <c r="AL409" s="24">
        <v>0</v>
      </c>
      <c r="AM409" s="24">
        <v>0</v>
      </c>
      <c r="AN409" s="24">
        <v>0</v>
      </c>
      <c r="AO409" s="24">
        <v>0</v>
      </c>
      <c r="AP409" s="24">
        <v>0</v>
      </c>
      <c r="AQ409" s="24">
        <v>0</v>
      </c>
      <c r="AR409" s="24">
        <v>0</v>
      </c>
      <c r="AS409" s="24">
        <v>0</v>
      </c>
      <c r="AT409" s="24">
        <v>0</v>
      </c>
      <c r="AU409" s="24">
        <v>0</v>
      </c>
      <c r="AV409" s="24">
        <v>0</v>
      </c>
      <c r="AW409" s="24">
        <v>0</v>
      </c>
      <c r="AX409" s="24">
        <v>0</v>
      </c>
      <c r="AY409" s="24">
        <v>0</v>
      </c>
      <c r="BA409" s="24">
        <v>500</v>
      </c>
      <c r="BB409" s="24">
        <v>500</v>
      </c>
      <c r="BC409" s="24">
        <v>400</v>
      </c>
      <c r="BD409" s="24">
        <v>0</v>
      </c>
      <c r="BE409" s="24">
        <v>200</v>
      </c>
      <c r="BF409" s="24">
        <v>1</v>
      </c>
      <c r="BG409" s="25">
        <v>1</v>
      </c>
      <c r="BH409" s="24">
        <v>1</v>
      </c>
      <c r="BI409" s="24">
        <v>0</v>
      </c>
      <c r="BJ409" s="24">
        <v>0</v>
      </c>
      <c r="BK409" s="24">
        <v>0</v>
      </c>
      <c r="BL409" s="25">
        <v>126</v>
      </c>
      <c r="BM409" s="24">
        <v>0</v>
      </c>
      <c r="BO409" s="25">
        <v>16</v>
      </c>
      <c r="BP409" s="24">
        <v>3</v>
      </c>
      <c r="BQ409" s="24">
        <v>0</v>
      </c>
      <c r="BR409" s="24">
        <v>5</v>
      </c>
      <c r="BS409" s="24">
        <v>1</v>
      </c>
      <c r="BT409" s="24">
        <v>30</v>
      </c>
      <c r="BU409" s="24">
        <v>10</v>
      </c>
      <c r="BV409" s="24">
        <v>0</v>
      </c>
      <c r="BW409" s="24">
        <v>0</v>
      </c>
      <c r="BX409" s="24">
        <v>3</v>
      </c>
      <c r="BZ409" s="24">
        <v>30002</v>
      </c>
      <c r="CA409" s="24">
        <v>0</v>
      </c>
      <c r="CB409" s="24">
        <v>0</v>
      </c>
      <c r="CC409" s="24">
        <v>0</v>
      </c>
      <c r="CD409" s="24">
        <v>0</v>
      </c>
      <c r="CE409" s="24">
        <v>0</v>
      </c>
      <c r="CG409" s="24">
        <v>2</v>
      </c>
      <c r="CH409" s="24">
        <v>0</v>
      </c>
      <c r="CI409" s="24">
        <v>0</v>
      </c>
      <c r="CJ409" s="24">
        <v>0</v>
      </c>
      <c r="CK409" s="24">
        <v>1</v>
      </c>
      <c r="CL409" s="24">
        <v>0.5</v>
      </c>
      <c r="CM409" s="24">
        <v>0.5</v>
      </c>
      <c r="CN409" s="24">
        <v>500</v>
      </c>
      <c r="CO409" s="24">
        <v>500</v>
      </c>
      <c r="CQ409" s="24">
        <v>0.5</v>
      </c>
      <c r="CR409" s="24">
        <v>0</v>
      </c>
      <c r="CS409" s="24">
        <v>0</v>
      </c>
      <c r="CT409" s="24">
        <v>0</v>
      </c>
      <c r="CV409" s="24">
        <v>100101</v>
      </c>
      <c r="CW409" s="24">
        <v>1000</v>
      </c>
      <c r="CX409" s="24">
        <v>0</v>
      </c>
      <c r="CY409" s="26">
        <v>1</v>
      </c>
      <c r="CZ409" s="24">
        <v>0</v>
      </c>
      <c r="DA409" s="24">
        <v>0</v>
      </c>
      <c r="DC409" s="24">
        <v>0</v>
      </c>
      <c r="DD409" s="24">
        <v>0</v>
      </c>
      <c r="DE409" s="24">
        <v>0</v>
      </c>
      <c r="DF409" s="24">
        <v>0</v>
      </c>
      <c r="DG409" s="24">
        <v>0</v>
      </c>
      <c r="DI409" s="24">
        <v>0</v>
      </c>
      <c r="DJ409" s="24">
        <v>0</v>
      </c>
      <c r="DL409" s="24">
        <v>0</v>
      </c>
      <c r="DM409" s="24">
        <v>0</v>
      </c>
      <c r="DO409" s="24">
        <v>0</v>
      </c>
      <c r="DP409" s="24">
        <v>0</v>
      </c>
      <c r="DQ409" s="24">
        <v>0</v>
      </c>
      <c r="DR409" s="24">
        <v>0</v>
      </c>
      <c r="DS409" s="24">
        <v>0</v>
      </c>
      <c r="DT409" s="24">
        <v>0</v>
      </c>
      <c r="DV409" s="24">
        <v>0</v>
      </c>
      <c r="DW409" s="24">
        <v>0</v>
      </c>
      <c r="DX409" s="24">
        <v>0</v>
      </c>
      <c r="DY409" s="24">
        <v>0</v>
      </c>
      <c r="DZ409" s="24">
        <v>0</v>
      </c>
    </row>
    <row r="410" spans="1:130">
      <c r="A410" s="24" t="s">
        <v>143</v>
      </c>
      <c r="B410" s="24" t="s">
        <v>143</v>
      </c>
      <c r="C410" s="24" t="s">
        <v>143</v>
      </c>
      <c r="D410" s="24" t="s">
        <v>143</v>
      </c>
      <c r="E410" s="24">
        <v>30003</v>
      </c>
      <c r="F410" s="24" t="s">
        <v>312</v>
      </c>
      <c r="G410" s="24">
        <v>0</v>
      </c>
      <c r="H410" s="24">
        <f t="shared" ref="H410:H412" si="7">500000+E410</f>
        <v>530003</v>
      </c>
      <c r="I410" s="24" t="s">
        <v>311</v>
      </c>
      <c r="J410" s="24" t="s">
        <v>311</v>
      </c>
      <c r="K410" s="24">
        <v>0</v>
      </c>
      <c r="M410" s="24">
        <v>0</v>
      </c>
      <c r="N410" s="24">
        <v>0</v>
      </c>
      <c r="P410" s="25">
        <v>2</v>
      </c>
      <c r="Q410" s="25">
        <v>65536</v>
      </c>
      <c r="R410" s="24">
        <v>0</v>
      </c>
      <c r="S410" s="25">
        <v>0</v>
      </c>
      <c r="T410" s="24"/>
      <c r="U410" s="24">
        <v>0</v>
      </c>
      <c r="V410" s="25">
        <v>0</v>
      </c>
      <c r="W410" s="24">
        <v>0</v>
      </c>
      <c r="X410" s="24">
        <v>0</v>
      </c>
      <c r="Y410" s="24">
        <v>0</v>
      </c>
      <c r="Z410" s="24">
        <v>0</v>
      </c>
      <c r="AB410" s="24">
        <v>10001</v>
      </c>
      <c r="AC410" s="24">
        <v>-1</v>
      </c>
      <c r="AD410" s="24">
        <v>-1</v>
      </c>
      <c r="AE410" s="24">
        <v>-1</v>
      </c>
      <c r="AG410" s="24">
        <v>1</v>
      </c>
      <c r="AH410" s="24">
        <v>0</v>
      </c>
      <c r="AI410" s="24">
        <v>0</v>
      </c>
      <c r="AJ410" s="24">
        <v>0</v>
      </c>
      <c r="AK410" s="24">
        <v>0</v>
      </c>
      <c r="AL410" s="24">
        <v>0</v>
      </c>
      <c r="AM410" s="24">
        <v>0</v>
      </c>
      <c r="AN410" s="24">
        <v>0</v>
      </c>
      <c r="AO410" s="24">
        <v>0</v>
      </c>
      <c r="AP410" s="24">
        <v>0</v>
      </c>
      <c r="AQ410" s="24">
        <v>0</v>
      </c>
      <c r="AR410" s="24">
        <v>0</v>
      </c>
      <c r="AS410" s="24">
        <v>0</v>
      </c>
      <c r="AT410" s="24">
        <v>0</v>
      </c>
      <c r="AU410" s="24">
        <v>0</v>
      </c>
      <c r="AV410" s="24">
        <v>0</v>
      </c>
      <c r="AW410" s="24">
        <v>0</v>
      </c>
      <c r="AX410" s="24">
        <v>0</v>
      </c>
      <c r="AY410" s="24">
        <v>0</v>
      </c>
      <c r="BA410" s="24">
        <v>500</v>
      </c>
      <c r="BB410" s="24">
        <v>500</v>
      </c>
      <c r="BC410" s="24">
        <v>1000</v>
      </c>
      <c r="BD410" s="24">
        <v>0</v>
      </c>
      <c r="BE410" s="24">
        <v>250</v>
      </c>
      <c r="BF410" s="24">
        <v>1</v>
      </c>
      <c r="BG410" s="25">
        <v>1</v>
      </c>
      <c r="BH410" s="24">
        <v>1</v>
      </c>
      <c r="BI410" s="24">
        <v>0</v>
      </c>
      <c r="BJ410" s="24">
        <v>0</v>
      </c>
      <c r="BK410" s="24">
        <v>0</v>
      </c>
      <c r="BL410" s="25">
        <v>126</v>
      </c>
      <c r="BM410" s="24">
        <v>0</v>
      </c>
      <c r="BO410" s="25">
        <v>16</v>
      </c>
      <c r="BP410" s="24">
        <v>10</v>
      </c>
      <c r="BQ410" s="24">
        <v>0</v>
      </c>
      <c r="BR410" s="24">
        <v>3</v>
      </c>
      <c r="BS410" s="24">
        <v>10</v>
      </c>
      <c r="BT410" s="24">
        <v>100</v>
      </c>
      <c r="BU410" s="24">
        <v>30</v>
      </c>
      <c r="BV410" s="24">
        <v>0</v>
      </c>
      <c r="BW410" s="24">
        <v>0</v>
      </c>
      <c r="BX410" s="24">
        <v>1</v>
      </c>
      <c r="BZ410" s="24">
        <v>30003</v>
      </c>
      <c r="CA410" s="24">
        <v>0</v>
      </c>
      <c r="CB410" s="24">
        <v>0</v>
      </c>
      <c r="CC410" s="24">
        <v>0</v>
      </c>
      <c r="CD410" s="24">
        <v>0</v>
      </c>
      <c r="CE410" s="24">
        <v>0</v>
      </c>
      <c r="CG410" s="24">
        <v>0</v>
      </c>
      <c r="CH410" s="24">
        <v>0</v>
      </c>
      <c r="CI410" s="24">
        <v>0</v>
      </c>
      <c r="CJ410" s="24">
        <v>0</v>
      </c>
      <c r="CK410" s="24">
        <v>0</v>
      </c>
      <c r="CL410" s="24">
        <v>0</v>
      </c>
      <c r="CM410" s="24">
        <v>0</v>
      </c>
      <c r="CN410" s="24">
        <v>0</v>
      </c>
      <c r="CO410" s="24">
        <v>0</v>
      </c>
      <c r="CQ410" s="24">
        <v>0</v>
      </c>
      <c r="CR410" s="24">
        <v>0</v>
      </c>
      <c r="CS410" s="24">
        <v>0</v>
      </c>
      <c r="CT410" s="24">
        <v>0</v>
      </c>
      <c r="CV410" s="24">
        <v>100201</v>
      </c>
      <c r="CW410" s="24">
        <v>1010</v>
      </c>
      <c r="CX410" s="24">
        <v>0</v>
      </c>
      <c r="CY410" s="26">
        <v>1</v>
      </c>
      <c r="CZ410" s="24">
        <v>0</v>
      </c>
      <c r="DA410" s="24">
        <v>0</v>
      </c>
      <c r="DC410" s="24">
        <v>0</v>
      </c>
      <c r="DD410" s="24">
        <v>0</v>
      </c>
      <c r="DE410" s="24">
        <v>0</v>
      </c>
      <c r="DF410" s="24">
        <v>0</v>
      </c>
      <c r="DG410" s="24">
        <v>0</v>
      </c>
      <c r="DI410" s="24">
        <v>0</v>
      </c>
      <c r="DJ410" s="24">
        <v>0</v>
      </c>
      <c r="DL410" s="24">
        <v>0</v>
      </c>
      <c r="DM410" s="24">
        <v>0</v>
      </c>
      <c r="DO410" s="24">
        <v>0</v>
      </c>
      <c r="DP410" s="24">
        <v>0</v>
      </c>
      <c r="DQ410" s="24">
        <v>0</v>
      </c>
      <c r="DR410" s="24">
        <v>0</v>
      </c>
      <c r="DS410" s="24">
        <v>0</v>
      </c>
      <c r="DT410" s="24">
        <v>0</v>
      </c>
      <c r="DV410" s="24">
        <v>0</v>
      </c>
      <c r="DW410" s="24">
        <v>0</v>
      </c>
      <c r="DX410" s="24">
        <v>0</v>
      </c>
      <c r="DY410" s="24">
        <v>0</v>
      </c>
      <c r="DZ410" s="24">
        <v>0</v>
      </c>
    </row>
    <row r="411" spans="1:130">
      <c r="A411" s="24" t="s">
        <v>143</v>
      </c>
      <c r="B411" s="24" t="s">
        <v>143</v>
      </c>
      <c r="C411" s="24" t="s">
        <v>143</v>
      </c>
      <c r="D411" s="24" t="s">
        <v>143</v>
      </c>
      <c r="E411" s="24">
        <v>30004</v>
      </c>
      <c r="F411" s="24" t="s">
        <v>314</v>
      </c>
      <c r="G411" s="24">
        <v>0</v>
      </c>
      <c r="H411" s="24">
        <f t="shared" si="7"/>
        <v>530004</v>
      </c>
      <c r="I411" s="24" t="s">
        <v>313</v>
      </c>
      <c r="J411" s="24" t="s">
        <v>313</v>
      </c>
      <c r="K411" s="24">
        <v>0</v>
      </c>
      <c r="M411" s="24">
        <v>0</v>
      </c>
      <c r="N411" s="14">
        <v>0</v>
      </c>
      <c r="O411" s="14"/>
      <c r="P411" s="25">
        <v>2</v>
      </c>
      <c r="Q411" s="25">
        <v>1024</v>
      </c>
      <c r="R411" s="24">
        <v>0</v>
      </c>
      <c r="S411" s="25">
        <v>0</v>
      </c>
      <c r="T411" s="24"/>
      <c r="U411" s="24">
        <v>0</v>
      </c>
      <c r="V411" s="25">
        <v>0</v>
      </c>
      <c r="W411" s="24">
        <v>0</v>
      </c>
      <c r="X411" s="14">
        <v>0</v>
      </c>
      <c r="Y411" s="24">
        <v>0</v>
      </c>
      <c r="Z411" s="24">
        <v>0</v>
      </c>
      <c r="AB411" s="24">
        <v>10001</v>
      </c>
      <c r="AC411" s="24">
        <v>-1</v>
      </c>
      <c r="AD411" s="24">
        <v>-1</v>
      </c>
      <c r="AE411" s="24">
        <v>-1</v>
      </c>
      <c r="AG411" s="24">
        <v>2</v>
      </c>
      <c r="AH411" s="24">
        <v>0</v>
      </c>
      <c r="AI411" s="24">
        <v>0</v>
      </c>
      <c r="AJ411" s="24">
        <v>0</v>
      </c>
      <c r="AK411" s="24">
        <v>0</v>
      </c>
      <c r="AL411" s="24">
        <v>1</v>
      </c>
      <c r="AM411" s="24">
        <v>0</v>
      </c>
      <c r="AN411" s="24">
        <v>0</v>
      </c>
      <c r="AO411" s="24">
        <v>0</v>
      </c>
      <c r="AP411" s="24">
        <v>2000</v>
      </c>
      <c r="AQ411" s="24">
        <v>15</v>
      </c>
      <c r="AR411" s="24">
        <v>0</v>
      </c>
      <c r="AS411" s="24">
        <v>0</v>
      </c>
      <c r="AT411" s="24">
        <v>0</v>
      </c>
      <c r="AU411" s="24">
        <v>1003</v>
      </c>
      <c r="AV411" s="24">
        <v>0</v>
      </c>
      <c r="AW411" s="24">
        <v>0</v>
      </c>
      <c r="AX411" s="24">
        <v>0</v>
      </c>
      <c r="AY411" s="24">
        <v>0</v>
      </c>
      <c r="BA411" s="24">
        <v>500</v>
      </c>
      <c r="BB411" s="24">
        <v>500</v>
      </c>
      <c r="BC411" s="24">
        <v>1000</v>
      </c>
      <c r="BD411" s="24">
        <v>0</v>
      </c>
      <c r="BE411" s="24">
        <v>250</v>
      </c>
      <c r="BF411" s="24">
        <v>1</v>
      </c>
      <c r="BG411" s="25">
        <v>1</v>
      </c>
      <c r="BH411" s="24">
        <v>1</v>
      </c>
      <c r="BI411" s="24">
        <v>0</v>
      </c>
      <c r="BJ411" s="24">
        <v>0</v>
      </c>
      <c r="BK411" s="24">
        <v>0</v>
      </c>
      <c r="BL411" s="25">
        <v>126</v>
      </c>
      <c r="BM411" s="24">
        <v>0</v>
      </c>
      <c r="BO411" s="25">
        <v>8</v>
      </c>
      <c r="BP411" s="24">
        <v>1000</v>
      </c>
      <c r="BQ411" s="24">
        <v>0</v>
      </c>
      <c r="BR411" s="24">
        <v>2</v>
      </c>
      <c r="BS411" s="24">
        <v>100</v>
      </c>
      <c r="BT411" s="24">
        <v>0</v>
      </c>
      <c r="BU411" s="24">
        <v>45</v>
      </c>
      <c r="BV411" s="24">
        <v>0</v>
      </c>
      <c r="BW411" s="24">
        <v>0</v>
      </c>
      <c r="BX411" s="24">
        <v>1</v>
      </c>
      <c r="BZ411" s="24">
        <v>30004</v>
      </c>
      <c r="CA411" s="24">
        <v>0</v>
      </c>
      <c r="CB411" s="24">
        <v>0</v>
      </c>
      <c r="CC411" s="24">
        <v>0</v>
      </c>
      <c r="CD411" s="24">
        <v>0</v>
      </c>
      <c r="CE411" s="24">
        <v>0</v>
      </c>
      <c r="CG411" s="14">
        <v>0</v>
      </c>
      <c r="CH411" s="24">
        <v>0</v>
      </c>
      <c r="CI411" s="24">
        <v>0</v>
      </c>
      <c r="CJ411" s="24">
        <v>0</v>
      </c>
      <c r="CK411" s="24">
        <v>0</v>
      </c>
      <c r="CL411" s="24">
        <v>0</v>
      </c>
      <c r="CM411" s="24">
        <v>0</v>
      </c>
      <c r="CN411" s="24">
        <v>0</v>
      </c>
      <c r="CO411" s="24">
        <v>0</v>
      </c>
      <c r="CQ411" s="24">
        <v>0</v>
      </c>
      <c r="CR411" s="24">
        <v>0</v>
      </c>
      <c r="CS411" s="24">
        <v>0</v>
      </c>
      <c r="CT411" s="24">
        <v>0</v>
      </c>
      <c r="CV411" s="24">
        <v>100201</v>
      </c>
      <c r="CW411" s="24">
        <v>1010</v>
      </c>
      <c r="CX411" s="24">
        <v>0</v>
      </c>
      <c r="CY411" s="26">
        <v>1</v>
      </c>
      <c r="CZ411" s="24">
        <v>0</v>
      </c>
      <c r="DA411" s="24">
        <v>0</v>
      </c>
      <c r="DC411" s="24">
        <v>0</v>
      </c>
      <c r="DD411" s="24">
        <v>0</v>
      </c>
      <c r="DE411" s="24">
        <v>0</v>
      </c>
      <c r="DF411" s="24">
        <v>0</v>
      </c>
      <c r="DG411" s="24">
        <v>0</v>
      </c>
      <c r="DI411" s="24">
        <v>0</v>
      </c>
      <c r="DJ411" s="24">
        <v>0</v>
      </c>
      <c r="DL411" s="24">
        <v>0</v>
      </c>
      <c r="DM411" s="24">
        <v>0</v>
      </c>
      <c r="DO411" s="24">
        <v>0</v>
      </c>
      <c r="DP411" s="24">
        <v>0</v>
      </c>
      <c r="DQ411" s="24">
        <v>0</v>
      </c>
      <c r="DR411" s="24">
        <v>0</v>
      </c>
      <c r="DS411" s="24">
        <v>0</v>
      </c>
      <c r="DT411" s="24">
        <v>0</v>
      </c>
      <c r="DV411" s="24">
        <v>0</v>
      </c>
      <c r="DW411" s="24">
        <v>0</v>
      </c>
      <c r="DX411" s="24">
        <v>0</v>
      </c>
      <c r="DY411" s="24">
        <v>0</v>
      </c>
      <c r="DZ411" s="24">
        <v>0</v>
      </c>
    </row>
    <row r="412" spans="1:130">
      <c r="A412" s="24" t="s">
        <v>143</v>
      </c>
      <c r="B412" s="24" t="s">
        <v>143</v>
      </c>
      <c r="C412" s="24" t="s">
        <v>143</v>
      </c>
      <c r="D412" s="24" t="s">
        <v>143</v>
      </c>
      <c r="E412" s="24">
        <v>30005</v>
      </c>
      <c r="F412" s="24" t="s">
        <v>324</v>
      </c>
      <c r="G412" s="24">
        <v>0</v>
      </c>
      <c r="H412" s="24">
        <f t="shared" si="7"/>
        <v>530005</v>
      </c>
      <c r="I412" s="24" t="s">
        <v>246</v>
      </c>
      <c r="J412" s="24" t="s">
        <v>246</v>
      </c>
      <c r="K412" s="24">
        <v>0</v>
      </c>
      <c r="M412" s="24">
        <v>0</v>
      </c>
      <c r="N412" s="24">
        <v>0</v>
      </c>
      <c r="P412" s="25">
        <v>2</v>
      </c>
      <c r="Q412" s="25">
        <v>4352</v>
      </c>
      <c r="R412" s="24">
        <v>0</v>
      </c>
      <c r="S412" s="25">
        <v>0</v>
      </c>
      <c r="T412" s="24"/>
      <c r="U412" s="24">
        <v>0</v>
      </c>
      <c r="V412" s="25">
        <v>0</v>
      </c>
      <c r="W412" s="24">
        <v>0</v>
      </c>
      <c r="X412" s="24">
        <v>0</v>
      </c>
      <c r="Y412" s="24">
        <v>0</v>
      </c>
      <c r="Z412" s="24">
        <v>0</v>
      </c>
      <c r="AB412" s="24">
        <v>10001</v>
      </c>
      <c r="AC412" s="24">
        <v>-1</v>
      </c>
      <c r="AD412" s="24">
        <v>-1</v>
      </c>
      <c r="AE412" s="24">
        <v>-1</v>
      </c>
      <c r="AG412" s="24">
        <v>2</v>
      </c>
      <c r="AH412" s="24">
        <v>0</v>
      </c>
      <c r="AI412" s="24">
        <v>0</v>
      </c>
      <c r="AJ412" s="24">
        <v>0</v>
      </c>
      <c r="AK412" s="24">
        <v>0</v>
      </c>
      <c r="AL412" s="24">
        <v>0</v>
      </c>
      <c r="AM412" s="24">
        <v>0</v>
      </c>
      <c r="AN412" s="24">
        <v>0</v>
      </c>
      <c r="AO412" s="24">
        <v>0</v>
      </c>
      <c r="AP412" s="24">
        <v>1000</v>
      </c>
      <c r="AQ412" s="24">
        <v>8</v>
      </c>
      <c r="AR412" s="24">
        <v>0</v>
      </c>
      <c r="AS412" s="24">
        <v>0</v>
      </c>
      <c r="AT412" s="24">
        <v>0</v>
      </c>
      <c r="AU412" s="24">
        <v>0</v>
      </c>
      <c r="AV412" s="24">
        <v>0</v>
      </c>
      <c r="AW412" s="24">
        <v>0</v>
      </c>
      <c r="AX412" s="24">
        <v>0</v>
      </c>
      <c r="AY412" s="24">
        <v>0</v>
      </c>
      <c r="BA412" s="24">
        <v>500</v>
      </c>
      <c r="BB412" s="24">
        <v>500</v>
      </c>
      <c r="BC412" s="24">
        <v>1900</v>
      </c>
      <c r="BD412" s="24">
        <v>0</v>
      </c>
      <c r="BE412" s="24">
        <v>200</v>
      </c>
      <c r="BF412" s="24">
        <v>1</v>
      </c>
      <c r="BG412" s="25">
        <v>0</v>
      </c>
      <c r="BH412" s="24">
        <v>0</v>
      </c>
      <c r="BI412" s="24">
        <v>0</v>
      </c>
      <c r="BJ412" s="24">
        <v>0</v>
      </c>
      <c r="BK412" s="24">
        <v>0</v>
      </c>
      <c r="BL412" s="25">
        <v>126</v>
      </c>
      <c r="BM412" s="24">
        <v>0</v>
      </c>
      <c r="BO412" s="25">
        <v>16</v>
      </c>
      <c r="BP412" s="24">
        <v>5</v>
      </c>
      <c r="BQ412" s="24">
        <v>0</v>
      </c>
      <c r="BR412" s="24">
        <v>0</v>
      </c>
      <c r="BS412" s="24">
        <v>0</v>
      </c>
      <c r="BT412" s="24">
        <v>0</v>
      </c>
      <c r="BU412" s="24">
        <v>0</v>
      </c>
      <c r="BV412" s="24">
        <v>0</v>
      </c>
      <c r="BW412" s="24">
        <v>0</v>
      </c>
      <c r="BX412" s="24">
        <v>0</v>
      </c>
      <c r="BZ412" s="24">
        <v>30005</v>
      </c>
      <c r="CA412" s="24">
        <v>0</v>
      </c>
      <c r="CB412" s="24">
        <v>0</v>
      </c>
      <c r="CC412" s="24">
        <v>0</v>
      </c>
      <c r="CD412" s="24">
        <v>0</v>
      </c>
      <c r="CE412" s="24">
        <v>0</v>
      </c>
      <c r="CG412" s="24">
        <v>0</v>
      </c>
      <c r="CH412" s="24">
        <v>0</v>
      </c>
      <c r="CI412" s="24">
        <v>0</v>
      </c>
      <c r="CJ412" s="24">
        <v>0</v>
      </c>
      <c r="CK412" s="24">
        <v>0</v>
      </c>
      <c r="CL412" s="24">
        <v>0</v>
      </c>
      <c r="CM412" s="24">
        <v>0</v>
      </c>
      <c r="CN412" s="24">
        <v>0</v>
      </c>
      <c r="CO412" s="24">
        <v>0</v>
      </c>
      <c r="CQ412" s="24">
        <v>8</v>
      </c>
      <c r="CR412" s="24">
        <v>0</v>
      </c>
      <c r="CS412" s="24">
        <v>0</v>
      </c>
      <c r="CT412" s="24">
        <v>0</v>
      </c>
      <c r="CV412" s="24">
        <v>100104</v>
      </c>
      <c r="CW412" s="24">
        <v>1006</v>
      </c>
      <c r="CX412" s="24">
        <v>0</v>
      </c>
      <c r="CY412" s="26">
        <v>1</v>
      </c>
      <c r="CZ412" s="24">
        <v>0</v>
      </c>
      <c r="DA412" s="24">
        <v>0</v>
      </c>
      <c r="DC412" s="24">
        <v>0</v>
      </c>
      <c r="DD412" s="24">
        <v>0</v>
      </c>
      <c r="DE412" s="24">
        <v>0</v>
      </c>
      <c r="DF412" s="24">
        <v>0</v>
      </c>
      <c r="DG412" s="24">
        <v>0</v>
      </c>
      <c r="DI412" s="24">
        <v>0</v>
      </c>
      <c r="DJ412" s="24">
        <v>0</v>
      </c>
      <c r="DL412" s="24">
        <v>0</v>
      </c>
      <c r="DM412" s="24">
        <v>0</v>
      </c>
      <c r="DO412" s="24">
        <v>0</v>
      </c>
      <c r="DP412" s="24">
        <v>0</v>
      </c>
      <c r="DQ412" s="24">
        <v>0</v>
      </c>
      <c r="DR412" s="24">
        <v>0</v>
      </c>
      <c r="DS412" s="24">
        <v>0</v>
      </c>
      <c r="DT412" s="24">
        <v>0</v>
      </c>
      <c r="DV412" s="24">
        <v>0</v>
      </c>
      <c r="DW412" s="24">
        <v>0</v>
      </c>
      <c r="DX412" s="24">
        <v>0</v>
      </c>
      <c r="DY412" s="24">
        <v>0</v>
      </c>
      <c r="DZ412" s="24">
        <v>0</v>
      </c>
    </row>
    <row r="413" spans="1:130">
      <c r="G413" s="24" t="s">
        <v>639</v>
      </c>
      <c r="K413" s="24" t="s">
        <v>639</v>
      </c>
      <c r="S413" s="25"/>
      <c r="T413" s="24"/>
      <c r="CV413" s="24" t="s">
        <v>639</v>
      </c>
      <c r="DC413" s="24" t="s">
        <v>639</v>
      </c>
      <c r="DD413" s="24" t="s">
        <v>639</v>
      </c>
      <c r="DE413" s="24" t="s">
        <v>639</v>
      </c>
      <c r="DF413" s="24" t="s">
        <v>639</v>
      </c>
      <c r="DG413" s="24" t="s">
        <v>639</v>
      </c>
      <c r="DI413" s="24" t="s">
        <v>639</v>
      </c>
      <c r="DJ413" s="24" t="s">
        <v>639</v>
      </c>
      <c r="DL413" s="24" t="s">
        <v>639</v>
      </c>
      <c r="DM413" s="24" t="s">
        <v>639</v>
      </c>
      <c r="DO413" s="24" t="s">
        <v>639</v>
      </c>
      <c r="DP413" s="24" t="s">
        <v>639</v>
      </c>
      <c r="DQ413" s="24" t="s">
        <v>639</v>
      </c>
      <c r="DR413" s="24" t="s">
        <v>639</v>
      </c>
      <c r="DS413" s="24" t="s">
        <v>639</v>
      </c>
      <c r="DT413" s="24" t="s">
        <v>639</v>
      </c>
      <c r="DV413" s="24" t="s">
        <v>639</v>
      </c>
      <c r="DW413" s="24" t="s">
        <v>639</v>
      </c>
      <c r="DX413" s="24" t="s">
        <v>639</v>
      </c>
      <c r="DY413" s="24" t="s">
        <v>639</v>
      </c>
      <c r="DZ413" s="24" t="s">
        <v>639</v>
      </c>
    </row>
    <row r="414" spans="1:130">
      <c r="G414" s="24" t="s">
        <v>639</v>
      </c>
      <c r="K414" s="24" t="s">
        <v>639</v>
      </c>
      <c r="S414" s="25"/>
      <c r="T414" s="24"/>
      <c r="CV414" s="24" t="s">
        <v>639</v>
      </c>
      <c r="DC414" s="24" t="s">
        <v>639</v>
      </c>
      <c r="DD414" s="24" t="s">
        <v>639</v>
      </c>
      <c r="DE414" s="24" t="s">
        <v>639</v>
      </c>
      <c r="DF414" s="24" t="s">
        <v>639</v>
      </c>
      <c r="DG414" s="24" t="s">
        <v>639</v>
      </c>
      <c r="DI414" s="24" t="s">
        <v>639</v>
      </c>
      <c r="DJ414" s="24" t="s">
        <v>639</v>
      </c>
      <c r="DL414" s="24" t="s">
        <v>639</v>
      </c>
      <c r="DM414" s="24" t="s">
        <v>639</v>
      </c>
      <c r="DO414" s="24" t="s">
        <v>639</v>
      </c>
      <c r="DP414" s="24" t="s">
        <v>639</v>
      </c>
      <c r="DQ414" s="24" t="s">
        <v>639</v>
      </c>
      <c r="DR414" s="24" t="s">
        <v>639</v>
      </c>
      <c r="DS414" s="24" t="s">
        <v>639</v>
      </c>
      <c r="DT414" s="24" t="s">
        <v>639</v>
      </c>
      <c r="DV414" s="24" t="s">
        <v>639</v>
      </c>
      <c r="DW414" s="24" t="s">
        <v>639</v>
      </c>
      <c r="DX414" s="24" t="s">
        <v>639</v>
      </c>
      <c r="DY414" s="24" t="s">
        <v>639</v>
      </c>
      <c r="DZ414" s="24" t="s">
        <v>639</v>
      </c>
    </row>
    <row r="415" spans="1:130">
      <c r="A415" s="24" t="s">
        <v>142</v>
      </c>
      <c r="B415" s="24" t="s">
        <v>142</v>
      </c>
      <c r="C415" s="24" t="s">
        <v>142</v>
      </c>
      <c r="D415" s="24" t="s">
        <v>142</v>
      </c>
      <c r="E415" s="24">
        <v>40000</v>
      </c>
      <c r="F415" s="24" t="s">
        <v>479</v>
      </c>
      <c r="G415" s="24">
        <v>0</v>
      </c>
      <c r="H415" s="24">
        <v>540000</v>
      </c>
      <c r="I415" s="24" t="s">
        <v>479</v>
      </c>
      <c r="J415" s="24" t="s">
        <v>479</v>
      </c>
      <c r="K415" s="24" t="s">
        <v>473</v>
      </c>
      <c r="M415" s="24">
        <v>0</v>
      </c>
      <c r="N415" s="24">
        <v>0</v>
      </c>
      <c r="P415" s="25">
        <v>2</v>
      </c>
      <c r="Q415" s="25">
        <v>0</v>
      </c>
      <c r="R415" s="24">
        <v>0</v>
      </c>
      <c r="S415" s="25">
        <v>0</v>
      </c>
      <c r="T415" s="24"/>
      <c r="U415" s="24">
        <v>0</v>
      </c>
      <c r="V415" s="25">
        <v>0</v>
      </c>
      <c r="W415" s="24">
        <v>0</v>
      </c>
      <c r="X415" s="24">
        <v>0</v>
      </c>
      <c r="Y415" s="24">
        <v>0</v>
      </c>
      <c r="Z415" s="24">
        <v>0</v>
      </c>
      <c r="AB415" s="24">
        <v>10001</v>
      </c>
      <c r="AC415" s="24">
        <v>-1</v>
      </c>
      <c r="AD415" s="24">
        <v>-1</v>
      </c>
      <c r="AE415" s="24">
        <v>-1</v>
      </c>
      <c r="AG415" s="24">
        <v>1</v>
      </c>
      <c r="AH415" s="24">
        <v>0</v>
      </c>
      <c r="AI415" s="24">
        <v>0</v>
      </c>
      <c r="AJ415" s="24">
        <v>0</v>
      </c>
      <c r="AK415" s="24">
        <v>0</v>
      </c>
      <c r="AL415" s="24">
        <v>0</v>
      </c>
      <c r="AM415" s="24">
        <v>0</v>
      </c>
      <c r="AN415" s="24">
        <v>0</v>
      </c>
      <c r="AO415" s="24">
        <v>0</v>
      </c>
      <c r="AP415" s="24">
        <v>0</v>
      </c>
      <c r="AQ415" s="24">
        <v>0</v>
      </c>
      <c r="AR415" s="24">
        <v>0</v>
      </c>
      <c r="AS415" s="24">
        <v>0</v>
      </c>
      <c r="AT415" s="24">
        <v>0</v>
      </c>
      <c r="AU415" s="24">
        <v>0</v>
      </c>
      <c r="AV415" s="24">
        <v>0</v>
      </c>
      <c r="AW415" s="24">
        <v>0</v>
      </c>
      <c r="AX415" s="24">
        <v>0</v>
      </c>
      <c r="AY415" s="24">
        <v>0</v>
      </c>
      <c r="BA415" s="24">
        <v>0</v>
      </c>
      <c r="BB415" s="24">
        <v>500</v>
      </c>
      <c r="BC415" s="24">
        <v>1100</v>
      </c>
      <c r="BD415" s="24">
        <v>0</v>
      </c>
      <c r="BE415" s="24">
        <v>100</v>
      </c>
      <c r="BF415" s="24">
        <v>1</v>
      </c>
      <c r="BG415" s="25">
        <v>1</v>
      </c>
      <c r="BH415" s="24">
        <v>1</v>
      </c>
      <c r="BI415" s="24">
        <v>0</v>
      </c>
      <c r="BJ415" s="24">
        <v>0</v>
      </c>
      <c r="BK415" s="24">
        <v>0</v>
      </c>
      <c r="BL415" s="25">
        <v>126</v>
      </c>
      <c r="BM415" s="24">
        <v>0</v>
      </c>
      <c r="BO415" s="25">
        <v>1</v>
      </c>
      <c r="BP415" s="24">
        <v>20</v>
      </c>
      <c r="BQ415" s="24">
        <v>0</v>
      </c>
      <c r="BR415" s="24">
        <v>1</v>
      </c>
      <c r="BS415" s="24">
        <v>0</v>
      </c>
      <c r="BT415" s="24">
        <v>0</v>
      </c>
      <c r="BU415" s="24">
        <v>0</v>
      </c>
      <c r="BV415" s="24">
        <v>0</v>
      </c>
      <c r="BW415" s="24">
        <v>0</v>
      </c>
      <c r="BX415" s="24">
        <v>1</v>
      </c>
      <c r="BZ415" s="24">
        <v>-1</v>
      </c>
      <c r="CA415" s="24">
        <v>0</v>
      </c>
      <c r="CB415" s="24">
        <v>0</v>
      </c>
      <c r="CC415" s="24">
        <v>0</v>
      </c>
      <c r="CD415" s="24">
        <v>0</v>
      </c>
      <c r="CE415" s="24">
        <v>0</v>
      </c>
      <c r="CG415" s="24">
        <v>0</v>
      </c>
      <c r="CH415" s="24">
        <v>0</v>
      </c>
      <c r="CI415" s="24">
        <v>0</v>
      </c>
      <c r="CJ415" s="24">
        <v>0</v>
      </c>
      <c r="CK415" s="24">
        <v>0</v>
      </c>
      <c r="CL415" s="24">
        <v>0</v>
      </c>
      <c r="CM415" s="24">
        <v>0</v>
      </c>
      <c r="CN415" s="24">
        <v>0</v>
      </c>
      <c r="CO415" s="24">
        <v>0</v>
      </c>
      <c r="CQ415" s="24">
        <v>0</v>
      </c>
      <c r="CR415" s="24">
        <v>0</v>
      </c>
      <c r="CS415" s="24">
        <v>0</v>
      </c>
      <c r="CT415" s="24">
        <v>0</v>
      </c>
      <c r="CV415" s="24">
        <v>100105</v>
      </c>
      <c r="CW415" s="24">
        <v>0</v>
      </c>
      <c r="CX415" s="24">
        <v>0</v>
      </c>
      <c r="CY415" s="26">
        <v>1</v>
      </c>
      <c r="CZ415" s="24">
        <v>0</v>
      </c>
      <c r="DA415" s="24">
        <v>0</v>
      </c>
      <c r="DC415" s="24">
        <v>1</v>
      </c>
      <c r="DD415" s="24">
        <v>0</v>
      </c>
      <c r="DE415" s="24">
        <v>0</v>
      </c>
      <c r="DF415" s="24">
        <v>0</v>
      </c>
      <c r="DG415" s="24">
        <v>-1</v>
      </c>
      <c r="DI415" s="24">
        <v>0</v>
      </c>
      <c r="DJ415" s="24">
        <v>0</v>
      </c>
      <c r="DL415" s="24">
        <v>0</v>
      </c>
      <c r="DM415" s="24">
        <v>0</v>
      </c>
      <c r="DO415" s="24">
        <v>0</v>
      </c>
      <c r="DP415" s="24">
        <v>0</v>
      </c>
      <c r="DQ415" s="24">
        <v>0</v>
      </c>
      <c r="DR415" s="24">
        <v>0</v>
      </c>
      <c r="DS415" s="24">
        <v>0</v>
      </c>
      <c r="DT415" s="24">
        <v>0</v>
      </c>
      <c r="DV415" s="24">
        <v>0</v>
      </c>
      <c r="DW415" s="24">
        <v>0</v>
      </c>
      <c r="DX415" s="24">
        <v>0</v>
      </c>
      <c r="DY415" s="24">
        <v>0</v>
      </c>
      <c r="DZ415" s="24">
        <v>0</v>
      </c>
    </row>
    <row r="416" spans="1:130">
      <c r="G416" s="24" t="s">
        <v>639</v>
      </c>
      <c r="K416" s="24" t="s">
        <v>639</v>
      </c>
      <c r="S416" s="25"/>
      <c r="T416" s="24"/>
      <c r="CV416" s="24" t="s">
        <v>639</v>
      </c>
      <c r="DC416" s="24" t="s">
        <v>639</v>
      </c>
      <c r="DD416" s="24" t="s">
        <v>639</v>
      </c>
      <c r="DE416" s="24" t="s">
        <v>639</v>
      </c>
      <c r="DF416" s="24" t="s">
        <v>639</v>
      </c>
      <c r="DG416" s="24" t="s">
        <v>639</v>
      </c>
      <c r="DI416" s="24" t="s">
        <v>639</v>
      </c>
      <c r="DJ416" s="24" t="s">
        <v>639</v>
      </c>
      <c r="DL416" s="24" t="s">
        <v>639</v>
      </c>
      <c r="DM416" s="24" t="s">
        <v>639</v>
      </c>
      <c r="DO416" s="24" t="s">
        <v>639</v>
      </c>
      <c r="DP416" s="24" t="s">
        <v>639</v>
      </c>
      <c r="DQ416" s="24" t="s">
        <v>639</v>
      </c>
      <c r="DR416" s="24" t="s">
        <v>639</v>
      </c>
      <c r="DS416" s="24" t="s">
        <v>639</v>
      </c>
      <c r="DT416" s="24" t="s">
        <v>639</v>
      </c>
      <c r="DV416" s="24" t="s">
        <v>639</v>
      </c>
      <c r="DW416" s="24" t="s">
        <v>639</v>
      </c>
      <c r="DX416" s="24" t="s">
        <v>639</v>
      </c>
      <c r="DY416" s="24" t="s">
        <v>639</v>
      </c>
      <c r="DZ416" s="24" t="s">
        <v>639</v>
      </c>
    </row>
    <row r="417" spans="1:132">
      <c r="A417" s="24" t="s">
        <v>142</v>
      </c>
      <c r="B417" s="24" t="s">
        <v>142</v>
      </c>
      <c r="C417" s="24" t="s">
        <v>142</v>
      </c>
      <c r="D417" s="24" t="s">
        <v>142</v>
      </c>
      <c r="E417" s="24">
        <v>60001</v>
      </c>
      <c r="F417" s="24" t="s">
        <v>733</v>
      </c>
      <c r="G417" s="24">
        <v>0</v>
      </c>
      <c r="H417" s="24">
        <v>560001</v>
      </c>
      <c r="I417" s="24" t="s">
        <v>733</v>
      </c>
      <c r="J417" s="24" t="s">
        <v>733</v>
      </c>
      <c r="K417" s="24">
        <v>0</v>
      </c>
      <c r="M417" s="24">
        <v>0</v>
      </c>
      <c r="N417" s="14">
        <v>0</v>
      </c>
      <c r="O417" s="14"/>
      <c r="P417" s="25">
        <v>2</v>
      </c>
      <c r="Q417" s="25">
        <v>4</v>
      </c>
      <c r="R417" s="24">
        <v>0</v>
      </c>
      <c r="S417" s="25">
        <v>0</v>
      </c>
      <c r="T417" s="24"/>
      <c r="U417" s="24">
        <v>0</v>
      </c>
      <c r="V417" s="25">
        <v>0</v>
      </c>
      <c r="W417" s="24">
        <v>0</v>
      </c>
      <c r="X417" s="14">
        <v>0</v>
      </c>
      <c r="Y417" s="24">
        <v>0</v>
      </c>
      <c r="Z417" s="24">
        <v>0</v>
      </c>
      <c r="AB417" s="24">
        <v>10001</v>
      </c>
      <c r="AC417" s="24">
        <v>-1</v>
      </c>
      <c r="AD417" s="24">
        <v>-1</v>
      </c>
      <c r="AE417" s="24">
        <v>-1</v>
      </c>
      <c r="AG417" s="24">
        <v>1</v>
      </c>
      <c r="AH417" s="24">
        <v>0</v>
      </c>
      <c r="AI417" s="24">
        <v>0</v>
      </c>
      <c r="AJ417" s="24">
        <v>0</v>
      </c>
      <c r="AK417" s="24">
        <v>0</v>
      </c>
      <c r="AL417" s="24">
        <v>3</v>
      </c>
      <c r="AM417" s="24">
        <v>0</v>
      </c>
      <c r="AN417" s="24">
        <v>0</v>
      </c>
      <c r="AO417" s="24">
        <v>0</v>
      </c>
      <c r="AP417" s="24">
        <v>0</v>
      </c>
      <c r="AQ417" s="24">
        <v>0</v>
      </c>
      <c r="AR417" s="24">
        <v>0</v>
      </c>
      <c r="AS417" s="24">
        <v>0</v>
      </c>
      <c r="AT417" s="24">
        <v>0</v>
      </c>
      <c r="AU417" s="24">
        <v>0</v>
      </c>
      <c r="AV417" s="24">
        <v>0</v>
      </c>
      <c r="AW417" s="24">
        <v>0</v>
      </c>
      <c r="AX417" s="24">
        <v>0</v>
      </c>
      <c r="AY417" s="24">
        <v>0</v>
      </c>
      <c r="BA417" s="24">
        <v>0</v>
      </c>
      <c r="BB417" s="24">
        <v>500</v>
      </c>
      <c r="BC417" s="24">
        <v>500</v>
      </c>
      <c r="BD417" s="24">
        <v>200</v>
      </c>
      <c r="BE417" s="24">
        <v>0</v>
      </c>
      <c r="BF417" s="24">
        <v>1</v>
      </c>
      <c r="BG417" s="25">
        <v>2</v>
      </c>
      <c r="BH417" s="24">
        <v>2</v>
      </c>
      <c r="BI417" s="24">
        <v>0</v>
      </c>
      <c r="BJ417" s="24">
        <v>0</v>
      </c>
      <c r="BK417" s="24">
        <v>0</v>
      </c>
      <c r="BL417" s="25">
        <v>126</v>
      </c>
      <c r="BM417" s="24">
        <v>0</v>
      </c>
      <c r="BO417" s="25">
        <v>1</v>
      </c>
      <c r="BP417" s="24">
        <v>8</v>
      </c>
      <c r="BQ417" s="14">
        <v>0</v>
      </c>
      <c r="BR417" s="24">
        <v>2</v>
      </c>
      <c r="BS417" s="24">
        <v>100</v>
      </c>
      <c r="BT417" s="24">
        <v>0</v>
      </c>
      <c r="BU417" s="24">
        <v>0</v>
      </c>
      <c r="BV417" s="24">
        <v>5</v>
      </c>
      <c r="BW417" s="24">
        <v>0</v>
      </c>
      <c r="BX417" s="24">
        <v>5</v>
      </c>
      <c r="BZ417" s="24">
        <v>60001</v>
      </c>
      <c r="CA417" s="24">
        <v>0</v>
      </c>
      <c r="CB417" s="24">
        <v>0</v>
      </c>
      <c r="CC417" s="24">
        <v>0</v>
      </c>
      <c r="CD417" s="24">
        <v>0</v>
      </c>
      <c r="CE417" s="24">
        <v>0</v>
      </c>
      <c r="CG417" s="24">
        <v>-1</v>
      </c>
      <c r="CH417" s="24">
        <v>0</v>
      </c>
      <c r="CI417" s="24">
        <v>0</v>
      </c>
      <c r="CJ417" s="24">
        <v>0</v>
      </c>
      <c r="CK417" s="24">
        <v>0</v>
      </c>
      <c r="CL417" s="24">
        <v>0</v>
      </c>
      <c r="CM417" s="24">
        <v>0</v>
      </c>
      <c r="CN417" s="24">
        <v>0</v>
      </c>
      <c r="CO417" s="24">
        <v>0</v>
      </c>
      <c r="CQ417" s="24">
        <v>0</v>
      </c>
      <c r="CR417" s="24">
        <v>0</v>
      </c>
      <c r="CS417" s="24">
        <v>0</v>
      </c>
      <c r="CT417" s="24">
        <v>0</v>
      </c>
      <c r="CV417" s="24">
        <v>100203</v>
      </c>
      <c r="CW417" s="24">
        <v>0</v>
      </c>
      <c r="CX417" s="24">
        <v>-1</v>
      </c>
      <c r="CY417" s="24">
        <v>0</v>
      </c>
      <c r="CZ417" s="24">
        <v>0</v>
      </c>
      <c r="DA417" s="24">
        <v>0</v>
      </c>
      <c r="DC417" s="24">
        <v>0</v>
      </c>
      <c r="DD417" s="24">
        <v>0</v>
      </c>
      <c r="DE417" s="24">
        <v>0</v>
      </c>
      <c r="DF417" s="24">
        <v>0</v>
      </c>
      <c r="DG417" s="24">
        <v>0</v>
      </c>
      <c r="DI417" s="24">
        <v>0</v>
      </c>
      <c r="DJ417" s="24">
        <v>0</v>
      </c>
      <c r="DL417" s="24">
        <v>0</v>
      </c>
      <c r="DM417" s="24">
        <v>0</v>
      </c>
      <c r="DO417" s="24">
        <v>0</v>
      </c>
      <c r="DP417" s="24">
        <v>0</v>
      </c>
      <c r="DQ417" s="24">
        <v>0</v>
      </c>
      <c r="DR417" s="24">
        <v>0</v>
      </c>
      <c r="DS417" s="24">
        <v>0</v>
      </c>
      <c r="DT417" s="24">
        <v>0</v>
      </c>
      <c r="DV417" s="24">
        <v>0</v>
      </c>
      <c r="DW417" s="24">
        <v>0</v>
      </c>
      <c r="DX417" s="24">
        <v>0</v>
      </c>
      <c r="DY417" s="24">
        <v>0</v>
      </c>
      <c r="DZ417" s="24">
        <v>0</v>
      </c>
    </row>
    <row r="418" spans="1:132">
      <c r="A418" s="24" t="s">
        <v>142</v>
      </c>
      <c r="B418" s="24" t="s">
        <v>142</v>
      </c>
      <c r="C418" s="24" t="s">
        <v>142</v>
      </c>
      <c r="D418" s="24" t="s">
        <v>142</v>
      </c>
      <c r="E418" s="24">
        <v>60002</v>
      </c>
      <c r="F418" s="24" t="s">
        <v>734</v>
      </c>
      <c r="G418" s="24">
        <v>0</v>
      </c>
      <c r="H418" s="24">
        <v>560002</v>
      </c>
      <c r="I418" s="24" t="s">
        <v>734</v>
      </c>
      <c r="J418" s="24" t="s">
        <v>734</v>
      </c>
      <c r="K418" s="24">
        <v>0</v>
      </c>
      <c r="M418" s="24">
        <v>102</v>
      </c>
      <c r="N418" s="24">
        <v>0</v>
      </c>
      <c r="P418" s="25">
        <v>2</v>
      </c>
      <c r="Q418" s="25">
        <v>655360</v>
      </c>
      <c r="R418" s="24">
        <v>0</v>
      </c>
      <c r="S418" s="25">
        <v>0</v>
      </c>
      <c r="T418" s="24"/>
      <c r="U418" s="24">
        <v>0</v>
      </c>
      <c r="V418" s="25">
        <v>0</v>
      </c>
      <c r="W418" s="24">
        <v>0</v>
      </c>
      <c r="X418" s="24">
        <v>0</v>
      </c>
      <c r="Y418" s="24">
        <v>0</v>
      </c>
      <c r="Z418" s="24">
        <v>0</v>
      </c>
      <c r="AB418" s="24">
        <v>10008</v>
      </c>
      <c r="AC418" s="24">
        <v>-1</v>
      </c>
      <c r="AD418" s="24">
        <v>-1</v>
      </c>
      <c r="AE418" s="24">
        <v>-1</v>
      </c>
      <c r="AG418" s="24">
        <v>1</v>
      </c>
      <c r="AH418" s="24">
        <v>0</v>
      </c>
      <c r="AI418" s="24">
        <v>0</v>
      </c>
      <c r="AJ418" s="24">
        <v>0</v>
      </c>
      <c r="AK418" s="24">
        <v>0</v>
      </c>
      <c r="AL418" s="24">
        <v>0</v>
      </c>
      <c r="AM418" s="24">
        <v>0</v>
      </c>
      <c r="AN418" s="24">
        <v>0</v>
      </c>
      <c r="AO418" s="24">
        <v>0</v>
      </c>
      <c r="AP418" s="24">
        <v>0</v>
      </c>
      <c r="AQ418" s="24">
        <v>0</v>
      </c>
      <c r="AR418" s="24">
        <v>0</v>
      </c>
      <c r="AS418" s="24">
        <v>0</v>
      </c>
      <c r="AT418" s="24">
        <v>0</v>
      </c>
      <c r="AU418" s="24">
        <v>0</v>
      </c>
      <c r="AV418" s="24">
        <v>0</v>
      </c>
      <c r="AW418" s="24">
        <v>0</v>
      </c>
      <c r="AX418" s="24">
        <v>0</v>
      </c>
      <c r="AY418" s="24">
        <v>0</v>
      </c>
      <c r="BA418" s="24">
        <v>0</v>
      </c>
      <c r="BB418" s="24">
        <v>400</v>
      </c>
      <c r="BC418" s="24">
        <v>700</v>
      </c>
      <c r="BD418" s="24">
        <v>200</v>
      </c>
      <c r="BE418" s="24">
        <v>0</v>
      </c>
      <c r="BF418" s="24">
        <v>1</v>
      </c>
      <c r="BG418" s="25">
        <v>1</v>
      </c>
      <c r="BH418" s="24">
        <v>1</v>
      </c>
      <c r="BI418" s="24">
        <v>0</v>
      </c>
      <c r="BJ418" s="24">
        <v>0</v>
      </c>
      <c r="BK418" s="24">
        <v>0</v>
      </c>
      <c r="BL418" s="25">
        <v>126</v>
      </c>
      <c r="BM418" s="24">
        <v>0</v>
      </c>
      <c r="BO418" s="25">
        <v>16</v>
      </c>
      <c r="BP418" s="24">
        <v>3</v>
      </c>
      <c r="BQ418" s="24">
        <v>2</v>
      </c>
      <c r="BR418" s="24">
        <v>1</v>
      </c>
      <c r="BS418" s="24">
        <v>1</v>
      </c>
      <c r="BT418" s="24">
        <v>30</v>
      </c>
      <c r="BU418" s="24">
        <v>10</v>
      </c>
      <c r="BV418" s="24">
        <v>6</v>
      </c>
      <c r="BW418" s="24">
        <v>0</v>
      </c>
      <c r="BX418" s="24">
        <v>3</v>
      </c>
      <c r="BZ418" s="24">
        <v>60002</v>
      </c>
      <c r="CA418" s="24">
        <v>0</v>
      </c>
      <c r="CB418" s="24">
        <v>0</v>
      </c>
      <c r="CC418" s="24">
        <v>0</v>
      </c>
      <c r="CD418" s="24">
        <v>0</v>
      </c>
      <c r="CE418" s="24">
        <v>0</v>
      </c>
      <c r="CG418" s="24">
        <v>-1</v>
      </c>
      <c r="CH418" s="24">
        <v>0</v>
      </c>
      <c r="CI418" s="24">
        <v>0</v>
      </c>
      <c r="CJ418" s="24">
        <v>0</v>
      </c>
      <c r="CK418" s="24">
        <v>0</v>
      </c>
      <c r="CL418" s="24">
        <v>0</v>
      </c>
      <c r="CM418" s="24">
        <v>0</v>
      </c>
      <c r="CN418" s="24">
        <v>0</v>
      </c>
      <c r="CO418" s="24">
        <v>0</v>
      </c>
      <c r="CQ418" s="24">
        <v>0</v>
      </c>
      <c r="CR418" s="24">
        <v>0</v>
      </c>
      <c r="CS418" s="24">
        <v>400</v>
      </c>
      <c r="CT418" s="24">
        <v>700</v>
      </c>
      <c r="CV418" s="24">
        <v>100101</v>
      </c>
      <c r="CW418" s="24">
        <v>51</v>
      </c>
      <c r="CX418" s="24">
        <v>-1</v>
      </c>
      <c r="CY418" s="24">
        <v>1</v>
      </c>
      <c r="CZ418" s="24">
        <v>1</v>
      </c>
      <c r="DA418" s="24">
        <v>0</v>
      </c>
      <c r="DC418" s="24">
        <v>0</v>
      </c>
      <c r="DD418" s="24">
        <v>0</v>
      </c>
      <c r="DE418" s="24">
        <v>0</v>
      </c>
      <c r="DF418" s="24">
        <v>0</v>
      </c>
      <c r="DG418" s="24">
        <v>0</v>
      </c>
      <c r="DI418" s="24">
        <v>0</v>
      </c>
      <c r="DJ418" s="24">
        <v>0</v>
      </c>
      <c r="DL418" s="24">
        <v>0</v>
      </c>
      <c r="DM418" s="24">
        <v>0</v>
      </c>
      <c r="DO418" s="24">
        <v>0</v>
      </c>
      <c r="DP418" s="24">
        <v>0</v>
      </c>
      <c r="DQ418" s="24">
        <v>0</v>
      </c>
      <c r="DR418" s="24">
        <v>0</v>
      </c>
      <c r="DS418" s="24">
        <v>0</v>
      </c>
      <c r="DT418" s="24">
        <v>0</v>
      </c>
      <c r="DV418" s="24">
        <v>0</v>
      </c>
      <c r="DW418" s="24">
        <v>0</v>
      </c>
      <c r="DX418" s="24">
        <v>0</v>
      </c>
      <c r="DY418" s="24">
        <v>0</v>
      </c>
      <c r="DZ418" s="24">
        <v>0</v>
      </c>
    </row>
    <row r="419" spans="1:132">
      <c r="A419" s="24" t="s">
        <v>142</v>
      </c>
      <c r="B419" s="24" t="s">
        <v>142</v>
      </c>
      <c r="C419" s="24" t="s">
        <v>142</v>
      </c>
      <c r="D419" s="24" t="s">
        <v>142</v>
      </c>
      <c r="E419" s="24">
        <v>60003</v>
      </c>
      <c r="F419" s="24" t="s">
        <v>735</v>
      </c>
      <c r="G419" s="24">
        <v>0</v>
      </c>
      <c r="H419" s="24">
        <v>560003</v>
      </c>
      <c r="I419" s="24" t="s">
        <v>735</v>
      </c>
      <c r="J419" s="24" t="s">
        <v>735</v>
      </c>
      <c r="K419" s="24">
        <v>0</v>
      </c>
      <c r="M419" s="24">
        <v>102</v>
      </c>
      <c r="N419" s="24">
        <v>0</v>
      </c>
      <c r="P419" s="25">
        <v>2</v>
      </c>
      <c r="Q419" s="25">
        <v>524544</v>
      </c>
      <c r="R419" s="24">
        <v>0</v>
      </c>
      <c r="S419" s="25">
        <v>2</v>
      </c>
      <c r="T419" s="24"/>
      <c r="U419" s="24">
        <v>0</v>
      </c>
      <c r="V419" s="25">
        <v>0</v>
      </c>
      <c r="W419" s="24">
        <v>0</v>
      </c>
      <c r="X419" s="24">
        <v>0</v>
      </c>
      <c r="Y419" s="24">
        <v>0</v>
      </c>
      <c r="Z419" s="24">
        <v>0</v>
      </c>
      <c r="AB419" s="24">
        <v>10001</v>
      </c>
      <c r="AC419" s="24">
        <v>-1</v>
      </c>
      <c r="AD419" s="24">
        <v>-1</v>
      </c>
      <c r="AE419" s="24">
        <v>-1</v>
      </c>
      <c r="AG419" s="24">
        <v>1</v>
      </c>
      <c r="AH419" s="24">
        <v>0</v>
      </c>
      <c r="AI419" s="24">
        <v>0</v>
      </c>
      <c r="AJ419" s="24">
        <v>0</v>
      </c>
      <c r="AK419" s="24">
        <v>0</v>
      </c>
      <c r="AL419" s="24">
        <v>0</v>
      </c>
      <c r="AM419" s="24">
        <v>0</v>
      </c>
      <c r="AN419" s="24">
        <v>0</v>
      </c>
      <c r="AO419" s="24">
        <v>0</v>
      </c>
      <c r="AP419" s="24">
        <v>0</v>
      </c>
      <c r="AQ419" s="24">
        <v>0</v>
      </c>
      <c r="AR419" s="24">
        <v>0</v>
      </c>
      <c r="AS419" s="24">
        <v>0</v>
      </c>
      <c r="AT419" s="24">
        <v>0</v>
      </c>
      <c r="AU419" s="24">
        <v>0</v>
      </c>
      <c r="AV419" s="24">
        <v>0</v>
      </c>
      <c r="AW419" s="24">
        <v>0</v>
      </c>
      <c r="AX419" s="24">
        <v>0</v>
      </c>
      <c r="AY419" s="24">
        <v>0</v>
      </c>
      <c r="BA419" s="24">
        <v>0</v>
      </c>
      <c r="BB419" s="24">
        <v>500</v>
      </c>
      <c r="BC419" s="24">
        <v>667</v>
      </c>
      <c r="BD419" s="24">
        <v>400</v>
      </c>
      <c r="BE419" s="24">
        <v>0</v>
      </c>
      <c r="BF419" s="24">
        <v>1</v>
      </c>
      <c r="BG419" s="25">
        <v>17</v>
      </c>
      <c r="BH419" s="24">
        <v>1</v>
      </c>
      <c r="BI419" s="24">
        <v>0</v>
      </c>
      <c r="BJ419" s="24">
        <v>0</v>
      </c>
      <c r="BK419" s="24">
        <v>0</v>
      </c>
      <c r="BL419" s="25">
        <v>126</v>
      </c>
      <c r="BM419" s="24">
        <v>0</v>
      </c>
      <c r="BO419" s="25">
        <v>1</v>
      </c>
      <c r="BP419" s="24">
        <v>20</v>
      </c>
      <c r="BQ419" s="24">
        <v>0</v>
      </c>
      <c r="BR419" s="24">
        <v>2</v>
      </c>
      <c r="BS419" s="24">
        <v>50</v>
      </c>
      <c r="BT419" s="24">
        <v>0</v>
      </c>
      <c r="BU419" s="24">
        <v>0</v>
      </c>
      <c r="BV419" s="24">
        <v>6</v>
      </c>
      <c r="BW419" s="24">
        <v>0</v>
      </c>
      <c r="BX419" s="24">
        <v>4</v>
      </c>
      <c r="BZ419" s="24">
        <v>60003</v>
      </c>
      <c r="CA419" s="24">
        <v>0</v>
      </c>
      <c r="CB419" s="24">
        <v>0</v>
      </c>
      <c r="CC419" s="24">
        <v>0</v>
      </c>
      <c r="CD419" s="24">
        <v>0</v>
      </c>
      <c r="CE419" s="24">
        <v>0</v>
      </c>
      <c r="CG419" s="24">
        <v>-1</v>
      </c>
      <c r="CH419" s="24">
        <v>0</v>
      </c>
      <c r="CI419" s="24">
        <v>0</v>
      </c>
      <c r="CJ419" s="24">
        <v>0</v>
      </c>
      <c r="CK419" s="24">
        <v>0</v>
      </c>
      <c r="CL419" s="24">
        <v>0</v>
      </c>
      <c r="CM419" s="24">
        <v>0</v>
      </c>
      <c r="CN419" s="24">
        <v>0</v>
      </c>
      <c r="CO419" s="24">
        <v>0</v>
      </c>
      <c r="CQ419" s="24">
        <v>0</v>
      </c>
      <c r="CR419" s="24">
        <v>0</v>
      </c>
      <c r="CS419" s="24">
        <v>0</v>
      </c>
      <c r="CT419" s="24">
        <v>0</v>
      </c>
      <c r="CV419" s="24">
        <v>100104</v>
      </c>
      <c r="CW419" s="24">
        <v>0</v>
      </c>
      <c r="CX419" s="24">
        <v>-1</v>
      </c>
      <c r="CY419" s="24">
        <v>1</v>
      </c>
      <c r="CZ419" s="24">
        <v>2</v>
      </c>
      <c r="DA419" s="24">
        <v>0</v>
      </c>
      <c r="DC419" s="24">
        <v>0</v>
      </c>
      <c r="DD419" s="24">
        <v>0</v>
      </c>
      <c r="DE419" s="24">
        <v>0</v>
      </c>
      <c r="DF419" s="24">
        <v>0</v>
      </c>
      <c r="DG419" s="24">
        <v>0</v>
      </c>
      <c r="DI419" s="24">
        <v>0</v>
      </c>
      <c r="DJ419" s="24">
        <v>0</v>
      </c>
      <c r="DL419" s="24">
        <v>0</v>
      </c>
      <c r="DM419" s="24">
        <v>0</v>
      </c>
      <c r="DO419" s="24">
        <v>0</v>
      </c>
      <c r="DP419" s="24">
        <v>0</v>
      </c>
      <c r="DQ419" s="24">
        <v>0</v>
      </c>
      <c r="DR419" s="24">
        <v>0</v>
      </c>
      <c r="DS419" s="24">
        <v>0</v>
      </c>
      <c r="DT419" s="24">
        <v>0</v>
      </c>
      <c r="DV419" s="24">
        <v>0</v>
      </c>
      <c r="DW419" s="24">
        <v>0</v>
      </c>
      <c r="DX419" s="24">
        <v>0</v>
      </c>
      <c r="DY419" s="24">
        <v>0</v>
      </c>
      <c r="DZ419" s="24">
        <v>0</v>
      </c>
    </row>
    <row r="420" spans="1:132">
      <c r="A420" s="24" t="s">
        <v>142</v>
      </c>
      <c r="B420" s="24" t="s">
        <v>142</v>
      </c>
      <c r="C420" s="24" t="s">
        <v>142</v>
      </c>
      <c r="D420" s="24" t="s">
        <v>142</v>
      </c>
      <c r="E420" s="24">
        <v>60004</v>
      </c>
      <c r="F420" s="24" t="s">
        <v>736</v>
      </c>
      <c r="G420" s="24">
        <v>0</v>
      </c>
      <c r="H420" s="24">
        <v>560004</v>
      </c>
      <c r="I420" s="24" t="s">
        <v>736</v>
      </c>
      <c r="J420" s="24" t="s">
        <v>736</v>
      </c>
      <c r="K420" s="24">
        <v>0</v>
      </c>
      <c r="M420" s="24">
        <v>102</v>
      </c>
      <c r="N420" s="24">
        <v>0</v>
      </c>
      <c r="P420" s="25">
        <v>12</v>
      </c>
      <c r="Q420" s="25">
        <v>0</v>
      </c>
      <c r="R420" s="24">
        <v>0</v>
      </c>
      <c r="S420" s="27">
        <v>0</v>
      </c>
      <c r="U420" s="24">
        <v>3</v>
      </c>
      <c r="V420" s="25">
        <v>2</v>
      </c>
      <c r="W420" s="24">
        <v>0</v>
      </c>
      <c r="X420" s="24">
        <v>15106</v>
      </c>
      <c r="Y420" s="24">
        <v>0</v>
      </c>
      <c r="Z420" s="24">
        <v>1000</v>
      </c>
      <c r="AB420" s="24">
        <v>30001</v>
      </c>
      <c r="AC420" s="24">
        <v>-1</v>
      </c>
      <c r="AD420" s="24">
        <v>-1</v>
      </c>
      <c r="AE420" s="24">
        <v>-1</v>
      </c>
      <c r="AG420" s="24">
        <v>1</v>
      </c>
      <c r="AH420" s="24">
        <v>0</v>
      </c>
      <c r="AI420" s="24">
        <v>0</v>
      </c>
      <c r="AJ420" s="24">
        <v>0</v>
      </c>
      <c r="AK420" s="24">
        <v>0</v>
      </c>
      <c r="AL420" s="24">
        <v>0</v>
      </c>
      <c r="AM420" s="24">
        <v>0</v>
      </c>
      <c r="AN420" s="24">
        <v>0</v>
      </c>
      <c r="AO420" s="24">
        <v>0</v>
      </c>
      <c r="AP420" s="24">
        <v>0</v>
      </c>
      <c r="AQ420" s="24">
        <v>0</v>
      </c>
      <c r="AR420" s="24">
        <v>0</v>
      </c>
      <c r="AS420" s="24">
        <v>0</v>
      </c>
      <c r="AT420" s="24">
        <v>0</v>
      </c>
      <c r="AU420" s="24">
        <v>0</v>
      </c>
      <c r="AV420" s="24">
        <v>0</v>
      </c>
      <c r="AW420" s="24">
        <v>0</v>
      </c>
      <c r="AX420" s="24">
        <v>0</v>
      </c>
      <c r="AY420" s="24">
        <v>0</v>
      </c>
      <c r="BA420" s="24">
        <v>0</v>
      </c>
      <c r="BB420" s="24">
        <v>500</v>
      </c>
      <c r="BC420" s="24">
        <v>667</v>
      </c>
      <c r="BD420" s="24">
        <v>400</v>
      </c>
      <c r="BE420" s="24">
        <v>0</v>
      </c>
      <c r="BF420" s="24">
        <v>1</v>
      </c>
      <c r="BG420" s="25">
        <v>1024</v>
      </c>
      <c r="BH420" s="24">
        <v>4</v>
      </c>
      <c r="BI420" s="24">
        <v>60004</v>
      </c>
      <c r="BJ420" s="24">
        <v>1</v>
      </c>
      <c r="BK420" s="24">
        <v>1</v>
      </c>
      <c r="BL420" s="25">
        <v>126</v>
      </c>
      <c r="BM420" s="24">
        <v>0</v>
      </c>
      <c r="BO420" s="25">
        <v>1</v>
      </c>
      <c r="BP420" s="24">
        <v>0</v>
      </c>
      <c r="BQ420" s="24">
        <v>0</v>
      </c>
      <c r="BR420" s="24">
        <v>2</v>
      </c>
      <c r="BS420" s="24">
        <v>50</v>
      </c>
      <c r="BT420" s="24">
        <v>0</v>
      </c>
      <c r="BU420" s="24">
        <v>0</v>
      </c>
      <c r="BV420" s="24">
        <v>6</v>
      </c>
      <c r="BW420" s="24">
        <v>0</v>
      </c>
      <c r="BX420" s="24">
        <v>4</v>
      </c>
      <c r="BZ420" s="24">
        <v>-1</v>
      </c>
      <c r="CA420" s="24">
        <v>0</v>
      </c>
      <c r="CB420" s="24">
        <v>0</v>
      </c>
      <c r="CC420" s="24">
        <v>0</v>
      </c>
      <c r="CD420" s="24">
        <v>0</v>
      </c>
      <c r="CE420" s="24">
        <v>0</v>
      </c>
      <c r="CG420" s="24">
        <v>-1</v>
      </c>
      <c r="CH420" s="24">
        <v>0</v>
      </c>
      <c r="CI420" s="24">
        <v>0</v>
      </c>
      <c r="CJ420" s="24">
        <v>0</v>
      </c>
      <c r="CK420" s="24">
        <v>0</v>
      </c>
      <c r="CL420" s="24">
        <v>0</v>
      </c>
      <c r="CM420" s="24">
        <v>0</v>
      </c>
      <c r="CN420" s="24">
        <v>0</v>
      </c>
      <c r="CO420" s="24">
        <v>0</v>
      </c>
      <c r="CQ420" s="24">
        <v>0</v>
      </c>
      <c r="CR420" s="24">
        <v>0</v>
      </c>
      <c r="CS420" s="24">
        <v>0</v>
      </c>
      <c r="CT420" s="24">
        <v>0</v>
      </c>
      <c r="CV420" s="24">
        <v>0</v>
      </c>
      <c r="CW420" s="24">
        <v>0</v>
      </c>
      <c r="CX420" s="24">
        <v>-1</v>
      </c>
      <c r="CY420" s="24">
        <v>0</v>
      </c>
      <c r="CZ420" s="24">
        <v>0</v>
      </c>
      <c r="DA420" s="24">
        <v>0</v>
      </c>
      <c r="DC420" s="24">
        <v>0</v>
      </c>
      <c r="DD420" s="24">
        <v>0</v>
      </c>
      <c r="DE420" s="24">
        <v>0</v>
      </c>
      <c r="DF420" s="24">
        <v>0</v>
      </c>
      <c r="DG420" s="24">
        <v>0</v>
      </c>
      <c r="DI420" s="24">
        <v>0</v>
      </c>
      <c r="DJ420" s="24">
        <v>0</v>
      </c>
      <c r="DL420" s="24">
        <v>0</v>
      </c>
      <c r="DM420" s="24">
        <v>0</v>
      </c>
      <c r="DO420" s="24">
        <v>0</v>
      </c>
      <c r="DP420" s="24">
        <v>0</v>
      </c>
      <c r="DQ420" s="24">
        <v>0</v>
      </c>
      <c r="DR420" s="24">
        <v>0</v>
      </c>
      <c r="DS420" s="24">
        <v>0</v>
      </c>
      <c r="DT420" s="24">
        <v>0</v>
      </c>
      <c r="DV420" s="24">
        <v>0</v>
      </c>
      <c r="DW420" s="24">
        <v>0</v>
      </c>
      <c r="DX420" s="24">
        <v>0</v>
      </c>
      <c r="DY420" s="24">
        <v>0</v>
      </c>
      <c r="DZ420" s="24">
        <v>0</v>
      </c>
    </row>
    <row r="421" spans="1:132" s="14" customFormat="1">
      <c r="A421" s="14" t="s">
        <v>142</v>
      </c>
      <c r="B421" s="14" t="s">
        <v>142</v>
      </c>
      <c r="C421" s="14" t="s">
        <v>142</v>
      </c>
      <c r="D421" s="14" t="s">
        <v>142</v>
      </c>
      <c r="E421" s="14">
        <v>60005</v>
      </c>
      <c r="F421" s="14" t="s">
        <v>737</v>
      </c>
      <c r="G421" s="14">
        <v>0</v>
      </c>
      <c r="H421" s="14">
        <v>560002</v>
      </c>
      <c r="I421" s="14" t="s">
        <v>737</v>
      </c>
      <c r="J421" s="14" t="s">
        <v>737</v>
      </c>
      <c r="K421" s="14">
        <v>0</v>
      </c>
      <c r="M421" s="14">
        <v>102</v>
      </c>
      <c r="N421" s="14">
        <v>0</v>
      </c>
      <c r="P421" s="14">
        <v>2</v>
      </c>
      <c r="Q421" s="14">
        <v>655360</v>
      </c>
      <c r="R421" s="14">
        <v>0</v>
      </c>
      <c r="S421" s="14">
        <v>0</v>
      </c>
      <c r="U421" s="14">
        <v>0</v>
      </c>
      <c r="V421" s="14">
        <v>0</v>
      </c>
      <c r="W421" s="14">
        <v>0</v>
      </c>
      <c r="X421" s="14">
        <v>0</v>
      </c>
      <c r="Y421" s="14">
        <v>0</v>
      </c>
      <c r="Z421" s="14">
        <v>0</v>
      </c>
      <c r="AB421" s="14">
        <v>10001</v>
      </c>
      <c r="AC421" s="14">
        <v>-1</v>
      </c>
      <c r="AD421" s="14">
        <v>-1</v>
      </c>
      <c r="AE421" s="14">
        <v>-1</v>
      </c>
      <c r="AG421" s="14">
        <v>1</v>
      </c>
      <c r="AH421" s="14">
        <v>0</v>
      </c>
      <c r="AI421" s="14">
        <v>0</v>
      </c>
      <c r="AJ421" s="14">
        <v>0</v>
      </c>
      <c r="AK421" s="14">
        <v>0</v>
      </c>
      <c r="AL421" s="14">
        <v>0</v>
      </c>
      <c r="AM421" s="14">
        <v>0</v>
      </c>
      <c r="AN421" s="14">
        <v>0</v>
      </c>
      <c r="AO421" s="14">
        <v>0</v>
      </c>
      <c r="AP421" s="14">
        <v>0</v>
      </c>
      <c r="AQ421" s="14">
        <v>0</v>
      </c>
      <c r="AR421" s="14">
        <v>0</v>
      </c>
      <c r="AS421" s="14">
        <v>0</v>
      </c>
      <c r="AT421" s="14">
        <v>0</v>
      </c>
      <c r="AU421" s="14">
        <v>0</v>
      </c>
      <c r="AV421" s="14">
        <v>0</v>
      </c>
      <c r="AW421" s="14">
        <v>0</v>
      </c>
      <c r="AX421" s="14">
        <v>0</v>
      </c>
      <c r="AY421" s="14">
        <v>0</v>
      </c>
      <c r="BA421" s="14">
        <v>0</v>
      </c>
      <c r="BB421" s="14">
        <v>2150</v>
      </c>
      <c r="BC421" s="14">
        <v>2150</v>
      </c>
      <c r="BD421" s="14">
        <v>1000</v>
      </c>
      <c r="BE421" s="14">
        <v>0</v>
      </c>
      <c r="BF421" s="14">
        <v>1</v>
      </c>
      <c r="BG421" s="25">
        <v>1</v>
      </c>
      <c r="BH421" s="24">
        <v>1</v>
      </c>
      <c r="BI421" s="14">
        <v>0</v>
      </c>
      <c r="BJ421" s="24">
        <v>0</v>
      </c>
      <c r="BK421" s="24">
        <v>0</v>
      </c>
      <c r="BL421" s="25">
        <v>126</v>
      </c>
      <c r="BM421" s="24">
        <v>0</v>
      </c>
      <c r="BO421" s="25">
        <v>16</v>
      </c>
      <c r="BP421" s="24">
        <v>4</v>
      </c>
      <c r="BQ421" s="14">
        <v>0</v>
      </c>
      <c r="BR421" s="14">
        <v>3</v>
      </c>
      <c r="BS421" s="14">
        <v>0</v>
      </c>
      <c r="BT421" s="14">
        <v>4</v>
      </c>
      <c r="BU421" s="14">
        <v>120</v>
      </c>
      <c r="BV421" s="14">
        <v>6</v>
      </c>
      <c r="BW421" s="14">
        <v>0</v>
      </c>
      <c r="BX421" s="14">
        <v>4</v>
      </c>
      <c r="BZ421" s="14">
        <v>60005</v>
      </c>
      <c r="CA421" s="14">
        <v>0</v>
      </c>
      <c r="CB421" s="14">
        <v>0</v>
      </c>
      <c r="CC421" s="14">
        <v>0</v>
      </c>
      <c r="CD421" s="14">
        <v>0</v>
      </c>
      <c r="CE421" s="14">
        <v>0</v>
      </c>
      <c r="CG421" s="14">
        <v>-1</v>
      </c>
      <c r="CH421" s="14">
        <v>0</v>
      </c>
      <c r="CI421" s="14">
        <v>0</v>
      </c>
      <c r="CJ421" s="14">
        <v>0</v>
      </c>
      <c r="CK421" s="14">
        <v>0</v>
      </c>
      <c r="CL421" s="14">
        <v>0</v>
      </c>
      <c r="CM421" s="14">
        <v>0</v>
      </c>
      <c r="CN421" s="14">
        <v>0</v>
      </c>
      <c r="CO421" s="14">
        <v>0</v>
      </c>
      <c r="CQ421" s="14">
        <v>0</v>
      </c>
      <c r="CR421" s="14">
        <v>0</v>
      </c>
      <c r="CS421" s="14">
        <v>0</v>
      </c>
      <c r="CT421" s="14">
        <v>0</v>
      </c>
      <c r="CV421" s="14">
        <v>5001</v>
      </c>
      <c r="CW421" s="14">
        <v>0</v>
      </c>
      <c r="CX421" s="14">
        <v>-1</v>
      </c>
      <c r="CY421" s="14">
        <v>1</v>
      </c>
      <c r="CZ421" s="24">
        <v>1</v>
      </c>
      <c r="DA421" s="14">
        <v>0</v>
      </c>
      <c r="DC421" s="14">
        <v>0</v>
      </c>
      <c r="DD421" s="14">
        <v>0</v>
      </c>
      <c r="DE421" s="14">
        <v>0</v>
      </c>
      <c r="DF421" s="14">
        <v>0</v>
      </c>
      <c r="DG421" s="14">
        <v>0</v>
      </c>
      <c r="DI421" s="14">
        <v>0</v>
      </c>
      <c r="DJ421" s="14">
        <v>0</v>
      </c>
      <c r="DL421" s="14">
        <v>0</v>
      </c>
      <c r="DM421" s="14">
        <v>0</v>
      </c>
      <c r="DO421" s="14">
        <v>0</v>
      </c>
      <c r="DP421" s="14">
        <v>0</v>
      </c>
      <c r="DQ421" s="14">
        <v>0</v>
      </c>
      <c r="DR421" s="14">
        <v>0</v>
      </c>
      <c r="DS421" s="14">
        <v>0</v>
      </c>
      <c r="DT421" s="14">
        <v>0</v>
      </c>
      <c r="DV421" s="14">
        <v>0</v>
      </c>
      <c r="DW421" s="14">
        <v>0</v>
      </c>
      <c r="DX421" s="14">
        <v>0</v>
      </c>
      <c r="DY421" s="14">
        <v>0</v>
      </c>
      <c r="DZ421" s="14">
        <v>0</v>
      </c>
    </row>
    <row r="422" spans="1:132" s="14" customFormat="1">
      <c r="A422" s="14" t="s">
        <v>142</v>
      </c>
      <c r="B422" s="14" t="s">
        <v>142</v>
      </c>
      <c r="C422" s="14" t="s">
        <v>142</v>
      </c>
      <c r="D422" s="14" t="s">
        <v>142</v>
      </c>
      <c r="E422" s="14">
        <v>60006</v>
      </c>
      <c r="F422" s="14" t="s">
        <v>738</v>
      </c>
      <c r="G422" s="14">
        <v>0</v>
      </c>
      <c r="H422" s="14">
        <v>560002</v>
      </c>
      <c r="I422" s="14" t="s">
        <v>738</v>
      </c>
      <c r="J422" s="14" t="s">
        <v>738</v>
      </c>
      <c r="K422" s="14">
        <v>0</v>
      </c>
      <c r="M422" s="14">
        <v>102</v>
      </c>
      <c r="N422" s="14">
        <v>0</v>
      </c>
      <c r="P422" s="14">
        <v>2</v>
      </c>
      <c r="Q422" s="14">
        <v>655360</v>
      </c>
      <c r="R422" s="14">
        <v>0</v>
      </c>
      <c r="S422" s="14">
        <v>0</v>
      </c>
      <c r="U422" s="14">
        <v>0</v>
      </c>
      <c r="V422" s="14">
        <v>0</v>
      </c>
      <c r="W422" s="14">
        <v>0</v>
      </c>
      <c r="X422" s="14">
        <v>0</v>
      </c>
      <c r="Y422" s="14">
        <v>0</v>
      </c>
      <c r="Z422" s="14">
        <v>0</v>
      </c>
      <c r="AB422" s="14">
        <v>10001</v>
      </c>
      <c r="AC422" s="14">
        <v>-1</v>
      </c>
      <c r="AD422" s="14">
        <v>-1</v>
      </c>
      <c r="AE422" s="14">
        <v>-1</v>
      </c>
      <c r="AG422" s="14">
        <v>1</v>
      </c>
      <c r="AH422" s="14">
        <v>0</v>
      </c>
      <c r="AI422" s="14">
        <v>0</v>
      </c>
      <c r="AJ422" s="14">
        <v>0</v>
      </c>
      <c r="AK422" s="14">
        <v>0</v>
      </c>
      <c r="AL422" s="14">
        <v>0</v>
      </c>
      <c r="AM422" s="14">
        <v>0</v>
      </c>
      <c r="AN422" s="14">
        <v>0</v>
      </c>
      <c r="AO422" s="14">
        <v>0</v>
      </c>
      <c r="AP422" s="14">
        <v>0</v>
      </c>
      <c r="AQ422" s="14">
        <v>0</v>
      </c>
      <c r="AR422" s="14">
        <v>0</v>
      </c>
      <c r="AS422" s="14">
        <v>0</v>
      </c>
      <c r="AT422" s="14">
        <v>0</v>
      </c>
      <c r="AU422" s="14">
        <v>0</v>
      </c>
      <c r="AV422" s="14">
        <v>0</v>
      </c>
      <c r="AW422" s="14">
        <v>0</v>
      </c>
      <c r="AX422" s="14">
        <v>0</v>
      </c>
      <c r="AY422" s="14">
        <v>0</v>
      </c>
      <c r="BA422" s="14">
        <v>0</v>
      </c>
      <c r="BB422" s="14">
        <v>4150</v>
      </c>
      <c r="BC422" s="14">
        <v>4150</v>
      </c>
      <c r="BD422" s="14">
        <v>1500</v>
      </c>
      <c r="BE422" s="14">
        <v>500</v>
      </c>
      <c r="BF422" s="14">
        <v>2</v>
      </c>
      <c r="BG422" s="25">
        <v>1</v>
      </c>
      <c r="BH422" s="24">
        <v>1</v>
      </c>
      <c r="BI422" s="14">
        <v>0</v>
      </c>
      <c r="BJ422" s="24">
        <v>0</v>
      </c>
      <c r="BK422" s="24">
        <v>0</v>
      </c>
      <c r="BL422" s="25">
        <v>126</v>
      </c>
      <c r="BM422" s="24">
        <v>0</v>
      </c>
      <c r="BO422" s="25">
        <v>16</v>
      </c>
      <c r="BP422" s="24">
        <v>4</v>
      </c>
      <c r="BQ422" s="14">
        <v>0</v>
      </c>
      <c r="BR422" s="14">
        <v>3</v>
      </c>
      <c r="BS422" s="14">
        <v>0</v>
      </c>
      <c r="BT422" s="14">
        <v>4</v>
      </c>
      <c r="BU422" s="14">
        <v>120</v>
      </c>
      <c r="BV422" s="14">
        <v>6</v>
      </c>
      <c r="BW422" s="14">
        <v>0</v>
      </c>
      <c r="BX422" s="14">
        <v>4</v>
      </c>
      <c r="BZ422" s="14">
        <v>60006</v>
      </c>
      <c r="CA422" s="14">
        <v>0</v>
      </c>
      <c r="CB422" s="14">
        <v>0</v>
      </c>
      <c r="CC422" s="14">
        <v>0</v>
      </c>
      <c r="CD422" s="14">
        <v>0</v>
      </c>
      <c r="CE422" s="14">
        <v>0</v>
      </c>
      <c r="CG422" s="14">
        <v>-1</v>
      </c>
      <c r="CH422" s="14">
        <v>0</v>
      </c>
      <c r="CI422" s="14">
        <v>0</v>
      </c>
      <c r="CJ422" s="14">
        <v>0</v>
      </c>
      <c r="CK422" s="14">
        <v>0</v>
      </c>
      <c r="CL422" s="14">
        <v>0</v>
      </c>
      <c r="CM422" s="14">
        <v>0</v>
      </c>
      <c r="CN422" s="14">
        <v>0</v>
      </c>
      <c r="CO422" s="14">
        <v>0</v>
      </c>
      <c r="CQ422" s="14">
        <v>0</v>
      </c>
      <c r="CR422" s="14">
        <v>0</v>
      </c>
      <c r="CS422" s="14">
        <v>0</v>
      </c>
      <c r="CT422" s="14">
        <v>0</v>
      </c>
      <c r="CV422" s="14">
        <v>5002</v>
      </c>
      <c r="CW422" s="14">
        <v>0</v>
      </c>
      <c r="CX422" s="14">
        <v>-1</v>
      </c>
      <c r="CY422" s="14">
        <v>1</v>
      </c>
      <c r="CZ422" s="24">
        <v>1</v>
      </c>
      <c r="DA422" s="14">
        <v>0</v>
      </c>
      <c r="DC422" s="14">
        <v>0</v>
      </c>
      <c r="DD422" s="14">
        <v>0</v>
      </c>
      <c r="DE422" s="14">
        <v>0</v>
      </c>
      <c r="DF422" s="14">
        <v>0</v>
      </c>
      <c r="DG422" s="14">
        <v>0</v>
      </c>
      <c r="DI422" s="14">
        <v>0</v>
      </c>
      <c r="DJ422" s="14">
        <v>0</v>
      </c>
      <c r="DL422" s="14">
        <v>0</v>
      </c>
      <c r="DM422" s="14">
        <v>0</v>
      </c>
      <c r="DO422" s="14">
        <v>0</v>
      </c>
      <c r="DP422" s="14">
        <v>0</v>
      </c>
      <c r="DQ422" s="14">
        <v>0</v>
      </c>
      <c r="DR422" s="14">
        <v>0</v>
      </c>
      <c r="DS422" s="14">
        <v>0</v>
      </c>
      <c r="DT422" s="14">
        <v>0</v>
      </c>
      <c r="DV422" s="14">
        <v>0</v>
      </c>
      <c r="DW422" s="14">
        <v>0</v>
      </c>
      <c r="DX422" s="14">
        <v>0</v>
      </c>
      <c r="DY422" s="14">
        <v>0</v>
      </c>
      <c r="DZ422" s="14">
        <v>0</v>
      </c>
    </row>
    <row r="423" spans="1:132" s="14" customFormat="1">
      <c r="A423" s="14" t="s">
        <v>142</v>
      </c>
      <c r="B423" s="14" t="s">
        <v>142</v>
      </c>
      <c r="C423" s="14" t="s">
        <v>142</v>
      </c>
      <c r="D423" s="14" t="s">
        <v>142</v>
      </c>
      <c r="E423" s="14">
        <v>60007</v>
      </c>
      <c r="F423" s="14" t="s">
        <v>739</v>
      </c>
      <c r="G423" s="14">
        <v>0</v>
      </c>
      <c r="H423" s="14">
        <v>560002</v>
      </c>
      <c r="I423" s="14" t="s">
        <v>739</v>
      </c>
      <c r="J423" s="14" t="s">
        <v>739</v>
      </c>
      <c r="K423" s="14">
        <v>0</v>
      </c>
      <c r="M423" s="14">
        <v>102</v>
      </c>
      <c r="N423" s="14">
        <v>0</v>
      </c>
      <c r="P423" s="14">
        <v>2</v>
      </c>
      <c r="Q423" s="14">
        <v>655360</v>
      </c>
      <c r="R423" s="14">
        <v>0</v>
      </c>
      <c r="S423" s="14">
        <v>0</v>
      </c>
      <c r="U423" s="14">
        <v>0</v>
      </c>
      <c r="V423" s="14">
        <v>0</v>
      </c>
      <c r="W423" s="14">
        <v>0</v>
      </c>
      <c r="X423" s="14">
        <v>0</v>
      </c>
      <c r="Y423" s="14">
        <v>0</v>
      </c>
      <c r="Z423" s="14">
        <v>0</v>
      </c>
      <c r="AB423" s="14">
        <v>10001</v>
      </c>
      <c r="AC423" s="14">
        <v>-1</v>
      </c>
      <c r="AD423" s="14">
        <v>-1</v>
      </c>
      <c r="AE423" s="14">
        <v>-1</v>
      </c>
      <c r="AG423" s="14">
        <v>1</v>
      </c>
      <c r="AH423" s="14">
        <v>0</v>
      </c>
      <c r="AI423" s="14">
        <v>0</v>
      </c>
      <c r="AJ423" s="14">
        <v>0</v>
      </c>
      <c r="AK423" s="14">
        <v>0</v>
      </c>
      <c r="AL423" s="14">
        <v>0</v>
      </c>
      <c r="AM423" s="14">
        <v>0</v>
      </c>
      <c r="AN423" s="14">
        <v>0</v>
      </c>
      <c r="AO423" s="14">
        <v>0</v>
      </c>
      <c r="AP423" s="14">
        <v>0</v>
      </c>
      <c r="AQ423" s="14">
        <v>0</v>
      </c>
      <c r="AR423" s="14">
        <v>0</v>
      </c>
      <c r="AS423" s="14">
        <v>0</v>
      </c>
      <c r="AT423" s="14">
        <v>0</v>
      </c>
      <c r="AU423" s="14">
        <v>0</v>
      </c>
      <c r="AV423" s="14">
        <v>0</v>
      </c>
      <c r="AW423" s="14">
        <v>0</v>
      </c>
      <c r="AX423" s="14">
        <v>0</v>
      </c>
      <c r="AY423" s="14">
        <v>0</v>
      </c>
      <c r="BA423" s="14">
        <v>0</v>
      </c>
      <c r="BB423" s="14">
        <v>2270</v>
      </c>
      <c r="BC423" s="14">
        <v>2270</v>
      </c>
      <c r="BD423" s="14">
        <v>1100</v>
      </c>
      <c r="BE423" s="14">
        <v>0</v>
      </c>
      <c r="BF423" s="14">
        <v>1</v>
      </c>
      <c r="BG423" s="25">
        <v>1</v>
      </c>
      <c r="BH423" s="24">
        <v>1</v>
      </c>
      <c r="BI423" s="14">
        <v>0</v>
      </c>
      <c r="BJ423" s="24">
        <v>0</v>
      </c>
      <c r="BK423" s="24">
        <v>0</v>
      </c>
      <c r="BL423" s="25">
        <v>126</v>
      </c>
      <c r="BM423" s="24">
        <v>0</v>
      </c>
      <c r="BO423" s="25">
        <v>16</v>
      </c>
      <c r="BP423" s="24">
        <v>50</v>
      </c>
      <c r="BQ423" s="14">
        <v>0</v>
      </c>
      <c r="BR423" s="14">
        <v>2</v>
      </c>
      <c r="BS423" s="14">
        <v>50</v>
      </c>
      <c r="BT423" s="14">
        <v>0</v>
      </c>
      <c r="BU423" s="14">
        <v>0</v>
      </c>
      <c r="BV423" s="14">
        <v>6</v>
      </c>
      <c r="BW423" s="14">
        <v>0</v>
      </c>
      <c r="BX423" s="14">
        <v>4</v>
      </c>
      <c r="BZ423" s="14">
        <v>60007</v>
      </c>
      <c r="CA423" s="14">
        <v>0</v>
      </c>
      <c r="CB423" s="14">
        <v>0</v>
      </c>
      <c r="CC423" s="14">
        <v>0</v>
      </c>
      <c r="CD423" s="14">
        <v>0</v>
      </c>
      <c r="CE423" s="14">
        <v>0</v>
      </c>
      <c r="CG423" s="14">
        <v>-1</v>
      </c>
      <c r="CH423" s="14">
        <v>0</v>
      </c>
      <c r="CI423" s="14">
        <v>0</v>
      </c>
      <c r="CJ423" s="14">
        <v>0</v>
      </c>
      <c r="CK423" s="14">
        <v>0</v>
      </c>
      <c r="CL423" s="14">
        <v>0</v>
      </c>
      <c r="CM423" s="14">
        <v>0</v>
      </c>
      <c r="CN423" s="14">
        <v>0</v>
      </c>
      <c r="CO423" s="14">
        <v>0</v>
      </c>
      <c r="CQ423" s="14">
        <v>0</v>
      </c>
      <c r="CR423" s="14">
        <v>0</v>
      </c>
      <c r="CS423" s="14">
        <v>0</v>
      </c>
      <c r="CT423" s="14">
        <v>0</v>
      </c>
      <c r="CV423" s="14">
        <v>5003</v>
      </c>
      <c r="CW423" s="14">
        <v>0</v>
      </c>
      <c r="CX423" s="14">
        <v>-1</v>
      </c>
      <c r="CY423" s="14">
        <v>1</v>
      </c>
      <c r="CZ423" s="24">
        <v>1</v>
      </c>
      <c r="DA423" s="14">
        <v>0</v>
      </c>
      <c r="DC423" s="14">
        <v>0</v>
      </c>
      <c r="DD423" s="14">
        <v>0</v>
      </c>
      <c r="DE423" s="14">
        <v>0</v>
      </c>
      <c r="DF423" s="14">
        <v>0</v>
      </c>
      <c r="DG423" s="14">
        <v>0</v>
      </c>
      <c r="DI423" s="14">
        <v>0</v>
      </c>
      <c r="DJ423" s="14">
        <v>0</v>
      </c>
      <c r="DL423" s="14">
        <v>0</v>
      </c>
      <c r="DM423" s="14">
        <v>0</v>
      </c>
      <c r="DO423" s="14">
        <v>0</v>
      </c>
      <c r="DP423" s="14">
        <v>0</v>
      </c>
      <c r="DQ423" s="14">
        <v>0</v>
      </c>
      <c r="DR423" s="14">
        <v>0</v>
      </c>
      <c r="DS423" s="14">
        <v>0</v>
      </c>
      <c r="DT423" s="14">
        <v>0</v>
      </c>
      <c r="DV423" s="14">
        <v>0</v>
      </c>
      <c r="DW423" s="14">
        <v>0</v>
      </c>
      <c r="DX423" s="14">
        <v>0</v>
      </c>
      <c r="DY423" s="14">
        <v>0</v>
      </c>
      <c r="DZ423" s="14">
        <v>0</v>
      </c>
    </row>
    <row r="424" spans="1:132" s="14" customFormat="1">
      <c r="A424" s="34" t="s">
        <v>142</v>
      </c>
      <c r="B424" s="34" t="s">
        <v>142</v>
      </c>
      <c r="C424" s="34" t="s">
        <v>142</v>
      </c>
      <c r="D424" s="34" t="s">
        <v>142</v>
      </c>
      <c r="E424" s="34">
        <v>60010</v>
      </c>
      <c r="F424" s="34" t="s">
        <v>665</v>
      </c>
      <c r="G424" s="34">
        <v>0</v>
      </c>
      <c r="H424" s="34">
        <v>560010</v>
      </c>
      <c r="I424" s="34" t="s">
        <v>665</v>
      </c>
      <c r="J424" s="34" t="s">
        <v>665</v>
      </c>
      <c r="K424" s="14">
        <v>0</v>
      </c>
      <c r="L424" s="34"/>
      <c r="M424" s="34">
        <v>102</v>
      </c>
      <c r="N424" s="34">
        <v>0</v>
      </c>
      <c r="O424" s="34"/>
      <c r="P424" s="34">
        <v>2</v>
      </c>
      <c r="Q424" s="34">
        <v>655360</v>
      </c>
      <c r="R424" s="34">
        <v>0</v>
      </c>
      <c r="S424" s="34">
        <v>0</v>
      </c>
      <c r="T424" s="34"/>
      <c r="U424" s="34">
        <v>0</v>
      </c>
      <c r="V424" s="34">
        <v>0</v>
      </c>
      <c r="W424" s="34">
        <v>0</v>
      </c>
      <c r="X424" s="34">
        <v>0</v>
      </c>
      <c r="Y424" s="34">
        <v>0</v>
      </c>
      <c r="Z424" s="34">
        <v>0</v>
      </c>
      <c r="AA424" s="34"/>
      <c r="AB424" s="34">
        <v>10001</v>
      </c>
      <c r="AC424" s="34">
        <v>-1</v>
      </c>
      <c r="AD424" s="34">
        <v>-1</v>
      </c>
      <c r="AE424" s="34">
        <v>-1</v>
      </c>
      <c r="AF424" s="34"/>
      <c r="AG424" s="34">
        <v>1</v>
      </c>
      <c r="AH424" s="34">
        <v>0</v>
      </c>
      <c r="AI424" s="34">
        <v>0</v>
      </c>
      <c r="AJ424" s="34">
        <v>0</v>
      </c>
      <c r="AK424" s="34">
        <v>0</v>
      </c>
      <c r="AL424" s="34">
        <v>0</v>
      </c>
      <c r="AM424" s="34">
        <v>0</v>
      </c>
      <c r="AN424" s="34">
        <v>0</v>
      </c>
      <c r="AO424" s="34">
        <v>0</v>
      </c>
      <c r="AP424" s="34">
        <v>0</v>
      </c>
      <c r="AQ424" s="34">
        <v>0</v>
      </c>
      <c r="AR424" s="34">
        <v>0</v>
      </c>
      <c r="AS424" s="34">
        <v>0</v>
      </c>
      <c r="AT424" s="34">
        <v>0</v>
      </c>
      <c r="AU424" s="34">
        <v>0</v>
      </c>
      <c r="AV424" s="34">
        <v>0</v>
      </c>
      <c r="AW424" s="34">
        <v>0</v>
      </c>
      <c r="AX424" s="34">
        <v>0</v>
      </c>
      <c r="AY424" s="34">
        <v>0</v>
      </c>
      <c r="AZ424" s="34"/>
      <c r="BA424" s="34">
        <v>0</v>
      </c>
      <c r="BB424" s="34">
        <v>900</v>
      </c>
      <c r="BC424" s="34">
        <v>900</v>
      </c>
      <c r="BD424" s="34">
        <v>100</v>
      </c>
      <c r="BE424" s="34">
        <v>0</v>
      </c>
      <c r="BF424" s="34">
        <v>1</v>
      </c>
      <c r="BG424" s="25">
        <v>1</v>
      </c>
      <c r="BH424" s="24">
        <v>1</v>
      </c>
      <c r="BI424" s="34">
        <v>0</v>
      </c>
      <c r="BJ424" s="24">
        <v>0</v>
      </c>
      <c r="BK424" s="24">
        <v>0</v>
      </c>
      <c r="BL424" s="25">
        <v>126</v>
      </c>
      <c r="BM424" s="24">
        <v>0</v>
      </c>
      <c r="BN424" s="34"/>
      <c r="BO424" s="25">
        <v>16</v>
      </c>
      <c r="BP424" s="24">
        <v>4</v>
      </c>
      <c r="BQ424" s="34">
        <v>0</v>
      </c>
      <c r="BR424" s="34">
        <v>1</v>
      </c>
      <c r="BS424" s="34">
        <v>0</v>
      </c>
      <c r="BT424" s="34">
        <v>0</v>
      </c>
      <c r="BU424" s="34">
        <v>0</v>
      </c>
      <c r="BV424" s="34">
        <v>6</v>
      </c>
      <c r="BW424" s="34">
        <v>0</v>
      </c>
      <c r="BX424" s="34">
        <v>1</v>
      </c>
      <c r="BY424" s="34"/>
      <c r="BZ424" s="34">
        <v>60010</v>
      </c>
      <c r="CA424" s="34">
        <v>0</v>
      </c>
      <c r="CB424" s="34">
        <v>0</v>
      </c>
      <c r="CC424" s="34">
        <v>0</v>
      </c>
      <c r="CD424" s="34">
        <v>0</v>
      </c>
      <c r="CE424" s="34">
        <v>0</v>
      </c>
      <c r="CF424" s="34"/>
      <c r="CG424" s="34">
        <v>-1</v>
      </c>
      <c r="CH424" s="34">
        <v>0</v>
      </c>
      <c r="CI424" s="34">
        <v>0</v>
      </c>
      <c r="CJ424" s="34">
        <v>0</v>
      </c>
      <c r="CK424" s="34">
        <v>0</v>
      </c>
      <c r="CL424" s="34">
        <v>0</v>
      </c>
      <c r="CM424" s="34">
        <v>0</v>
      </c>
      <c r="CN424" s="34">
        <v>0</v>
      </c>
      <c r="CO424" s="34">
        <v>0</v>
      </c>
      <c r="CP424" s="34"/>
      <c r="CQ424" s="34">
        <v>0</v>
      </c>
      <c r="CR424" s="34">
        <v>0</v>
      </c>
      <c r="CS424" s="34">
        <v>0</v>
      </c>
      <c r="CT424" s="34">
        <v>0</v>
      </c>
      <c r="CU424" s="34"/>
      <c r="CV424" s="34">
        <v>5011</v>
      </c>
      <c r="CW424" s="34">
        <v>0</v>
      </c>
      <c r="CX424" s="34">
        <v>-1</v>
      </c>
      <c r="CY424" s="34">
        <v>1</v>
      </c>
      <c r="CZ424" s="24">
        <v>1</v>
      </c>
      <c r="DA424" s="34">
        <v>0</v>
      </c>
      <c r="DB424" s="34"/>
      <c r="DC424" s="34">
        <v>0</v>
      </c>
      <c r="DD424" s="34">
        <v>0</v>
      </c>
      <c r="DE424" s="34">
        <v>0</v>
      </c>
      <c r="DF424" s="34">
        <v>0</v>
      </c>
      <c r="DG424" s="34">
        <v>0</v>
      </c>
      <c r="DH424" s="34"/>
      <c r="DI424" s="34">
        <v>0</v>
      </c>
      <c r="DJ424" s="34">
        <v>0</v>
      </c>
      <c r="DK424" s="34"/>
      <c r="DL424" s="34">
        <v>0</v>
      </c>
      <c r="DM424" s="34">
        <v>0</v>
      </c>
      <c r="DN424" s="34"/>
      <c r="DO424" s="34">
        <v>0</v>
      </c>
      <c r="DP424" s="34">
        <v>0</v>
      </c>
      <c r="DQ424" s="34">
        <v>0</v>
      </c>
      <c r="DR424" s="34">
        <v>0</v>
      </c>
      <c r="DS424" s="34">
        <v>0</v>
      </c>
      <c r="DT424" s="34">
        <v>0</v>
      </c>
      <c r="DU424" s="34"/>
      <c r="DV424" s="34">
        <v>0</v>
      </c>
      <c r="DW424" s="34">
        <v>0</v>
      </c>
      <c r="DX424" s="34">
        <v>0</v>
      </c>
      <c r="DY424" s="34">
        <v>0</v>
      </c>
      <c r="DZ424" s="34">
        <v>0</v>
      </c>
      <c r="EA424" s="34"/>
      <c r="EB424" s="34"/>
    </row>
    <row r="425" spans="1:132" s="14" customFormat="1">
      <c r="A425" s="34" t="s">
        <v>142</v>
      </c>
      <c r="B425" s="34" t="s">
        <v>142</v>
      </c>
      <c r="C425" s="34" t="s">
        <v>142</v>
      </c>
      <c r="D425" s="34" t="s">
        <v>142</v>
      </c>
      <c r="E425" s="34">
        <v>60011</v>
      </c>
      <c r="F425" s="34" t="s">
        <v>740</v>
      </c>
      <c r="G425" s="34">
        <v>0</v>
      </c>
      <c r="H425" s="34">
        <v>560011</v>
      </c>
      <c r="I425" s="34" t="s">
        <v>740</v>
      </c>
      <c r="J425" s="34" t="s">
        <v>740</v>
      </c>
      <c r="K425" s="14">
        <v>0</v>
      </c>
      <c r="L425" s="34"/>
      <c r="M425" s="34">
        <v>102</v>
      </c>
      <c r="N425" s="34">
        <v>0</v>
      </c>
      <c r="O425" s="34"/>
      <c r="P425" s="34">
        <v>2</v>
      </c>
      <c r="Q425" s="34">
        <v>655360</v>
      </c>
      <c r="R425" s="34">
        <v>0</v>
      </c>
      <c r="S425" s="34">
        <v>0</v>
      </c>
      <c r="T425" s="34"/>
      <c r="U425" s="34">
        <v>0</v>
      </c>
      <c r="V425" s="34">
        <v>0</v>
      </c>
      <c r="W425" s="34">
        <v>0</v>
      </c>
      <c r="X425" s="34">
        <v>0</v>
      </c>
      <c r="Y425" s="34">
        <v>0</v>
      </c>
      <c r="Z425" s="34">
        <v>0</v>
      </c>
      <c r="AA425" s="34"/>
      <c r="AB425" s="34">
        <v>10001</v>
      </c>
      <c r="AC425" s="34">
        <v>-1</v>
      </c>
      <c r="AD425" s="34">
        <v>-1</v>
      </c>
      <c r="AE425" s="34">
        <v>-1</v>
      </c>
      <c r="AF425" s="34"/>
      <c r="AG425" s="34">
        <v>1</v>
      </c>
      <c r="AH425" s="34">
        <v>0</v>
      </c>
      <c r="AI425" s="34">
        <v>0</v>
      </c>
      <c r="AJ425" s="34">
        <v>0</v>
      </c>
      <c r="AK425" s="34">
        <v>0</v>
      </c>
      <c r="AL425" s="34">
        <v>0</v>
      </c>
      <c r="AM425" s="34">
        <v>0</v>
      </c>
      <c r="AN425" s="34">
        <v>0</v>
      </c>
      <c r="AO425" s="34">
        <v>0</v>
      </c>
      <c r="AP425" s="34">
        <v>0</v>
      </c>
      <c r="AQ425" s="34">
        <v>0</v>
      </c>
      <c r="AR425" s="34">
        <v>0</v>
      </c>
      <c r="AS425" s="34">
        <v>0</v>
      </c>
      <c r="AT425" s="34">
        <v>0</v>
      </c>
      <c r="AU425" s="34">
        <v>0</v>
      </c>
      <c r="AV425" s="34">
        <v>0</v>
      </c>
      <c r="AW425" s="34">
        <v>0</v>
      </c>
      <c r="AX425" s="34">
        <v>0</v>
      </c>
      <c r="AY425" s="34">
        <v>0</v>
      </c>
      <c r="AZ425" s="34"/>
      <c r="BA425" s="34">
        <v>0</v>
      </c>
      <c r="BB425" s="34">
        <v>1100</v>
      </c>
      <c r="BC425" s="34">
        <v>1100</v>
      </c>
      <c r="BD425" s="34">
        <v>100</v>
      </c>
      <c r="BE425" s="34">
        <v>0</v>
      </c>
      <c r="BF425" s="34">
        <v>1</v>
      </c>
      <c r="BG425" s="25">
        <v>1</v>
      </c>
      <c r="BH425" s="24">
        <v>1</v>
      </c>
      <c r="BI425" s="34">
        <v>0</v>
      </c>
      <c r="BJ425" s="24">
        <v>0</v>
      </c>
      <c r="BK425" s="24">
        <v>0</v>
      </c>
      <c r="BL425" s="25">
        <v>126</v>
      </c>
      <c r="BM425" s="24">
        <v>0</v>
      </c>
      <c r="BN425" s="34"/>
      <c r="BO425" s="25">
        <v>16</v>
      </c>
      <c r="BP425" s="24">
        <v>4</v>
      </c>
      <c r="BQ425" s="34">
        <v>0</v>
      </c>
      <c r="BR425" s="34">
        <v>1</v>
      </c>
      <c r="BS425" s="34">
        <v>0</v>
      </c>
      <c r="BT425" s="34">
        <v>0</v>
      </c>
      <c r="BU425" s="34">
        <v>0</v>
      </c>
      <c r="BV425" s="34">
        <v>6</v>
      </c>
      <c r="BW425" s="34">
        <v>0</v>
      </c>
      <c r="BX425" s="34">
        <v>1</v>
      </c>
      <c r="BY425" s="34"/>
      <c r="BZ425" s="34">
        <v>-1</v>
      </c>
      <c r="CA425" s="34">
        <v>0</v>
      </c>
      <c r="CB425" s="34">
        <v>0</v>
      </c>
      <c r="CC425" s="34">
        <v>0</v>
      </c>
      <c r="CD425" s="34">
        <v>0</v>
      </c>
      <c r="CE425" s="34">
        <v>0</v>
      </c>
      <c r="CF425" s="34"/>
      <c r="CG425" s="34">
        <v>-1</v>
      </c>
      <c r="CH425" s="34">
        <v>0</v>
      </c>
      <c r="CI425" s="34">
        <v>0</v>
      </c>
      <c r="CJ425" s="34">
        <v>0</v>
      </c>
      <c r="CK425" s="34">
        <v>0</v>
      </c>
      <c r="CL425" s="34">
        <v>0</v>
      </c>
      <c r="CM425" s="34">
        <v>0</v>
      </c>
      <c r="CN425" s="34">
        <v>0</v>
      </c>
      <c r="CO425" s="34">
        <v>0</v>
      </c>
      <c r="CP425" s="34"/>
      <c r="CQ425" s="34">
        <v>0</v>
      </c>
      <c r="CR425" s="34">
        <v>0</v>
      </c>
      <c r="CS425" s="34">
        <v>0</v>
      </c>
      <c r="CT425" s="34">
        <v>0</v>
      </c>
      <c r="CU425" s="34"/>
      <c r="CV425" s="34">
        <v>5014</v>
      </c>
      <c r="CW425" s="34">
        <v>0</v>
      </c>
      <c r="CX425" s="34">
        <v>-1</v>
      </c>
      <c r="CY425" s="34">
        <v>1</v>
      </c>
      <c r="CZ425" s="24">
        <v>1</v>
      </c>
      <c r="DA425" s="34">
        <v>0</v>
      </c>
      <c r="DB425" s="34"/>
      <c r="DC425" s="34">
        <v>0</v>
      </c>
      <c r="DD425" s="34">
        <v>0</v>
      </c>
      <c r="DE425" s="34">
        <v>0</v>
      </c>
      <c r="DF425" s="34">
        <v>0</v>
      </c>
      <c r="DG425" s="34">
        <v>0</v>
      </c>
      <c r="DH425" s="34"/>
      <c r="DI425" s="34">
        <v>0</v>
      </c>
      <c r="DJ425" s="34">
        <v>0</v>
      </c>
      <c r="DK425" s="34"/>
      <c r="DL425" s="34">
        <v>0</v>
      </c>
      <c r="DM425" s="34">
        <v>0</v>
      </c>
      <c r="DN425" s="34"/>
      <c r="DO425" s="34">
        <v>0</v>
      </c>
      <c r="DP425" s="34">
        <v>0</v>
      </c>
      <c r="DQ425" s="34">
        <v>0</v>
      </c>
      <c r="DR425" s="34">
        <v>0</v>
      </c>
      <c r="DS425" s="34">
        <v>0</v>
      </c>
      <c r="DT425" s="34">
        <v>0</v>
      </c>
      <c r="DU425" s="34"/>
      <c r="DV425" s="34">
        <v>0</v>
      </c>
      <c r="DW425" s="34">
        <v>0</v>
      </c>
      <c r="DX425" s="34">
        <v>0</v>
      </c>
      <c r="DY425" s="34">
        <v>0</v>
      </c>
      <c r="DZ425" s="34">
        <v>0</v>
      </c>
      <c r="EA425" s="34"/>
      <c r="EB425" s="34"/>
    </row>
    <row r="426" spans="1:132">
      <c r="A426" s="31" t="s">
        <v>142</v>
      </c>
      <c r="B426" s="31" t="s">
        <v>142</v>
      </c>
      <c r="C426" s="31" t="s">
        <v>142</v>
      </c>
      <c r="D426" s="31" t="s">
        <v>142</v>
      </c>
      <c r="E426" s="31">
        <v>60012</v>
      </c>
      <c r="F426" s="31" t="s">
        <v>666</v>
      </c>
      <c r="G426" s="31">
        <v>0</v>
      </c>
      <c r="H426" s="31">
        <v>560012</v>
      </c>
      <c r="I426" s="31" t="s">
        <v>666</v>
      </c>
      <c r="J426" s="31" t="s">
        <v>666</v>
      </c>
      <c r="K426" s="24">
        <v>0</v>
      </c>
      <c r="L426" s="31"/>
      <c r="M426" s="31">
        <v>102</v>
      </c>
      <c r="N426" s="31">
        <v>0</v>
      </c>
      <c r="O426" s="31"/>
      <c r="P426" s="32">
        <v>2</v>
      </c>
      <c r="Q426" s="32">
        <v>655360</v>
      </c>
      <c r="R426" s="31">
        <v>0</v>
      </c>
      <c r="S426" s="32">
        <v>0</v>
      </c>
      <c r="T426" s="31"/>
      <c r="U426" s="31">
        <v>0</v>
      </c>
      <c r="V426" s="32">
        <v>0</v>
      </c>
      <c r="W426" s="31">
        <v>0</v>
      </c>
      <c r="X426" s="31">
        <v>0</v>
      </c>
      <c r="Y426" s="31">
        <v>0</v>
      </c>
      <c r="Z426" s="31">
        <v>0</v>
      </c>
      <c r="AA426" s="31"/>
      <c r="AB426" s="31">
        <v>10001</v>
      </c>
      <c r="AC426" s="31">
        <v>-1</v>
      </c>
      <c r="AD426" s="31">
        <v>-1</v>
      </c>
      <c r="AE426" s="31">
        <v>-1</v>
      </c>
      <c r="AF426" s="31"/>
      <c r="AG426" s="31">
        <v>1</v>
      </c>
      <c r="AH426" s="31">
        <v>0</v>
      </c>
      <c r="AI426" s="31">
        <v>0</v>
      </c>
      <c r="AJ426" s="31">
        <v>0</v>
      </c>
      <c r="AK426" s="31">
        <v>0</v>
      </c>
      <c r="AL426" s="31">
        <v>0</v>
      </c>
      <c r="AM426" s="31">
        <v>0</v>
      </c>
      <c r="AN426" s="31">
        <v>0</v>
      </c>
      <c r="AO426" s="31">
        <v>0</v>
      </c>
      <c r="AP426" s="31">
        <v>0</v>
      </c>
      <c r="AQ426" s="31">
        <v>0</v>
      </c>
      <c r="AR426" s="31">
        <v>0</v>
      </c>
      <c r="AS426" s="31">
        <v>0</v>
      </c>
      <c r="AT426" s="31">
        <v>0</v>
      </c>
      <c r="AU426" s="31">
        <v>0</v>
      </c>
      <c r="AV426" s="31">
        <v>0</v>
      </c>
      <c r="AW426" s="31">
        <v>0</v>
      </c>
      <c r="AX426" s="31">
        <v>0</v>
      </c>
      <c r="AY426" s="31">
        <v>0</v>
      </c>
      <c r="AZ426" s="31"/>
      <c r="BA426" s="31">
        <v>0</v>
      </c>
      <c r="BB426" s="31">
        <v>2800</v>
      </c>
      <c r="BC426" s="31">
        <v>2800</v>
      </c>
      <c r="BD426" s="31">
        <v>100</v>
      </c>
      <c r="BE426" s="31">
        <v>0</v>
      </c>
      <c r="BF426" s="31">
        <v>1</v>
      </c>
      <c r="BG426" s="25">
        <v>1</v>
      </c>
      <c r="BH426" s="24">
        <v>1</v>
      </c>
      <c r="BI426" s="31">
        <v>0</v>
      </c>
      <c r="BJ426" s="24">
        <v>0</v>
      </c>
      <c r="BK426" s="24">
        <v>0</v>
      </c>
      <c r="BL426" s="25">
        <v>126</v>
      </c>
      <c r="BM426" s="24">
        <v>0</v>
      </c>
      <c r="BN426" s="31"/>
      <c r="BO426" s="25">
        <v>16</v>
      </c>
      <c r="BP426" s="24">
        <v>4</v>
      </c>
      <c r="BQ426" s="31">
        <v>0</v>
      </c>
      <c r="BR426" s="31">
        <v>1</v>
      </c>
      <c r="BS426" s="31">
        <v>0</v>
      </c>
      <c r="BT426" s="31">
        <v>0</v>
      </c>
      <c r="BU426" s="31">
        <v>0</v>
      </c>
      <c r="BV426" s="31">
        <v>6</v>
      </c>
      <c r="BW426" s="31">
        <v>0</v>
      </c>
      <c r="BX426" s="31">
        <v>1</v>
      </c>
      <c r="BY426" s="31"/>
      <c r="BZ426" s="31">
        <v>-1</v>
      </c>
      <c r="CA426" s="31">
        <v>0</v>
      </c>
      <c r="CB426" s="31">
        <v>0</v>
      </c>
      <c r="CC426" s="31">
        <v>0</v>
      </c>
      <c r="CD426" s="31">
        <v>0</v>
      </c>
      <c r="CE426" s="31">
        <v>0</v>
      </c>
      <c r="CF426" s="31"/>
      <c r="CG426" s="31">
        <v>-1</v>
      </c>
      <c r="CH426" s="31">
        <v>0</v>
      </c>
      <c r="CI426" s="31">
        <v>0</v>
      </c>
      <c r="CJ426" s="31">
        <v>0</v>
      </c>
      <c r="CK426" s="31">
        <v>0</v>
      </c>
      <c r="CL426" s="31">
        <v>0</v>
      </c>
      <c r="CM426" s="31">
        <v>0</v>
      </c>
      <c r="CN426" s="31">
        <v>0</v>
      </c>
      <c r="CO426" s="31">
        <v>0</v>
      </c>
      <c r="CP426" s="31"/>
      <c r="CQ426" s="31">
        <v>0</v>
      </c>
      <c r="CR426" s="31">
        <v>0</v>
      </c>
      <c r="CS426" s="31">
        <v>0</v>
      </c>
      <c r="CT426" s="31">
        <v>0</v>
      </c>
      <c r="CU426" s="31"/>
      <c r="CV426" s="31">
        <v>5015</v>
      </c>
      <c r="CW426" s="31">
        <v>0</v>
      </c>
      <c r="CX426" s="31">
        <v>-1</v>
      </c>
      <c r="CY426" s="31">
        <v>1</v>
      </c>
      <c r="CZ426" s="24">
        <v>1</v>
      </c>
      <c r="DA426" s="31">
        <v>0</v>
      </c>
      <c r="DB426" s="31"/>
      <c r="DC426" s="31">
        <v>0</v>
      </c>
      <c r="DD426" s="31">
        <v>0</v>
      </c>
      <c r="DE426" s="31">
        <v>0</v>
      </c>
      <c r="DF426" s="31">
        <v>0</v>
      </c>
      <c r="DG426" s="31">
        <v>0</v>
      </c>
      <c r="DH426" s="31"/>
      <c r="DI426" s="31">
        <v>0</v>
      </c>
      <c r="DJ426" s="31">
        <v>0</v>
      </c>
      <c r="DK426" s="31"/>
      <c r="DL426" s="31">
        <v>0</v>
      </c>
      <c r="DM426" s="31">
        <v>0</v>
      </c>
      <c r="DN426" s="31"/>
      <c r="DO426" s="31">
        <v>0</v>
      </c>
      <c r="DP426" s="31">
        <v>0</v>
      </c>
      <c r="DQ426" s="31">
        <v>0</v>
      </c>
      <c r="DR426" s="31">
        <v>0</v>
      </c>
      <c r="DS426" s="31">
        <v>0</v>
      </c>
      <c r="DT426" s="31">
        <v>0</v>
      </c>
      <c r="DU426" s="31"/>
      <c r="DV426" s="31">
        <v>0</v>
      </c>
      <c r="DW426" s="31">
        <v>0</v>
      </c>
      <c r="DX426" s="31">
        <v>0</v>
      </c>
      <c r="DY426" s="31">
        <v>0</v>
      </c>
      <c r="DZ426" s="31">
        <v>0</v>
      </c>
      <c r="EA426" s="31"/>
      <c r="EB426" s="31"/>
    </row>
    <row r="427" spans="1:132" s="14" customFormat="1">
      <c r="A427" s="34" t="s">
        <v>142</v>
      </c>
      <c r="B427" s="34" t="s">
        <v>142</v>
      </c>
      <c r="C427" s="34" t="s">
        <v>142</v>
      </c>
      <c r="D427" s="34" t="s">
        <v>142</v>
      </c>
      <c r="E427" s="34">
        <v>60013</v>
      </c>
      <c r="F427" s="34" t="s">
        <v>741</v>
      </c>
      <c r="G427" s="34">
        <v>0</v>
      </c>
      <c r="H427" s="34">
        <v>560013</v>
      </c>
      <c r="I427" s="34" t="s">
        <v>741</v>
      </c>
      <c r="J427" s="34" t="s">
        <v>741</v>
      </c>
      <c r="K427" s="14">
        <v>0</v>
      </c>
      <c r="L427" s="34"/>
      <c r="M427" s="34">
        <v>102</v>
      </c>
      <c r="N427" s="34">
        <v>0</v>
      </c>
      <c r="O427" s="34"/>
      <c r="P427" s="34">
        <v>2</v>
      </c>
      <c r="Q427" s="34">
        <v>655360</v>
      </c>
      <c r="R427" s="34">
        <v>0</v>
      </c>
      <c r="S427" s="34">
        <v>0</v>
      </c>
      <c r="T427" s="34"/>
      <c r="U427" s="34">
        <v>0</v>
      </c>
      <c r="V427" s="34">
        <v>0</v>
      </c>
      <c r="W427" s="34">
        <v>0</v>
      </c>
      <c r="X427" s="34">
        <v>0</v>
      </c>
      <c r="Y427" s="34">
        <v>0</v>
      </c>
      <c r="Z427" s="34">
        <v>0</v>
      </c>
      <c r="AA427" s="34"/>
      <c r="AB427" s="34">
        <v>10001</v>
      </c>
      <c r="AC427" s="34">
        <v>-1</v>
      </c>
      <c r="AD427" s="34">
        <v>-1</v>
      </c>
      <c r="AE427" s="34">
        <v>-1</v>
      </c>
      <c r="AF427" s="34"/>
      <c r="AG427" s="34">
        <v>1</v>
      </c>
      <c r="AH427" s="34">
        <v>0</v>
      </c>
      <c r="AI427" s="34">
        <v>0</v>
      </c>
      <c r="AJ427" s="34">
        <v>0</v>
      </c>
      <c r="AK427" s="34">
        <v>0</v>
      </c>
      <c r="AL427" s="34">
        <v>0</v>
      </c>
      <c r="AM427" s="34">
        <v>0</v>
      </c>
      <c r="AN427" s="34">
        <v>0</v>
      </c>
      <c r="AO427" s="34">
        <v>0</v>
      </c>
      <c r="AP427" s="34">
        <v>0</v>
      </c>
      <c r="AQ427" s="34">
        <v>0</v>
      </c>
      <c r="AR427" s="34">
        <v>0</v>
      </c>
      <c r="AS427" s="34">
        <v>0</v>
      </c>
      <c r="AT427" s="34">
        <v>0</v>
      </c>
      <c r="AU427" s="34">
        <v>0</v>
      </c>
      <c r="AV427" s="34">
        <v>0</v>
      </c>
      <c r="AW427" s="34">
        <v>0</v>
      </c>
      <c r="AX427" s="34">
        <v>0</v>
      </c>
      <c r="AY427" s="34">
        <v>0</v>
      </c>
      <c r="AZ427" s="34"/>
      <c r="BA427" s="34">
        <v>0</v>
      </c>
      <c r="BB427" s="34">
        <v>1000</v>
      </c>
      <c r="BC427" s="34">
        <v>1000</v>
      </c>
      <c r="BD427" s="34">
        <v>900</v>
      </c>
      <c r="BE427" s="34">
        <v>0</v>
      </c>
      <c r="BF427" s="34">
        <v>1</v>
      </c>
      <c r="BG427" s="25">
        <v>1</v>
      </c>
      <c r="BH427" s="24">
        <v>1</v>
      </c>
      <c r="BI427" s="34">
        <v>0</v>
      </c>
      <c r="BJ427" s="24">
        <v>0</v>
      </c>
      <c r="BK427" s="24">
        <v>0</v>
      </c>
      <c r="BL427" s="25">
        <v>126</v>
      </c>
      <c r="BM427" s="24">
        <v>0</v>
      </c>
      <c r="BN427" s="34"/>
      <c r="BO427" s="25">
        <v>16</v>
      </c>
      <c r="BP427" s="24">
        <v>8</v>
      </c>
      <c r="BQ427" s="34">
        <v>2</v>
      </c>
      <c r="BR427" s="34">
        <v>1</v>
      </c>
      <c r="BS427" s="34">
        <v>0</v>
      </c>
      <c r="BT427" s="34">
        <v>0</v>
      </c>
      <c r="BU427" s="34">
        <v>0</v>
      </c>
      <c r="BV427" s="34">
        <v>6</v>
      </c>
      <c r="BW427" s="34">
        <v>0</v>
      </c>
      <c r="BX427" s="34">
        <v>1</v>
      </c>
      <c r="BY427" s="34"/>
      <c r="BZ427" s="34">
        <v>60013</v>
      </c>
      <c r="CA427" s="34">
        <v>0</v>
      </c>
      <c r="CB427" s="34">
        <v>0</v>
      </c>
      <c r="CC427" s="34">
        <v>0</v>
      </c>
      <c r="CD427" s="34">
        <v>0</v>
      </c>
      <c r="CE427" s="34">
        <v>0</v>
      </c>
      <c r="CF427" s="34"/>
      <c r="CG427" s="34">
        <v>-1</v>
      </c>
      <c r="CH427" s="34">
        <v>0</v>
      </c>
      <c r="CI427" s="34">
        <v>0</v>
      </c>
      <c r="CJ427" s="34">
        <v>0</v>
      </c>
      <c r="CK427" s="34">
        <v>0</v>
      </c>
      <c r="CL427" s="34">
        <v>0</v>
      </c>
      <c r="CM427" s="34">
        <v>0</v>
      </c>
      <c r="CN427" s="34">
        <v>0</v>
      </c>
      <c r="CO427" s="34">
        <v>0</v>
      </c>
      <c r="CP427" s="34"/>
      <c r="CQ427" s="34">
        <v>8</v>
      </c>
      <c r="CR427" s="34">
        <v>0</v>
      </c>
      <c r="CS427" s="34">
        <v>0</v>
      </c>
      <c r="CT427" s="34">
        <v>900</v>
      </c>
      <c r="CU427" s="34"/>
      <c r="CV427" s="34">
        <v>5012</v>
      </c>
      <c r="CW427" s="34">
        <v>0</v>
      </c>
      <c r="CX427" s="34">
        <v>-1</v>
      </c>
      <c r="CY427" s="34">
        <v>1</v>
      </c>
      <c r="CZ427" s="14">
        <v>1</v>
      </c>
      <c r="DA427" s="34">
        <v>0</v>
      </c>
      <c r="DB427" s="34"/>
      <c r="DC427" s="34">
        <v>0</v>
      </c>
      <c r="DD427" s="34">
        <v>0</v>
      </c>
      <c r="DE427" s="34">
        <v>0</v>
      </c>
      <c r="DF427" s="34">
        <v>0</v>
      </c>
      <c r="DG427" s="34">
        <v>0</v>
      </c>
      <c r="DH427" s="34"/>
      <c r="DI427" s="34">
        <v>0</v>
      </c>
      <c r="DJ427" s="34">
        <v>0</v>
      </c>
      <c r="DK427" s="34"/>
      <c r="DL427" s="34">
        <v>0</v>
      </c>
      <c r="DM427" s="34">
        <v>0</v>
      </c>
      <c r="DN427" s="34"/>
      <c r="DO427" s="34">
        <v>0</v>
      </c>
      <c r="DP427" s="34">
        <v>0</v>
      </c>
      <c r="DQ427" s="34">
        <v>0</v>
      </c>
      <c r="DR427" s="34">
        <v>0</v>
      </c>
      <c r="DS427" s="34">
        <v>0</v>
      </c>
      <c r="DT427" s="34">
        <v>0</v>
      </c>
      <c r="DU427" s="34"/>
      <c r="DV427" s="34">
        <v>0</v>
      </c>
      <c r="DW427" s="34">
        <v>0</v>
      </c>
      <c r="DX427" s="34">
        <v>0</v>
      </c>
      <c r="DY427" s="34">
        <v>0</v>
      </c>
      <c r="DZ427" s="34">
        <v>0</v>
      </c>
      <c r="EA427" s="34"/>
      <c r="EB427" s="34"/>
    </row>
    <row r="428" spans="1:132" s="14" customFormat="1">
      <c r="A428" s="34" t="s">
        <v>142</v>
      </c>
      <c r="B428" s="34" t="s">
        <v>142</v>
      </c>
      <c r="C428" s="34" t="s">
        <v>142</v>
      </c>
      <c r="D428" s="34" t="s">
        <v>142</v>
      </c>
      <c r="E428" s="34">
        <v>60014</v>
      </c>
      <c r="F428" s="34" t="s">
        <v>742</v>
      </c>
      <c r="G428" s="34">
        <v>0</v>
      </c>
      <c r="H428" s="34">
        <v>560014</v>
      </c>
      <c r="I428" s="34" t="s">
        <v>742</v>
      </c>
      <c r="J428" s="34" t="s">
        <v>742</v>
      </c>
      <c r="K428" s="14">
        <v>0</v>
      </c>
      <c r="L428" s="34"/>
      <c r="M428" s="34">
        <v>102</v>
      </c>
      <c r="N428" s="34">
        <v>0</v>
      </c>
      <c r="O428" s="34"/>
      <c r="P428" s="34">
        <v>2</v>
      </c>
      <c r="Q428" s="34">
        <v>655360</v>
      </c>
      <c r="R428" s="34">
        <v>0</v>
      </c>
      <c r="S428" s="34">
        <v>0</v>
      </c>
      <c r="T428" s="34"/>
      <c r="U428" s="34">
        <v>0</v>
      </c>
      <c r="V428" s="34">
        <v>0</v>
      </c>
      <c r="W428" s="34">
        <v>0</v>
      </c>
      <c r="X428" s="34">
        <v>0</v>
      </c>
      <c r="Y428" s="34">
        <v>0</v>
      </c>
      <c r="Z428" s="34">
        <v>0</v>
      </c>
      <c r="AA428" s="34"/>
      <c r="AB428" s="34">
        <v>10001</v>
      </c>
      <c r="AC428" s="34">
        <v>-1</v>
      </c>
      <c r="AD428" s="34">
        <v>-1</v>
      </c>
      <c r="AE428" s="34">
        <v>-1</v>
      </c>
      <c r="AF428" s="34"/>
      <c r="AG428" s="34">
        <v>1</v>
      </c>
      <c r="AH428" s="34">
        <v>0</v>
      </c>
      <c r="AI428" s="34">
        <v>0</v>
      </c>
      <c r="AJ428" s="34">
        <v>0</v>
      </c>
      <c r="AK428" s="34">
        <v>0</v>
      </c>
      <c r="AL428" s="34">
        <v>0</v>
      </c>
      <c r="AM428" s="34">
        <v>0</v>
      </c>
      <c r="AN428" s="34">
        <v>0</v>
      </c>
      <c r="AO428" s="34">
        <v>0</v>
      </c>
      <c r="AP428" s="34">
        <v>0</v>
      </c>
      <c r="AQ428" s="34">
        <v>0</v>
      </c>
      <c r="AR428" s="34">
        <v>0</v>
      </c>
      <c r="AS428" s="34">
        <v>0</v>
      </c>
      <c r="AT428" s="34">
        <v>0</v>
      </c>
      <c r="AU428" s="34">
        <v>0</v>
      </c>
      <c r="AV428" s="34">
        <v>0</v>
      </c>
      <c r="AW428" s="34">
        <v>0</v>
      </c>
      <c r="AX428" s="34">
        <v>0</v>
      </c>
      <c r="AY428" s="34">
        <v>0</v>
      </c>
      <c r="AZ428" s="34"/>
      <c r="BA428" s="34">
        <v>0</v>
      </c>
      <c r="BB428" s="34">
        <v>2300</v>
      </c>
      <c r="BC428" s="34">
        <v>2300</v>
      </c>
      <c r="BD428" s="34">
        <v>600</v>
      </c>
      <c r="BE428" s="34">
        <v>500</v>
      </c>
      <c r="BF428" s="34">
        <v>3</v>
      </c>
      <c r="BG428" s="25">
        <v>1</v>
      </c>
      <c r="BH428" s="24">
        <v>1</v>
      </c>
      <c r="BI428" s="34">
        <v>0</v>
      </c>
      <c r="BJ428" s="24">
        <v>0</v>
      </c>
      <c r="BK428" s="24">
        <v>0</v>
      </c>
      <c r="BL428" s="25">
        <v>126</v>
      </c>
      <c r="BM428" s="24">
        <v>0</v>
      </c>
      <c r="BN428" s="34"/>
      <c r="BO428" s="25">
        <v>16</v>
      </c>
      <c r="BP428" s="24">
        <v>4</v>
      </c>
      <c r="BQ428" s="34">
        <v>0</v>
      </c>
      <c r="BR428" s="34">
        <v>1</v>
      </c>
      <c r="BS428" s="34">
        <v>0</v>
      </c>
      <c r="BT428" s="34">
        <v>0</v>
      </c>
      <c r="BU428" s="34">
        <v>0</v>
      </c>
      <c r="BV428" s="34">
        <v>6</v>
      </c>
      <c r="BW428" s="34">
        <v>0</v>
      </c>
      <c r="BX428" s="34">
        <v>1</v>
      </c>
      <c r="BY428" s="34"/>
      <c r="BZ428" s="34">
        <v>60014</v>
      </c>
      <c r="CA428" s="34">
        <v>0</v>
      </c>
      <c r="CB428" s="34">
        <v>0</v>
      </c>
      <c r="CC428" s="34">
        <v>0</v>
      </c>
      <c r="CD428" s="34">
        <v>0</v>
      </c>
      <c r="CE428" s="34">
        <v>0</v>
      </c>
      <c r="CF428" s="34"/>
      <c r="CG428" s="34">
        <v>-1</v>
      </c>
      <c r="CH428" s="34">
        <v>0</v>
      </c>
      <c r="CI428" s="34">
        <v>0</v>
      </c>
      <c r="CJ428" s="34">
        <v>0</v>
      </c>
      <c r="CK428" s="34">
        <v>0</v>
      </c>
      <c r="CL428" s="34">
        <v>0</v>
      </c>
      <c r="CM428" s="34">
        <v>0</v>
      </c>
      <c r="CN428" s="34">
        <v>0</v>
      </c>
      <c r="CO428" s="34">
        <v>0</v>
      </c>
      <c r="CP428" s="34"/>
      <c r="CQ428" s="34">
        <v>0</v>
      </c>
      <c r="CR428" s="34">
        <v>0</v>
      </c>
      <c r="CS428" s="34">
        <v>0</v>
      </c>
      <c r="CT428" s="34">
        <v>0</v>
      </c>
      <c r="CU428" s="34"/>
      <c r="CV428" s="34">
        <v>5016</v>
      </c>
      <c r="CW428" s="34">
        <v>0</v>
      </c>
      <c r="CX428" s="34">
        <v>-1</v>
      </c>
      <c r="CY428" s="34">
        <v>1</v>
      </c>
      <c r="CZ428" s="14">
        <v>1</v>
      </c>
      <c r="DA428" s="34">
        <v>0</v>
      </c>
      <c r="DB428" s="34"/>
      <c r="DC428" s="34">
        <v>0</v>
      </c>
      <c r="DD428" s="34">
        <v>0</v>
      </c>
      <c r="DE428" s="34">
        <v>0</v>
      </c>
      <c r="DF428" s="34">
        <v>0</v>
      </c>
      <c r="DG428" s="34">
        <v>0</v>
      </c>
      <c r="DH428" s="34"/>
      <c r="DI428" s="34">
        <v>0</v>
      </c>
      <c r="DJ428" s="34">
        <v>0</v>
      </c>
      <c r="DK428" s="34"/>
      <c r="DL428" s="34">
        <v>0</v>
      </c>
      <c r="DM428" s="34">
        <v>0</v>
      </c>
      <c r="DN428" s="34"/>
      <c r="DO428" s="34">
        <v>0</v>
      </c>
      <c r="DP428" s="34">
        <v>0</v>
      </c>
      <c r="DQ428" s="34">
        <v>0</v>
      </c>
      <c r="DR428" s="34">
        <v>0</v>
      </c>
      <c r="DS428" s="34">
        <v>0</v>
      </c>
      <c r="DT428" s="34">
        <v>0</v>
      </c>
      <c r="DU428" s="34"/>
      <c r="DV428" s="34">
        <v>0</v>
      </c>
      <c r="DW428" s="34">
        <v>0</v>
      </c>
      <c r="DX428" s="34">
        <v>0</v>
      </c>
      <c r="DY428" s="34">
        <v>0</v>
      </c>
      <c r="DZ428" s="34">
        <v>0</v>
      </c>
      <c r="EA428" s="34"/>
      <c r="EB428" s="34"/>
    </row>
    <row r="429" spans="1:132" s="14" customFormat="1">
      <c r="A429" s="34" t="s">
        <v>142</v>
      </c>
      <c r="B429" s="34" t="s">
        <v>142</v>
      </c>
      <c r="C429" s="34" t="s">
        <v>142</v>
      </c>
      <c r="D429" s="34" t="s">
        <v>142</v>
      </c>
      <c r="E429" s="34">
        <v>60015</v>
      </c>
      <c r="F429" s="34" t="s">
        <v>707</v>
      </c>
      <c r="G429" s="34">
        <v>0</v>
      </c>
      <c r="H429" s="34">
        <v>560015</v>
      </c>
      <c r="I429" s="34" t="s">
        <v>707</v>
      </c>
      <c r="J429" s="34" t="s">
        <v>707</v>
      </c>
      <c r="K429" s="14">
        <v>0</v>
      </c>
      <c r="L429" s="34"/>
      <c r="M429" s="34">
        <v>102</v>
      </c>
      <c r="N429" s="34">
        <v>0</v>
      </c>
      <c r="O429" s="34"/>
      <c r="P429" s="34">
        <v>2</v>
      </c>
      <c r="Q429" s="34">
        <v>655360</v>
      </c>
      <c r="R429" s="34">
        <v>0</v>
      </c>
      <c r="S429" s="34">
        <v>0</v>
      </c>
      <c r="T429" s="34"/>
      <c r="U429" s="34">
        <v>0</v>
      </c>
      <c r="V429" s="34">
        <v>0</v>
      </c>
      <c r="W429" s="34">
        <v>0</v>
      </c>
      <c r="X429" s="34">
        <v>0</v>
      </c>
      <c r="Y429" s="34">
        <v>0</v>
      </c>
      <c r="Z429" s="34">
        <v>0</v>
      </c>
      <c r="AA429" s="34"/>
      <c r="AB429" s="34">
        <v>10008</v>
      </c>
      <c r="AC429" s="34">
        <v>-1</v>
      </c>
      <c r="AD429" s="34">
        <v>-1</v>
      </c>
      <c r="AE429" s="34">
        <v>-1</v>
      </c>
      <c r="AF429" s="34"/>
      <c r="AG429" s="34">
        <v>1</v>
      </c>
      <c r="AH429" s="34">
        <v>0</v>
      </c>
      <c r="AI429" s="34">
        <v>0</v>
      </c>
      <c r="AJ429" s="34">
        <v>0</v>
      </c>
      <c r="AK429" s="34">
        <v>0</v>
      </c>
      <c r="AL429" s="34">
        <v>0</v>
      </c>
      <c r="AM429" s="34">
        <v>0</v>
      </c>
      <c r="AN429" s="34">
        <v>0</v>
      </c>
      <c r="AO429" s="34">
        <v>0</v>
      </c>
      <c r="AP429" s="34">
        <v>0</v>
      </c>
      <c r="AQ429" s="34">
        <v>0</v>
      </c>
      <c r="AR429" s="34">
        <v>0</v>
      </c>
      <c r="AS429" s="34">
        <v>0</v>
      </c>
      <c r="AT429" s="34">
        <v>0</v>
      </c>
      <c r="AU429" s="34">
        <v>0</v>
      </c>
      <c r="AV429" s="34">
        <v>0</v>
      </c>
      <c r="AW429" s="34">
        <v>0</v>
      </c>
      <c r="AX429" s="34">
        <v>0</v>
      </c>
      <c r="AY429" s="34">
        <v>0</v>
      </c>
      <c r="AZ429" s="34"/>
      <c r="BA429" s="34">
        <v>0</v>
      </c>
      <c r="BB429" s="34">
        <v>1500</v>
      </c>
      <c r="BC429" s="34">
        <v>1500</v>
      </c>
      <c r="BD429" s="34">
        <v>700</v>
      </c>
      <c r="BE429" s="34">
        <v>0</v>
      </c>
      <c r="BF429" s="34">
        <v>1</v>
      </c>
      <c r="BG429" s="14">
        <v>1</v>
      </c>
      <c r="BH429" s="14">
        <v>1</v>
      </c>
      <c r="BI429" s="34">
        <v>0</v>
      </c>
      <c r="BJ429" s="34">
        <v>0</v>
      </c>
      <c r="BK429" s="34">
        <v>0</v>
      </c>
      <c r="BL429" s="14">
        <v>126</v>
      </c>
      <c r="BM429" s="14">
        <v>0</v>
      </c>
      <c r="BN429" s="34"/>
      <c r="BO429" s="14">
        <v>16</v>
      </c>
      <c r="BP429" s="14">
        <v>6</v>
      </c>
      <c r="BQ429" s="34">
        <v>0</v>
      </c>
      <c r="BR429" s="34">
        <v>3</v>
      </c>
      <c r="BS429" s="34">
        <v>0</v>
      </c>
      <c r="BT429" s="34">
        <v>50</v>
      </c>
      <c r="BU429" s="34">
        <v>30</v>
      </c>
      <c r="BV429" s="34">
        <v>6</v>
      </c>
      <c r="BW429" s="34">
        <v>0</v>
      </c>
      <c r="BX429" s="34">
        <v>4</v>
      </c>
      <c r="BY429" s="34"/>
      <c r="BZ429" s="34">
        <v>60015</v>
      </c>
      <c r="CA429" s="34">
        <v>0</v>
      </c>
      <c r="CB429" s="34">
        <v>0</v>
      </c>
      <c r="CC429" s="34">
        <v>0</v>
      </c>
      <c r="CD429" s="34">
        <v>0</v>
      </c>
      <c r="CE429" s="34">
        <v>0</v>
      </c>
      <c r="CF429" s="34"/>
      <c r="CG429" s="34">
        <v>-1</v>
      </c>
      <c r="CH429" s="34">
        <v>0</v>
      </c>
      <c r="CI429" s="34">
        <v>0</v>
      </c>
      <c r="CJ429" s="34">
        <v>0</v>
      </c>
      <c r="CK429" s="34">
        <v>0</v>
      </c>
      <c r="CL429" s="34">
        <v>0</v>
      </c>
      <c r="CM429" s="34">
        <v>0</v>
      </c>
      <c r="CN429" s="34">
        <v>0</v>
      </c>
      <c r="CO429" s="34">
        <v>0</v>
      </c>
      <c r="CP429" s="34"/>
      <c r="CQ429" s="34">
        <v>0</v>
      </c>
      <c r="CR429" s="34">
        <v>0</v>
      </c>
      <c r="CS429" s="34">
        <v>800</v>
      </c>
      <c r="CT429" s="34">
        <v>1500</v>
      </c>
      <c r="CU429" s="34"/>
      <c r="CV429" s="34">
        <v>5101</v>
      </c>
      <c r="CW429" s="34">
        <v>0</v>
      </c>
      <c r="CX429" s="34">
        <v>-1</v>
      </c>
      <c r="CY429" s="34">
        <v>1</v>
      </c>
      <c r="CZ429" s="14">
        <v>1</v>
      </c>
      <c r="DA429" s="34">
        <v>0</v>
      </c>
      <c r="DB429" s="34"/>
      <c r="DC429" s="34">
        <v>0</v>
      </c>
      <c r="DD429" s="34">
        <v>0</v>
      </c>
      <c r="DE429" s="34">
        <v>0</v>
      </c>
      <c r="DF429" s="34">
        <v>0</v>
      </c>
      <c r="DG429" s="34">
        <v>0</v>
      </c>
      <c r="DH429" s="34"/>
      <c r="DI429" s="34">
        <v>0</v>
      </c>
      <c r="DJ429" s="34">
        <v>0</v>
      </c>
      <c r="DK429" s="34"/>
      <c r="DL429" s="34">
        <v>0</v>
      </c>
      <c r="DM429" s="34">
        <v>0</v>
      </c>
      <c r="DN429" s="34"/>
      <c r="DO429" s="34">
        <v>0</v>
      </c>
      <c r="DP429" s="34">
        <v>0</v>
      </c>
      <c r="DQ429" s="34">
        <v>0</v>
      </c>
      <c r="DR429" s="34">
        <v>0</v>
      </c>
      <c r="DS429" s="34">
        <v>0</v>
      </c>
      <c r="DT429" s="34">
        <v>0</v>
      </c>
      <c r="DU429" s="34"/>
      <c r="DV429" s="34">
        <v>0</v>
      </c>
      <c r="DW429" s="34">
        <v>0</v>
      </c>
      <c r="DX429" s="34">
        <v>0</v>
      </c>
      <c r="DY429" s="34">
        <v>0</v>
      </c>
      <c r="DZ429" s="34">
        <v>0</v>
      </c>
      <c r="EA429" s="34"/>
      <c r="EB429" s="34"/>
    </row>
    <row r="430" spans="1:132" s="14" customFormat="1">
      <c r="A430" s="34" t="s">
        <v>142</v>
      </c>
      <c r="B430" s="34" t="s">
        <v>142</v>
      </c>
      <c r="C430" s="34" t="s">
        <v>142</v>
      </c>
      <c r="D430" s="34" t="s">
        <v>142</v>
      </c>
      <c r="E430" s="34">
        <v>60016</v>
      </c>
      <c r="F430" s="34" t="s">
        <v>743</v>
      </c>
      <c r="G430" s="14">
        <v>0</v>
      </c>
      <c r="H430" s="34">
        <v>560016</v>
      </c>
      <c r="I430" s="34" t="s">
        <v>743</v>
      </c>
      <c r="J430" s="34" t="s">
        <v>743</v>
      </c>
      <c r="K430" s="14" t="s">
        <v>648</v>
      </c>
      <c r="L430" s="34"/>
      <c r="M430" s="14">
        <v>102</v>
      </c>
      <c r="N430" s="14">
        <v>0</v>
      </c>
      <c r="P430" s="14">
        <v>2</v>
      </c>
      <c r="Q430" s="14">
        <v>655360</v>
      </c>
      <c r="R430" s="14">
        <v>0</v>
      </c>
      <c r="S430" s="14">
        <v>0</v>
      </c>
      <c r="U430" s="14">
        <v>0</v>
      </c>
      <c r="V430" s="14">
        <v>0</v>
      </c>
      <c r="W430" s="14">
        <v>0</v>
      </c>
      <c r="X430" s="14">
        <v>0</v>
      </c>
      <c r="Y430" s="14">
        <v>0</v>
      </c>
      <c r="Z430" s="14">
        <v>0</v>
      </c>
      <c r="AB430" s="34">
        <v>10004</v>
      </c>
      <c r="AC430" s="34">
        <v>8</v>
      </c>
      <c r="AD430" s="34">
        <v>0</v>
      </c>
      <c r="AE430" s="34">
        <v>0</v>
      </c>
      <c r="AG430" s="14">
        <v>1</v>
      </c>
      <c r="AH430" s="14">
        <v>0</v>
      </c>
      <c r="AI430" s="14">
        <v>0</v>
      </c>
      <c r="AJ430" s="14">
        <v>0</v>
      </c>
      <c r="AK430" s="14">
        <v>0</v>
      </c>
      <c r="AL430" s="14">
        <v>1</v>
      </c>
      <c r="AM430" s="14">
        <v>0</v>
      </c>
      <c r="AN430" s="14">
        <v>0</v>
      </c>
      <c r="AO430" s="14">
        <v>0</v>
      </c>
      <c r="AP430" s="14">
        <v>1000</v>
      </c>
      <c r="AQ430" s="14">
        <v>5</v>
      </c>
      <c r="AR430" s="14">
        <v>0</v>
      </c>
      <c r="AS430" s="14">
        <v>0</v>
      </c>
      <c r="AT430" s="14">
        <v>0</v>
      </c>
      <c r="AU430" s="14">
        <v>0</v>
      </c>
      <c r="AV430" s="14">
        <v>0</v>
      </c>
      <c r="AW430" s="14">
        <v>0</v>
      </c>
      <c r="AX430" s="14">
        <v>0</v>
      </c>
      <c r="AY430" s="14">
        <v>0</v>
      </c>
      <c r="BA430" s="14">
        <v>0</v>
      </c>
      <c r="BB430" s="14">
        <v>2000</v>
      </c>
      <c r="BC430" s="14">
        <v>2000</v>
      </c>
      <c r="BD430" s="14">
        <v>200</v>
      </c>
      <c r="BE430" s="14">
        <v>100</v>
      </c>
      <c r="BF430" s="14">
        <v>10</v>
      </c>
      <c r="BG430" s="14">
        <v>17</v>
      </c>
      <c r="BH430" s="14">
        <v>1</v>
      </c>
      <c r="BI430" s="14">
        <v>0</v>
      </c>
      <c r="BJ430" s="14">
        <v>0</v>
      </c>
      <c r="BK430" s="14">
        <v>0</v>
      </c>
      <c r="BL430" s="14">
        <v>126</v>
      </c>
      <c r="BM430" s="14">
        <v>0</v>
      </c>
      <c r="BO430" s="14">
        <v>16</v>
      </c>
      <c r="BP430" s="14">
        <v>15</v>
      </c>
      <c r="BQ430" s="34">
        <v>0</v>
      </c>
      <c r="BR430" s="34">
        <v>5</v>
      </c>
      <c r="BS430" s="14">
        <v>15</v>
      </c>
      <c r="BT430" s="14">
        <v>25</v>
      </c>
      <c r="BU430" s="14">
        <v>20</v>
      </c>
      <c r="BV430" s="14">
        <v>6</v>
      </c>
      <c r="BW430" s="14">
        <v>0</v>
      </c>
      <c r="BX430" s="14">
        <v>4</v>
      </c>
      <c r="BZ430" s="14">
        <v>60016</v>
      </c>
      <c r="CA430" s="14">
        <v>0</v>
      </c>
      <c r="CB430" s="14">
        <v>0</v>
      </c>
      <c r="CC430" s="14">
        <v>0</v>
      </c>
      <c r="CD430" s="14">
        <v>0</v>
      </c>
      <c r="CE430" s="14">
        <v>0</v>
      </c>
      <c r="CG430" s="14">
        <v>0</v>
      </c>
      <c r="CH430" s="14">
        <v>0</v>
      </c>
      <c r="CI430" s="14">
        <v>0</v>
      </c>
      <c r="CJ430" s="14">
        <v>1</v>
      </c>
      <c r="CK430" s="14">
        <v>1</v>
      </c>
      <c r="CL430" s="14">
        <v>0</v>
      </c>
      <c r="CM430" s="14">
        <v>0</v>
      </c>
      <c r="CN430" s="14">
        <v>200</v>
      </c>
      <c r="CO430" s="14">
        <v>1800</v>
      </c>
      <c r="CQ430" s="14">
        <v>5</v>
      </c>
      <c r="CR430" s="14">
        <v>0</v>
      </c>
      <c r="CS430" s="14">
        <v>0</v>
      </c>
      <c r="CT430" s="14">
        <v>0</v>
      </c>
      <c r="CV430" s="34">
        <v>5102</v>
      </c>
      <c r="CW430" s="34">
        <v>3</v>
      </c>
      <c r="CX430" s="14">
        <v>101</v>
      </c>
      <c r="CY430" s="14">
        <v>1</v>
      </c>
      <c r="CZ430" s="14">
        <v>2</v>
      </c>
      <c r="DA430" s="15">
        <v>0</v>
      </c>
      <c r="DC430" s="14">
        <v>2</v>
      </c>
      <c r="DD430" s="14">
        <v>1</v>
      </c>
      <c r="DE430" s="14">
        <v>0</v>
      </c>
      <c r="DF430" s="14">
        <v>0</v>
      </c>
      <c r="DG430" s="14">
        <v>-1</v>
      </c>
      <c r="DI430" s="14">
        <v>0</v>
      </c>
      <c r="DJ430" s="14">
        <v>0</v>
      </c>
      <c r="DL430" s="14">
        <v>0</v>
      </c>
      <c r="DM430" s="14">
        <v>0</v>
      </c>
      <c r="DO430" s="14">
        <v>0</v>
      </c>
      <c r="DP430" s="14">
        <v>0</v>
      </c>
      <c r="DQ430" s="14">
        <v>0</v>
      </c>
      <c r="DR430" s="14">
        <v>0</v>
      </c>
      <c r="DS430" s="14">
        <v>0</v>
      </c>
      <c r="DT430" s="14">
        <v>0</v>
      </c>
      <c r="DV430" s="14">
        <v>0</v>
      </c>
      <c r="DW430" s="14">
        <v>0</v>
      </c>
      <c r="DX430" s="14">
        <v>0</v>
      </c>
      <c r="DY430" s="14">
        <v>0</v>
      </c>
      <c r="DZ430" s="14">
        <v>0</v>
      </c>
    </row>
    <row r="431" spans="1:132" s="14" customFormat="1">
      <c r="A431" s="34" t="s">
        <v>142</v>
      </c>
      <c r="B431" s="34" t="s">
        <v>142</v>
      </c>
      <c r="C431" s="34" t="s">
        <v>142</v>
      </c>
      <c r="D431" s="34" t="s">
        <v>142</v>
      </c>
      <c r="E431" s="34">
        <v>60017</v>
      </c>
      <c r="F431" s="34" t="s">
        <v>744</v>
      </c>
      <c r="G431" s="34">
        <v>0</v>
      </c>
      <c r="H431" s="34">
        <v>560017</v>
      </c>
      <c r="I431" s="34" t="s">
        <v>744</v>
      </c>
      <c r="J431" s="34" t="s">
        <v>744</v>
      </c>
      <c r="K431" s="14">
        <v>0</v>
      </c>
      <c r="L431" s="34"/>
      <c r="M431" s="34">
        <v>102</v>
      </c>
      <c r="N431" s="34">
        <v>0</v>
      </c>
      <c r="O431" s="34"/>
      <c r="P431" s="34">
        <v>2</v>
      </c>
      <c r="Q431" s="34">
        <v>655360</v>
      </c>
      <c r="R431" s="34">
        <v>0</v>
      </c>
      <c r="S431" s="34">
        <v>0</v>
      </c>
      <c r="T431" s="34"/>
      <c r="U431" s="34">
        <v>0</v>
      </c>
      <c r="V431" s="34">
        <v>0</v>
      </c>
      <c r="W431" s="34">
        <v>0</v>
      </c>
      <c r="X431" s="34">
        <v>0</v>
      </c>
      <c r="Y431" s="34">
        <v>0</v>
      </c>
      <c r="Z431" s="34">
        <v>0</v>
      </c>
      <c r="AA431" s="34"/>
      <c r="AB431" s="34">
        <v>10008</v>
      </c>
      <c r="AC431" s="34">
        <v>-1</v>
      </c>
      <c r="AD431" s="34">
        <v>-1</v>
      </c>
      <c r="AE431" s="34">
        <v>-1</v>
      </c>
      <c r="AF431" s="34"/>
      <c r="AG431" s="34">
        <v>1</v>
      </c>
      <c r="AH431" s="34">
        <v>0</v>
      </c>
      <c r="AI431" s="34">
        <v>0</v>
      </c>
      <c r="AJ431" s="34">
        <v>0</v>
      </c>
      <c r="AK431" s="34">
        <v>0</v>
      </c>
      <c r="AL431" s="34">
        <v>0</v>
      </c>
      <c r="AM431" s="34">
        <v>0</v>
      </c>
      <c r="AN431" s="34">
        <v>0</v>
      </c>
      <c r="AO431" s="34">
        <v>0</v>
      </c>
      <c r="AP431" s="34">
        <v>0</v>
      </c>
      <c r="AQ431" s="34">
        <v>0</v>
      </c>
      <c r="AR431" s="34">
        <v>0</v>
      </c>
      <c r="AS431" s="34">
        <v>0</v>
      </c>
      <c r="AT431" s="34">
        <v>0</v>
      </c>
      <c r="AU431" s="34">
        <v>0</v>
      </c>
      <c r="AV431" s="34">
        <v>0</v>
      </c>
      <c r="AW431" s="34">
        <v>0</v>
      </c>
      <c r="AX431" s="34">
        <v>0</v>
      </c>
      <c r="AY431" s="34">
        <v>0</v>
      </c>
      <c r="AZ431" s="34"/>
      <c r="BA431" s="34">
        <v>0</v>
      </c>
      <c r="BB431" s="34">
        <v>1633</v>
      </c>
      <c r="BC431" s="34">
        <v>1633</v>
      </c>
      <c r="BD431" s="34">
        <v>333</v>
      </c>
      <c r="BE431" s="34">
        <v>0</v>
      </c>
      <c r="BF431" s="34">
        <v>1</v>
      </c>
      <c r="BG431" s="14">
        <v>1</v>
      </c>
      <c r="BH431" s="14">
        <v>1</v>
      </c>
      <c r="BI431" s="34">
        <v>0</v>
      </c>
      <c r="BJ431" s="34">
        <v>0</v>
      </c>
      <c r="BK431" s="34">
        <v>0</v>
      </c>
      <c r="BL431" s="14">
        <v>126</v>
      </c>
      <c r="BM431" s="14">
        <v>0</v>
      </c>
      <c r="BN431" s="34"/>
      <c r="BO431" s="14">
        <v>16</v>
      </c>
      <c r="BP431" s="14">
        <v>8</v>
      </c>
      <c r="BQ431" s="34">
        <v>0</v>
      </c>
      <c r="BR431" s="34">
        <v>3</v>
      </c>
      <c r="BS431" s="34">
        <v>0</v>
      </c>
      <c r="BT431" s="34">
        <v>55</v>
      </c>
      <c r="BU431" s="34">
        <v>45</v>
      </c>
      <c r="BV431" s="34">
        <v>6</v>
      </c>
      <c r="BW431" s="34">
        <v>0</v>
      </c>
      <c r="BX431" s="34">
        <v>4</v>
      </c>
      <c r="BY431" s="34"/>
      <c r="BZ431" s="34">
        <v>60017</v>
      </c>
      <c r="CA431" s="34">
        <v>0</v>
      </c>
      <c r="CB431" s="34">
        <v>0</v>
      </c>
      <c r="CC431" s="34">
        <v>0</v>
      </c>
      <c r="CD431" s="34">
        <v>0</v>
      </c>
      <c r="CE431" s="34">
        <v>0</v>
      </c>
      <c r="CF431" s="34"/>
      <c r="CG431" s="34">
        <v>1</v>
      </c>
      <c r="CH431" s="34">
        <v>0</v>
      </c>
      <c r="CI431" s="34">
        <v>0</v>
      </c>
      <c r="CJ431" s="34">
        <v>0</v>
      </c>
      <c r="CK431" s="34">
        <v>1</v>
      </c>
      <c r="CL431" s="34">
        <v>1</v>
      </c>
      <c r="CM431" s="34">
        <v>0</v>
      </c>
      <c r="CN431" s="34">
        <v>200</v>
      </c>
      <c r="CO431" s="34">
        <v>500</v>
      </c>
      <c r="CP431" s="34"/>
      <c r="CQ431" s="34">
        <v>0</v>
      </c>
      <c r="CR431" s="34">
        <v>0</v>
      </c>
      <c r="CS431" s="34">
        <v>1000</v>
      </c>
      <c r="CT431" s="34">
        <v>0</v>
      </c>
      <c r="CU431" s="34"/>
      <c r="CV431" s="34">
        <v>5103</v>
      </c>
      <c r="CW431" s="34">
        <v>0</v>
      </c>
      <c r="CX431" s="34">
        <v>-1</v>
      </c>
      <c r="CY431" s="14">
        <v>1</v>
      </c>
      <c r="CZ431" s="34">
        <v>1</v>
      </c>
      <c r="DA431" s="34">
        <v>0</v>
      </c>
      <c r="DB431" s="35"/>
      <c r="DC431" s="34">
        <v>0</v>
      </c>
      <c r="DD431" s="34">
        <v>0</v>
      </c>
      <c r="DE431" s="34">
        <v>0</v>
      </c>
      <c r="DF431" s="34">
        <v>0</v>
      </c>
      <c r="DG431" s="34">
        <v>0</v>
      </c>
      <c r="DH431" s="34"/>
      <c r="DI431" s="34">
        <v>0</v>
      </c>
      <c r="DJ431" s="34">
        <v>0</v>
      </c>
      <c r="DK431" s="34"/>
      <c r="DL431" s="34">
        <v>0</v>
      </c>
      <c r="DM431" s="34">
        <v>0</v>
      </c>
      <c r="DN431" s="34"/>
      <c r="DO431" s="34">
        <v>0</v>
      </c>
      <c r="DP431" s="34">
        <v>0</v>
      </c>
      <c r="DQ431" s="34">
        <v>0</v>
      </c>
      <c r="DR431" s="34">
        <v>0</v>
      </c>
      <c r="DS431" s="34">
        <v>0</v>
      </c>
      <c r="DT431" s="34">
        <v>0</v>
      </c>
      <c r="DU431" s="34"/>
      <c r="DV431" s="34">
        <v>0</v>
      </c>
      <c r="DW431" s="34">
        <v>0</v>
      </c>
      <c r="DX431" s="34">
        <v>0</v>
      </c>
      <c r="DY431" s="34">
        <v>0</v>
      </c>
      <c r="DZ431" s="34">
        <v>0</v>
      </c>
      <c r="EA431" s="34"/>
    </row>
    <row r="432" spans="1:132" s="14" customFormat="1">
      <c r="A432" s="34" t="s">
        <v>142</v>
      </c>
      <c r="B432" s="34" t="s">
        <v>142</v>
      </c>
      <c r="C432" s="34" t="s">
        <v>142</v>
      </c>
      <c r="D432" s="34" t="s">
        <v>142</v>
      </c>
      <c r="E432" s="34">
        <v>60018</v>
      </c>
      <c r="F432" s="34" t="s">
        <v>745</v>
      </c>
      <c r="G432" s="34">
        <v>0</v>
      </c>
      <c r="H432" s="34">
        <v>560018</v>
      </c>
      <c r="I432" s="34" t="s">
        <v>745</v>
      </c>
      <c r="J432" s="34" t="s">
        <v>745</v>
      </c>
      <c r="K432" s="14">
        <v>0</v>
      </c>
      <c r="L432" s="34"/>
      <c r="M432" s="34">
        <v>102</v>
      </c>
      <c r="N432" s="34">
        <v>0</v>
      </c>
      <c r="O432" s="34"/>
      <c r="P432" s="34">
        <v>2</v>
      </c>
      <c r="Q432" s="34">
        <v>655360</v>
      </c>
      <c r="R432" s="34">
        <v>0</v>
      </c>
      <c r="S432" s="34">
        <v>0</v>
      </c>
      <c r="T432" s="34"/>
      <c r="U432" s="34">
        <v>0</v>
      </c>
      <c r="V432" s="34">
        <v>0</v>
      </c>
      <c r="W432" s="34">
        <v>0</v>
      </c>
      <c r="X432" s="34">
        <v>0</v>
      </c>
      <c r="Y432" s="34">
        <v>0</v>
      </c>
      <c r="Z432" s="34">
        <v>0</v>
      </c>
      <c r="AA432" s="34"/>
      <c r="AB432" s="34">
        <v>10001</v>
      </c>
      <c r="AC432" s="34">
        <v>-1</v>
      </c>
      <c r="AD432" s="34">
        <v>-1</v>
      </c>
      <c r="AE432" s="34">
        <v>-1</v>
      </c>
      <c r="AF432" s="34"/>
      <c r="AG432" s="34">
        <v>1</v>
      </c>
      <c r="AH432" s="34">
        <v>0</v>
      </c>
      <c r="AI432" s="34">
        <v>0</v>
      </c>
      <c r="AJ432" s="34">
        <v>0</v>
      </c>
      <c r="AK432" s="34">
        <v>0</v>
      </c>
      <c r="AL432" s="34">
        <v>0</v>
      </c>
      <c r="AM432" s="34">
        <v>0</v>
      </c>
      <c r="AN432" s="34">
        <v>0</v>
      </c>
      <c r="AO432" s="34">
        <v>0</v>
      </c>
      <c r="AP432" s="34">
        <v>0</v>
      </c>
      <c r="AQ432" s="34">
        <v>0</v>
      </c>
      <c r="AR432" s="34">
        <v>0</v>
      </c>
      <c r="AS432" s="34">
        <v>0</v>
      </c>
      <c r="AT432" s="34">
        <v>0</v>
      </c>
      <c r="AU432" s="34">
        <v>0</v>
      </c>
      <c r="AV432" s="34">
        <v>0</v>
      </c>
      <c r="AW432" s="34">
        <v>0</v>
      </c>
      <c r="AX432" s="34">
        <v>0</v>
      </c>
      <c r="AY432" s="34">
        <v>0</v>
      </c>
      <c r="AZ432" s="34"/>
      <c r="BA432" s="34">
        <v>0</v>
      </c>
      <c r="BB432" s="34">
        <v>500</v>
      </c>
      <c r="BC432" s="34">
        <v>500</v>
      </c>
      <c r="BD432" s="34">
        <v>0</v>
      </c>
      <c r="BE432" s="34">
        <v>0</v>
      </c>
      <c r="BF432" s="34">
        <v>0</v>
      </c>
      <c r="BG432" s="14">
        <v>1</v>
      </c>
      <c r="BH432" s="14">
        <v>1</v>
      </c>
      <c r="BI432" s="34">
        <v>0</v>
      </c>
      <c r="BJ432" s="14">
        <v>0</v>
      </c>
      <c r="BK432" s="14">
        <v>0</v>
      </c>
      <c r="BL432" s="14">
        <v>126</v>
      </c>
      <c r="BM432" s="14">
        <v>0</v>
      </c>
      <c r="BN432" s="34"/>
      <c r="BO432" s="14">
        <v>16</v>
      </c>
      <c r="BP432" s="14">
        <v>4</v>
      </c>
      <c r="BQ432" s="34">
        <v>0</v>
      </c>
      <c r="BR432" s="34">
        <v>1</v>
      </c>
      <c r="BS432" s="34">
        <v>0</v>
      </c>
      <c r="BT432" s="34">
        <v>0</v>
      </c>
      <c r="BU432" s="34">
        <v>0</v>
      </c>
      <c r="BV432" s="34">
        <v>6</v>
      </c>
      <c r="BW432" s="34">
        <v>0</v>
      </c>
      <c r="BX432" s="34">
        <v>1</v>
      </c>
      <c r="BY432" s="34"/>
      <c r="BZ432" s="34">
        <v>-1</v>
      </c>
      <c r="CA432" s="34">
        <v>0</v>
      </c>
      <c r="CB432" s="34">
        <v>0</v>
      </c>
      <c r="CC432" s="34">
        <v>0</v>
      </c>
      <c r="CD432" s="34">
        <v>0</v>
      </c>
      <c r="CE432" s="34">
        <v>0</v>
      </c>
      <c r="CF432" s="34"/>
      <c r="CG432" s="34">
        <v>-1</v>
      </c>
      <c r="CH432" s="34">
        <v>0</v>
      </c>
      <c r="CI432" s="34">
        <v>0</v>
      </c>
      <c r="CJ432" s="34">
        <v>0</v>
      </c>
      <c r="CK432" s="34">
        <v>0</v>
      </c>
      <c r="CL432" s="34">
        <v>0</v>
      </c>
      <c r="CM432" s="34">
        <v>0</v>
      </c>
      <c r="CN432" s="34">
        <v>0</v>
      </c>
      <c r="CO432" s="34">
        <v>0</v>
      </c>
      <c r="CP432" s="34"/>
      <c r="CQ432" s="34">
        <v>0</v>
      </c>
      <c r="CR432" s="34">
        <v>0</v>
      </c>
      <c r="CS432" s="34">
        <v>0</v>
      </c>
      <c r="CT432" s="34">
        <v>0</v>
      </c>
      <c r="CU432" s="34"/>
      <c r="CV432" s="34">
        <v>5104</v>
      </c>
      <c r="CW432" s="34">
        <v>0</v>
      </c>
      <c r="CX432" s="34">
        <v>-1</v>
      </c>
      <c r="CY432" s="14">
        <v>1</v>
      </c>
      <c r="CZ432" s="34">
        <v>1</v>
      </c>
      <c r="DA432" s="34">
        <v>0</v>
      </c>
      <c r="DB432" s="35"/>
      <c r="DC432" s="34">
        <v>0</v>
      </c>
      <c r="DD432" s="34">
        <v>0</v>
      </c>
      <c r="DE432" s="34">
        <v>0</v>
      </c>
      <c r="DF432" s="34">
        <v>0</v>
      </c>
      <c r="DG432" s="34">
        <v>0</v>
      </c>
      <c r="DH432" s="34"/>
      <c r="DI432" s="34">
        <v>0</v>
      </c>
      <c r="DJ432" s="34">
        <v>0</v>
      </c>
      <c r="DK432" s="34"/>
      <c r="DL432" s="34">
        <v>0</v>
      </c>
      <c r="DM432" s="34">
        <v>0</v>
      </c>
      <c r="DN432" s="34"/>
      <c r="DO432" s="34">
        <v>0</v>
      </c>
      <c r="DP432" s="34">
        <v>0</v>
      </c>
      <c r="DQ432" s="34">
        <v>0</v>
      </c>
      <c r="DR432" s="34">
        <v>0</v>
      </c>
      <c r="DS432" s="34">
        <v>0</v>
      </c>
      <c r="DT432" s="34">
        <v>0</v>
      </c>
      <c r="DU432" s="34"/>
      <c r="DV432" s="34">
        <v>0</v>
      </c>
      <c r="DW432" s="34">
        <v>0</v>
      </c>
      <c r="DX432" s="34">
        <v>0</v>
      </c>
      <c r="DY432" s="34">
        <v>0</v>
      </c>
      <c r="DZ432" s="34">
        <v>0</v>
      </c>
      <c r="EA432" s="34"/>
    </row>
    <row r="433" spans="1:131" s="14" customFormat="1">
      <c r="A433" s="34" t="s">
        <v>142</v>
      </c>
      <c r="B433" s="34" t="s">
        <v>142</v>
      </c>
      <c r="C433" s="34" t="s">
        <v>142</v>
      </c>
      <c r="D433" s="34" t="s">
        <v>142</v>
      </c>
      <c r="E433" s="34">
        <v>60019</v>
      </c>
      <c r="F433" s="34" t="s">
        <v>746</v>
      </c>
      <c r="G433" s="34">
        <v>0</v>
      </c>
      <c r="H433" s="34">
        <v>560019</v>
      </c>
      <c r="I433" s="34" t="s">
        <v>746</v>
      </c>
      <c r="J433" s="34" t="s">
        <v>746</v>
      </c>
      <c r="K433" s="14">
        <v>0</v>
      </c>
      <c r="L433" s="34"/>
      <c r="M433" s="34">
        <v>102</v>
      </c>
      <c r="N433" s="34">
        <v>0</v>
      </c>
      <c r="O433" s="34"/>
      <c r="P433" s="34">
        <v>2</v>
      </c>
      <c r="Q433" s="34">
        <v>655360</v>
      </c>
      <c r="R433" s="34">
        <v>0</v>
      </c>
      <c r="S433" s="34">
        <v>0</v>
      </c>
      <c r="T433" s="34"/>
      <c r="U433" s="34">
        <v>0</v>
      </c>
      <c r="V433" s="34">
        <v>0</v>
      </c>
      <c r="W433" s="34">
        <v>0</v>
      </c>
      <c r="X433" s="34">
        <v>0</v>
      </c>
      <c r="Y433" s="34">
        <v>0</v>
      </c>
      <c r="Z433" s="34">
        <v>0</v>
      </c>
      <c r="AA433" s="34"/>
      <c r="AB433" s="34">
        <v>10001</v>
      </c>
      <c r="AC433" s="34">
        <v>-1</v>
      </c>
      <c r="AD433" s="34">
        <v>-1</v>
      </c>
      <c r="AE433" s="34">
        <v>-1</v>
      </c>
      <c r="AF433" s="34"/>
      <c r="AG433" s="34">
        <v>1</v>
      </c>
      <c r="AH433" s="34">
        <v>0</v>
      </c>
      <c r="AI433" s="34">
        <v>0</v>
      </c>
      <c r="AJ433" s="34">
        <v>0</v>
      </c>
      <c r="AK433" s="34">
        <v>0</v>
      </c>
      <c r="AL433" s="34">
        <v>0</v>
      </c>
      <c r="AM433" s="34">
        <v>0</v>
      </c>
      <c r="AN433" s="34">
        <v>0</v>
      </c>
      <c r="AO433" s="34">
        <v>0</v>
      </c>
      <c r="AP433" s="34">
        <v>0</v>
      </c>
      <c r="AQ433" s="34">
        <v>0</v>
      </c>
      <c r="AR433" s="34">
        <v>0</v>
      </c>
      <c r="AS433" s="34">
        <v>0</v>
      </c>
      <c r="AT433" s="34">
        <v>0</v>
      </c>
      <c r="AU433" s="34">
        <v>0</v>
      </c>
      <c r="AV433" s="34">
        <v>0</v>
      </c>
      <c r="AW433" s="34">
        <v>0</v>
      </c>
      <c r="AX433" s="34">
        <v>0</v>
      </c>
      <c r="AY433" s="34">
        <v>0</v>
      </c>
      <c r="AZ433" s="34"/>
      <c r="BA433" s="34">
        <v>0</v>
      </c>
      <c r="BB433" s="34">
        <v>1500</v>
      </c>
      <c r="BC433" s="34">
        <v>1500</v>
      </c>
      <c r="BD433" s="34">
        <v>0</v>
      </c>
      <c r="BE433" s="34">
        <v>0</v>
      </c>
      <c r="BF433" s="34">
        <v>0</v>
      </c>
      <c r="BG433" s="14">
        <v>1</v>
      </c>
      <c r="BH433" s="14">
        <v>1</v>
      </c>
      <c r="BI433" s="34">
        <v>0</v>
      </c>
      <c r="BJ433" s="14">
        <v>0</v>
      </c>
      <c r="BK433" s="14">
        <v>0</v>
      </c>
      <c r="BL433" s="14">
        <v>126</v>
      </c>
      <c r="BM433" s="14">
        <v>0</v>
      </c>
      <c r="BN433" s="34"/>
      <c r="BO433" s="14">
        <v>16</v>
      </c>
      <c r="BP433" s="14">
        <v>4</v>
      </c>
      <c r="BQ433" s="34">
        <v>0</v>
      </c>
      <c r="BR433" s="34">
        <v>1</v>
      </c>
      <c r="BS433" s="34">
        <v>0</v>
      </c>
      <c r="BT433" s="34">
        <v>0</v>
      </c>
      <c r="BU433" s="34">
        <v>0</v>
      </c>
      <c r="BV433" s="34">
        <v>6</v>
      </c>
      <c r="BW433" s="34">
        <v>0</v>
      </c>
      <c r="BX433" s="34">
        <v>1</v>
      </c>
      <c r="BY433" s="34"/>
      <c r="BZ433" s="34">
        <v>-1</v>
      </c>
      <c r="CA433" s="34">
        <v>0</v>
      </c>
      <c r="CB433" s="34">
        <v>0</v>
      </c>
      <c r="CC433" s="34">
        <v>0</v>
      </c>
      <c r="CD433" s="34">
        <v>0</v>
      </c>
      <c r="CE433" s="34">
        <v>0</v>
      </c>
      <c r="CF433" s="34"/>
      <c r="CG433" s="34">
        <v>-1</v>
      </c>
      <c r="CH433" s="34">
        <v>0</v>
      </c>
      <c r="CI433" s="34">
        <v>0</v>
      </c>
      <c r="CJ433" s="34">
        <v>0</v>
      </c>
      <c r="CK433" s="34">
        <v>0</v>
      </c>
      <c r="CL433" s="34">
        <v>0</v>
      </c>
      <c r="CM433" s="34">
        <v>0</v>
      </c>
      <c r="CN433" s="34">
        <v>0</v>
      </c>
      <c r="CO433" s="34">
        <v>0</v>
      </c>
      <c r="CP433" s="34"/>
      <c r="CQ433" s="34">
        <v>0</v>
      </c>
      <c r="CR433" s="34">
        <v>0</v>
      </c>
      <c r="CS433" s="34">
        <v>0</v>
      </c>
      <c r="CT433" s="34">
        <v>0</v>
      </c>
      <c r="CU433" s="34"/>
      <c r="CV433" s="34">
        <v>5105</v>
      </c>
      <c r="CW433" s="34">
        <v>0</v>
      </c>
      <c r="CX433" s="34">
        <v>-1</v>
      </c>
      <c r="CY433" s="14">
        <v>1</v>
      </c>
      <c r="CZ433" s="34">
        <v>1</v>
      </c>
      <c r="DA433" s="34">
        <v>0</v>
      </c>
      <c r="DB433" s="35"/>
      <c r="DC433" s="34">
        <v>0</v>
      </c>
      <c r="DD433" s="34">
        <v>0</v>
      </c>
      <c r="DE433" s="34">
        <v>0</v>
      </c>
      <c r="DF433" s="34">
        <v>0</v>
      </c>
      <c r="DG433" s="34">
        <v>0</v>
      </c>
      <c r="DH433" s="34"/>
      <c r="DI433" s="34">
        <v>0</v>
      </c>
      <c r="DJ433" s="34">
        <v>0</v>
      </c>
      <c r="DK433" s="34"/>
      <c r="DL433" s="34">
        <v>0</v>
      </c>
      <c r="DM433" s="34">
        <v>0</v>
      </c>
      <c r="DN433" s="34"/>
      <c r="DO433" s="34">
        <v>0</v>
      </c>
      <c r="DP433" s="34">
        <v>0</v>
      </c>
      <c r="DQ433" s="34">
        <v>0</v>
      </c>
      <c r="DR433" s="34">
        <v>0</v>
      </c>
      <c r="DS433" s="34">
        <v>0</v>
      </c>
      <c r="DT433" s="34">
        <v>0</v>
      </c>
      <c r="DU433" s="34"/>
      <c r="DV433" s="34">
        <v>0</v>
      </c>
      <c r="DW433" s="34">
        <v>0</v>
      </c>
      <c r="DX433" s="34">
        <v>0</v>
      </c>
      <c r="DY433" s="34">
        <v>0</v>
      </c>
      <c r="DZ433" s="34">
        <v>0</v>
      </c>
      <c r="EA433" s="34"/>
    </row>
    <row r="434" spans="1:131" s="14" customFormat="1">
      <c r="A434" s="34" t="s">
        <v>142</v>
      </c>
      <c r="B434" s="34" t="s">
        <v>142</v>
      </c>
      <c r="C434" s="34" t="s">
        <v>142</v>
      </c>
      <c r="D434" s="34" t="s">
        <v>142</v>
      </c>
      <c r="E434" s="34">
        <v>60020</v>
      </c>
      <c r="F434" s="34" t="s">
        <v>747</v>
      </c>
      <c r="G434" s="34">
        <v>0</v>
      </c>
      <c r="H434" s="34">
        <v>560020</v>
      </c>
      <c r="I434" s="34" t="s">
        <v>747</v>
      </c>
      <c r="J434" s="34" t="s">
        <v>747</v>
      </c>
      <c r="K434" s="14">
        <v>0</v>
      </c>
      <c r="L434" s="34"/>
      <c r="M434" s="34">
        <v>102</v>
      </c>
      <c r="N434" s="34">
        <v>0</v>
      </c>
      <c r="O434" s="34"/>
      <c r="P434" s="34">
        <v>2</v>
      </c>
      <c r="Q434" s="34">
        <v>655360</v>
      </c>
      <c r="R434" s="34">
        <v>0</v>
      </c>
      <c r="S434" s="34">
        <v>0</v>
      </c>
      <c r="T434" s="34"/>
      <c r="U434" s="34">
        <v>0</v>
      </c>
      <c r="V434" s="34">
        <v>0</v>
      </c>
      <c r="W434" s="34">
        <v>0</v>
      </c>
      <c r="X434" s="34">
        <v>0</v>
      </c>
      <c r="Y434" s="34">
        <v>0</v>
      </c>
      <c r="Z434" s="34">
        <v>0</v>
      </c>
      <c r="AA434" s="34"/>
      <c r="AB434" s="34">
        <v>10001</v>
      </c>
      <c r="AC434" s="34">
        <v>-1</v>
      </c>
      <c r="AD434" s="34">
        <v>-1</v>
      </c>
      <c r="AE434" s="34">
        <v>-1</v>
      </c>
      <c r="AF434" s="34"/>
      <c r="AG434" s="34">
        <v>1</v>
      </c>
      <c r="AH434" s="34">
        <v>0</v>
      </c>
      <c r="AI434" s="34">
        <v>0</v>
      </c>
      <c r="AJ434" s="34">
        <v>0</v>
      </c>
      <c r="AK434" s="34">
        <v>0</v>
      </c>
      <c r="AL434" s="34">
        <v>0</v>
      </c>
      <c r="AM434" s="34">
        <v>0</v>
      </c>
      <c r="AN434" s="34">
        <v>0</v>
      </c>
      <c r="AO434" s="34">
        <v>0</v>
      </c>
      <c r="AP434" s="34">
        <v>0</v>
      </c>
      <c r="AQ434" s="34">
        <v>0</v>
      </c>
      <c r="AR434" s="34">
        <v>0</v>
      </c>
      <c r="AS434" s="34">
        <v>0</v>
      </c>
      <c r="AT434" s="34">
        <v>0</v>
      </c>
      <c r="AU434" s="34">
        <v>0</v>
      </c>
      <c r="AV434" s="34">
        <v>0</v>
      </c>
      <c r="AW434" s="34">
        <v>0</v>
      </c>
      <c r="AX434" s="34">
        <v>0</v>
      </c>
      <c r="AY434" s="34">
        <v>0</v>
      </c>
      <c r="AZ434" s="34"/>
      <c r="BA434" s="34">
        <v>0</v>
      </c>
      <c r="BB434" s="34">
        <v>4000</v>
      </c>
      <c r="BC434" s="34">
        <v>4000</v>
      </c>
      <c r="BD434" s="34">
        <v>500</v>
      </c>
      <c r="BE434" s="34">
        <v>500</v>
      </c>
      <c r="BF434" s="34">
        <v>6</v>
      </c>
      <c r="BG434" s="14">
        <v>1</v>
      </c>
      <c r="BH434" s="14">
        <v>1</v>
      </c>
      <c r="BI434" s="34">
        <v>0</v>
      </c>
      <c r="BJ434" s="14">
        <v>0</v>
      </c>
      <c r="BK434" s="14">
        <v>0</v>
      </c>
      <c r="BL434" s="14">
        <v>126</v>
      </c>
      <c r="BM434" s="14">
        <v>0</v>
      </c>
      <c r="BN434" s="34"/>
      <c r="BO434" s="14">
        <v>16</v>
      </c>
      <c r="BP434" s="14">
        <v>12</v>
      </c>
      <c r="BQ434" s="34">
        <v>0</v>
      </c>
      <c r="BR434" s="34">
        <v>5</v>
      </c>
      <c r="BS434" s="34">
        <v>0</v>
      </c>
      <c r="BT434" s="34">
        <v>120</v>
      </c>
      <c r="BU434" s="34">
        <v>40</v>
      </c>
      <c r="BV434" s="34">
        <v>6</v>
      </c>
      <c r="BW434" s="34">
        <v>0</v>
      </c>
      <c r="BX434" s="34">
        <v>4</v>
      </c>
      <c r="BY434" s="34"/>
      <c r="BZ434" s="34">
        <v>60020</v>
      </c>
      <c r="CA434" s="34">
        <v>0</v>
      </c>
      <c r="CB434" s="34">
        <v>0</v>
      </c>
      <c r="CC434" s="34">
        <v>0</v>
      </c>
      <c r="CD434" s="34">
        <v>0</v>
      </c>
      <c r="CE434" s="34">
        <v>0</v>
      </c>
      <c r="CF434" s="34"/>
      <c r="CG434" s="34">
        <v>1</v>
      </c>
      <c r="CH434" s="34">
        <v>0</v>
      </c>
      <c r="CI434" s="34">
        <v>0</v>
      </c>
      <c r="CJ434" s="34">
        <v>0</v>
      </c>
      <c r="CK434" s="34">
        <v>1</v>
      </c>
      <c r="CL434" s="34">
        <v>1</v>
      </c>
      <c r="CM434" s="34">
        <v>0</v>
      </c>
      <c r="CN434" s="34">
        <v>200</v>
      </c>
      <c r="CO434" s="34">
        <v>500</v>
      </c>
      <c r="CP434" s="34"/>
      <c r="CQ434" s="34">
        <v>0</v>
      </c>
      <c r="CR434" s="34">
        <v>0</v>
      </c>
      <c r="CS434" s="34">
        <v>0</v>
      </c>
      <c r="CT434" s="34">
        <v>0</v>
      </c>
      <c r="CU434" s="34"/>
      <c r="CV434" s="34">
        <v>5106</v>
      </c>
      <c r="CW434" s="34">
        <v>0</v>
      </c>
      <c r="CX434" s="34">
        <v>-1</v>
      </c>
      <c r="CY434" s="14">
        <v>1</v>
      </c>
      <c r="CZ434" s="34">
        <v>1</v>
      </c>
      <c r="DA434" s="34">
        <v>0</v>
      </c>
      <c r="DB434" s="35"/>
      <c r="DC434" s="34">
        <v>0</v>
      </c>
      <c r="DD434" s="34">
        <v>0</v>
      </c>
      <c r="DE434" s="34">
        <v>0</v>
      </c>
      <c r="DF434" s="34">
        <v>0</v>
      </c>
      <c r="DG434" s="34">
        <v>0</v>
      </c>
      <c r="DH434" s="34"/>
      <c r="DI434" s="34">
        <v>0</v>
      </c>
      <c r="DJ434" s="34">
        <v>0</v>
      </c>
      <c r="DK434" s="34"/>
      <c r="DL434" s="34">
        <v>0</v>
      </c>
      <c r="DM434" s="34">
        <v>0</v>
      </c>
      <c r="DN434" s="34"/>
      <c r="DO434" s="34">
        <v>0</v>
      </c>
      <c r="DP434" s="34">
        <v>0</v>
      </c>
      <c r="DQ434" s="34">
        <v>0</v>
      </c>
      <c r="DR434" s="34">
        <v>0</v>
      </c>
      <c r="DS434" s="34">
        <v>0</v>
      </c>
      <c r="DT434" s="34">
        <v>0</v>
      </c>
      <c r="DU434" s="34"/>
      <c r="DV434" s="34">
        <v>0</v>
      </c>
      <c r="DW434" s="34">
        <v>0</v>
      </c>
      <c r="DX434" s="34">
        <v>0</v>
      </c>
      <c r="DY434" s="34">
        <v>0</v>
      </c>
      <c r="DZ434" s="34">
        <v>0</v>
      </c>
      <c r="EA434" s="34"/>
    </row>
    <row r="435" spans="1:131" s="14" customFormat="1">
      <c r="A435" s="34" t="s">
        <v>142</v>
      </c>
      <c r="B435" s="34" t="s">
        <v>142</v>
      </c>
      <c r="C435" s="34" t="s">
        <v>142</v>
      </c>
      <c r="D435" s="34" t="s">
        <v>142</v>
      </c>
      <c r="E435" s="34">
        <v>60021</v>
      </c>
      <c r="F435" s="34" t="s">
        <v>748</v>
      </c>
      <c r="G435" s="34">
        <v>0</v>
      </c>
      <c r="H435" s="34">
        <v>560021</v>
      </c>
      <c r="I435" s="34" t="s">
        <v>748</v>
      </c>
      <c r="J435" s="34" t="s">
        <v>748</v>
      </c>
      <c r="K435" s="14">
        <v>0</v>
      </c>
      <c r="L435" s="34"/>
      <c r="M435" s="34">
        <v>102</v>
      </c>
      <c r="N435" s="34">
        <v>0</v>
      </c>
      <c r="O435" s="34"/>
      <c r="P435" s="34">
        <v>2</v>
      </c>
      <c r="Q435" s="34">
        <v>655360</v>
      </c>
      <c r="R435" s="34">
        <v>0</v>
      </c>
      <c r="S435" s="34">
        <v>0</v>
      </c>
      <c r="T435" s="34"/>
      <c r="U435" s="34">
        <v>0</v>
      </c>
      <c r="V435" s="34">
        <v>0</v>
      </c>
      <c r="W435" s="34">
        <v>0</v>
      </c>
      <c r="X435" s="34">
        <v>0</v>
      </c>
      <c r="Y435" s="34">
        <v>0</v>
      </c>
      <c r="Z435" s="34">
        <v>0</v>
      </c>
      <c r="AA435" s="34"/>
      <c r="AB435" s="34">
        <v>10001</v>
      </c>
      <c r="AC435" s="34">
        <v>-1</v>
      </c>
      <c r="AD435" s="34">
        <v>-1</v>
      </c>
      <c r="AE435" s="34">
        <v>-1</v>
      </c>
      <c r="AF435" s="34"/>
      <c r="AG435" s="34">
        <v>1</v>
      </c>
      <c r="AH435" s="34">
        <v>0</v>
      </c>
      <c r="AI435" s="34">
        <v>0</v>
      </c>
      <c r="AJ435" s="34">
        <v>0</v>
      </c>
      <c r="AK435" s="34">
        <v>0</v>
      </c>
      <c r="AL435" s="34">
        <v>0</v>
      </c>
      <c r="AM435" s="34">
        <v>0</v>
      </c>
      <c r="AN435" s="34">
        <v>0</v>
      </c>
      <c r="AO435" s="34">
        <v>0</v>
      </c>
      <c r="AP435" s="34">
        <v>0</v>
      </c>
      <c r="AQ435" s="34">
        <v>0</v>
      </c>
      <c r="AR435" s="34">
        <v>0</v>
      </c>
      <c r="AS435" s="34">
        <v>0</v>
      </c>
      <c r="AT435" s="34">
        <v>0</v>
      </c>
      <c r="AU435" s="34">
        <v>0</v>
      </c>
      <c r="AV435" s="34">
        <v>0</v>
      </c>
      <c r="AW435" s="34">
        <v>0</v>
      </c>
      <c r="AX435" s="34">
        <v>0</v>
      </c>
      <c r="AY435" s="34">
        <v>0</v>
      </c>
      <c r="AZ435" s="34"/>
      <c r="BA435" s="34">
        <v>0</v>
      </c>
      <c r="BB435" s="34">
        <v>4000</v>
      </c>
      <c r="BC435" s="34">
        <v>4000</v>
      </c>
      <c r="BD435" s="34">
        <v>1000</v>
      </c>
      <c r="BE435" s="34">
        <v>500</v>
      </c>
      <c r="BF435" s="34">
        <v>5</v>
      </c>
      <c r="BG435" s="14">
        <v>1</v>
      </c>
      <c r="BH435" s="14">
        <v>1</v>
      </c>
      <c r="BI435" s="34">
        <v>0</v>
      </c>
      <c r="BJ435" s="14">
        <v>0</v>
      </c>
      <c r="BK435" s="14">
        <v>0</v>
      </c>
      <c r="BL435" s="14">
        <v>126</v>
      </c>
      <c r="BM435" s="14">
        <v>0</v>
      </c>
      <c r="BN435" s="34"/>
      <c r="BO435" s="14">
        <v>16</v>
      </c>
      <c r="BP435" s="14">
        <v>12</v>
      </c>
      <c r="BQ435" s="34">
        <v>0</v>
      </c>
      <c r="BR435" s="34">
        <v>3</v>
      </c>
      <c r="BS435" s="34">
        <v>0</v>
      </c>
      <c r="BT435" s="34">
        <v>120</v>
      </c>
      <c r="BU435" s="34">
        <v>45</v>
      </c>
      <c r="BV435" s="34">
        <v>6</v>
      </c>
      <c r="BW435" s="34">
        <v>0</v>
      </c>
      <c r="BX435" s="34">
        <v>4</v>
      </c>
      <c r="BY435" s="34"/>
      <c r="BZ435" s="34">
        <v>60021</v>
      </c>
      <c r="CA435" s="34">
        <v>0</v>
      </c>
      <c r="CB435" s="34">
        <v>0</v>
      </c>
      <c r="CC435" s="34">
        <v>0</v>
      </c>
      <c r="CD435" s="34">
        <v>0</v>
      </c>
      <c r="CE435" s="34">
        <v>0</v>
      </c>
      <c r="CF435" s="34"/>
      <c r="CG435" s="34">
        <v>-1</v>
      </c>
      <c r="CH435" s="34">
        <v>0</v>
      </c>
      <c r="CI435" s="34">
        <v>0</v>
      </c>
      <c r="CJ435" s="34">
        <v>0</v>
      </c>
      <c r="CK435" s="34">
        <v>0</v>
      </c>
      <c r="CL435" s="34">
        <v>0</v>
      </c>
      <c r="CM435" s="34">
        <v>0</v>
      </c>
      <c r="CN435" s="34">
        <v>0</v>
      </c>
      <c r="CO435" s="34">
        <v>0</v>
      </c>
      <c r="CP435" s="34"/>
      <c r="CQ435" s="34">
        <v>0</v>
      </c>
      <c r="CR435" s="34">
        <v>0</v>
      </c>
      <c r="CS435" s="34">
        <v>0</v>
      </c>
      <c r="CT435" s="34">
        <v>0</v>
      </c>
      <c r="CU435" s="34"/>
      <c r="CV435" s="34">
        <v>5107</v>
      </c>
      <c r="CW435" s="34">
        <v>0</v>
      </c>
      <c r="CX435" s="34">
        <v>-1</v>
      </c>
      <c r="CY435" s="14">
        <v>1</v>
      </c>
      <c r="CZ435" s="34">
        <v>1</v>
      </c>
      <c r="DA435" s="34">
        <v>0</v>
      </c>
      <c r="DB435" s="35"/>
      <c r="DC435" s="34">
        <v>0</v>
      </c>
      <c r="DD435" s="34">
        <v>0</v>
      </c>
      <c r="DE435" s="34">
        <v>0</v>
      </c>
      <c r="DF435" s="34">
        <v>0</v>
      </c>
      <c r="DG435" s="34">
        <v>0</v>
      </c>
      <c r="DH435" s="34"/>
      <c r="DI435" s="34">
        <v>0</v>
      </c>
      <c r="DJ435" s="34">
        <v>0</v>
      </c>
      <c r="DK435" s="34"/>
      <c r="DL435" s="34">
        <v>0</v>
      </c>
      <c r="DM435" s="34">
        <v>0</v>
      </c>
      <c r="DN435" s="34"/>
      <c r="DO435" s="34">
        <v>0</v>
      </c>
      <c r="DP435" s="34">
        <v>0</v>
      </c>
      <c r="DQ435" s="34">
        <v>0</v>
      </c>
      <c r="DR435" s="34">
        <v>0</v>
      </c>
      <c r="DS435" s="34">
        <v>0</v>
      </c>
      <c r="DT435" s="34">
        <v>0</v>
      </c>
      <c r="DU435" s="34"/>
      <c r="DV435" s="34">
        <v>0</v>
      </c>
      <c r="DW435" s="34">
        <v>0</v>
      </c>
      <c r="DX435" s="34">
        <v>0</v>
      </c>
      <c r="DY435" s="34">
        <v>0</v>
      </c>
      <c r="DZ435" s="34">
        <v>0</v>
      </c>
      <c r="EA435" s="34"/>
    </row>
    <row r="436" spans="1:131" s="14" customFormat="1" ht="15" customHeight="1">
      <c r="A436" s="34" t="s">
        <v>142</v>
      </c>
      <c r="B436" s="34" t="s">
        <v>142</v>
      </c>
      <c r="C436" s="34" t="s">
        <v>142</v>
      </c>
      <c r="D436" s="34" t="s">
        <v>142</v>
      </c>
      <c r="E436" s="34">
        <v>60022</v>
      </c>
      <c r="F436" s="34" t="s">
        <v>749</v>
      </c>
      <c r="G436" s="34">
        <v>0</v>
      </c>
      <c r="H436" s="34">
        <v>560022</v>
      </c>
      <c r="I436" s="34" t="s">
        <v>749</v>
      </c>
      <c r="J436" s="34" t="s">
        <v>749</v>
      </c>
      <c r="K436" s="14">
        <v>0</v>
      </c>
      <c r="L436" s="34"/>
      <c r="M436" s="34">
        <v>102</v>
      </c>
      <c r="N436" s="34">
        <v>0</v>
      </c>
      <c r="O436" s="34"/>
      <c r="P436" s="34">
        <v>2</v>
      </c>
      <c r="Q436" s="34">
        <v>655360</v>
      </c>
      <c r="R436" s="34">
        <v>0</v>
      </c>
      <c r="S436" s="34">
        <v>0</v>
      </c>
      <c r="T436" s="34"/>
      <c r="U436" s="34">
        <v>0</v>
      </c>
      <c r="V436" s="34">
        <v>0</v>
      </c>
      <c r="W436" s="34">
        <v>0</v>
      </c>
      <c r="X436" s="34">
        <v>0</v>
      </c>
      <c r="Y436" s="34">
        <v>0</v>
      </c>
      <c r="Z436" s="34">
        <v>0</v>
      </c>
      <c r="AA436" s="34"/>
      <c r="AB436" s="34">
        <v>10008</v>
      </c>
      <c r="AC436" s="34">
        <v>-1</v>
      </c>
      <c r="AD436" s="34">
        <v>-1</v>
      </c>
      <c r="AE436" s="34">
        <v>-1</v>
      </c>
      <c r="AF436" s="34"/>
      <c r="AG436" s="34">
        <v>1</v>
      </c>
      <c r="AH436" s="34">
        <v>0</v>
      </c>
      <c r="AI436" s="34">
        <v>0</v>
      </c>
      <c r="AJ436" s="34">
        <v>0</v>
      </c>
      <c r="AK436" s="34">
        <v>0</v>
      </c>
      <c r="AL436" s="34">
        <v>0</v>
      </c>
      <c r="AM436" s="34">
        <v>0</v>
      </c>
      <c r="AN436" s="34">
        <v>0</v>
      </c>
      <c r="AO436" s="34">
        <v>0</v>
      </c>
      <c r="AP436" s="34">
        <v>0</v>
      </c>
      <c r="AQ436" s="34">
        <v>0</v>
      </c>
      <c r="AR436" s="34">
        <v>0</v>
      </c>
      <c r="AS436" s="34">
        <v>0</v>
      </c>
      <c r="AT436" s="34">
        <v>0</v>
      </c>
      <c r="AU436" s="34">
        <v>0</v>
      </c>
      <c r="AV436" s="34">
        <v>0</v>
      </c>
      <c r="AW436" s="34">
        <v>0</v>
      </c>
      <c r="AX436" s="34">
        <v>0</v>
      </c>
      <c r="AY436" s="34">
        <v>0</v>
      </c>
      <c r="AZ436" s="34"/>
      <c r="BA436" s="34">
        <v>0</v>
      </c>
      <c r="BB436" s="34">
        <v>2000</v>
      </c>
      <c r="BC436" s="34">
        <v>2000</v>
      </c>
      <c r="BD436" s="34">
        <v>900</v>
      </c>
      <c r="BE436" s="34">
        <v>0</v>
      </c>
      <c r="BF436" s="34">
        <v>1</v>
      </c>
      <c r="BG436" s="14">
        <v>1</v>
      </c>
      <c r="BH436" s="14">
        <v>1</v>
      </c>
      <c r="BI436" s="34">
        <v>0</v>
      </c>
      <c r="BJ436" s="34">
        <v>0</v>
      </c>
      <c r="BK436" s="34">
        <v>0</v>
      </c>
      <c r="BL436" s="14">
        <v>126</v>
      </c>
      <c r="BM436" s="14">
        <v>0</v>
      </c>
      <c r="BN436" s="34"/>
      <c r="BO436" s="14">
        <v>16</v>
      </c>
      <c r="BP436" s="14">
        <v>8</v>
      </c>
      <c r="BQ436" s="34">
        <v>0</v>
      </c>
      <c r="BR436" s="34">
        <v>3</v>
      </c>
      <c r="BS436" s="34">
        <v>0</v>
      </c>
      <c r="BT436" s="34">
        <v>55</v>
      </c>
      <c r="BU436" s="34">
        <v>45</v>
      </c>
      <c r="BV436" s="34">
        <v>6</v>
      </c>
      <c r="BW436" s="34">
        <v>0</v>
      </c>
      <c r="BX436" s="34">
        <v>4</v>
      </c>
      <c r="BY436" s="34"/>
      <c r="BZ436" s="34">
        <v>60022</v>
      </c>
      <c r="CA436" s="34">
        <v>0</v>
      </c>
      <c r="CB436" s="34">
        <v>0</v>
      </c>
      <c r="CC436" s="34">
        <v>0</v>
      </c>
      <c r="CD436" s="34">
        <v>0</v>
      </c>
      <c r="CE436" s="34">
        <v>0</v>
      </c>
      <c r="CF436" s="34"/>
      <c r="CG436" s="34">
        <v>1</v>
      </c>
      <c r="CH436" s="34">
        <v>0</v>
      </c>
      <c r="CI436" s="34">
        <v>0</v>
      </c>
      <c r="CJ436" s="34">
        <v>0</v>
      </c>
      <c r="CK436" s="34">
        <v>1</v>
      </c>
      <c r="CL436" s="34">
        <v>1</v>
      </c>
      <c r="CM436" s="34">
        <v>0</v>
      </c>
      <c r="CN436" s="34">
        <v>200</v>
      </c>
      <c r="CO436" s="34">
        <v>500</v>
      </c>
      <c r="CP436" s="34"/>
      <c r="CQ436" s="34">
        <v>0</v>
      </c>
      <c r="CR436" s="34">
        <v>0</v>
      </c>
      <c r="CS436" s="34">
        <v>1200</v>
      </c>
      <c r="CT436" s="34">
        <v>2500</v>
      </c>
      <c r="CU436" s="34"/>
      <c r="CV436" s="34">
        <v>5108</v>
      </c>
      <c r="CW436" s="34">
        <v>0</v>
      </c>
      <c r="CX436" s="34">
        <v>-1</v>
      </c>
      <c r="CY436" s="14">
        <v>1</v>
      </c>
      <c r="CZ436" s="34">
        <v>1</v>
      </c>
      <c r="DA436" s="34">
        <v>0</v>
      </c>
      <c r="DB436" s="35"/>
      <c r="DC436" s="34">
        <v>0</v>
      </c>
      <c r="DD436" s="34">
        <v>0</v>
      </c>
      <c r="DE436" s="34">
        <v>0</v>
      </c>
      <c r="DF436" s="34">
        <v>0</v>
      </c>
      <c r="DG436" s="34">
        <v>0</v>
      </c>
      <c r="DH436" s="34"/>
      <c r="DI436" s="34">
        <v>0</v>
      </c>
      <c r="DJ436" s="34">
        <v>0</v>
      </c>
      <c r="DK436" s="34"/>
      <c r="DL436" s="34">
        <v>0</v>
      </c>
      <c r="DM436" s="34">
        <v>0</v>
      </c>
      <c r="DN436" s="34"/>
      <c r="DO436" s="34">
        <v>0</v>
      </c>
      <c r="DP436" s="34">
        <v>0</v>
      </c>
      <c r="DQ436" s="34">
        <v>0</v>
      </c>
      <c r="DR436" s="34">
        <v>0</v>
      </c>
      <c r="DS436" s="34">
        <v>0</v>
      </c>
      <c r="DT436" s="34">
        <v>0</v>
      </c>
      <c r="DU436" s="34"/>
      <c r="DV436" s="34">
        <v>0</v>
      </c>
      <c r="DW436" s="34">
        <v>0</v>
      </c>
      <c r="DX436" s="34">
        <v>0</v>
      </c>
      <c r="DY436" s="34">
        <v>0</v>
      </c>
      <c r="DZ436" s="34">
        <v>0</v>
      </c>
      <c r="EA436" s="34"/>
    </row>
    <row r="437" spans="1:131" s="14" customFormat="1">
      <c r="A437" s="34" t="s">
        <v>142</v>
      </c>
      <c r="B437" s="34" t="s">
        <v>142</v>
      </c>
      <c r="C437" s="34" t="s">
        <v>142</v>
      </c>
      <c r="D437" s="34" t="s">
        <v>142</v>
      </c>
      <c r="E437" s="34">
        <v>60023</v>
      </c>
      <c r="F437" s="34" t="s">
        <v>750</v>
      </c>
      <c r="G437" s="34">
        <v>0</v>
      </c>
      <c r="H437" s="34">
        <v>560023</v>
      </c>
      <c r="I437" s="34" t="s">
        <v>750</v>
      </c>
      <c r="J437" s="34" t="s">
        <v>750</v>
      </c>
      <c r="K437" s="14">
        <v>0</v>
      </c>
      <c r="L437" s="34"/>
      <c r="M437" s="34">
        <v>102</v>
      </c>
      <c r="N437" s="34">
        <v>0</v>
      </c>
      <c r="O437" s="34"/>
      <c r="P437" s="34">
        <v>2</v>
      </c>
      <c r="Q437" s="34">
        <v>655360</v>
      </c>
      <c r="R437" s="34">
        <v>0</v>
      </c>
      <c r="S437" s="34">
        <v>0</v>
      </c>
      <c r="T437" s="34"/>
      <c r="U437" s="34">
        <v>0</v>
      </c>
      <c r="V437" s="34">
        <v>0</v>
      </c>
      <c r="W437" s="34">
        <v>0</v>
      </c>
      <c r="X437" s="34">
        <v>0</v>
      </c>
      <c r="Y437" s="34">
        <v>0</v>
      </c>
      <c r="Z437" s="34">
        <v>0</v>
      </c>
      <c r="AA437" s="34"/>
      <c r="AB437" s="34">
        <v>10008</v>
      </c>
      <c r="AC437" s="34">
        <v>-1</v>
      </c>
      <c r="AD437" s="34">
        <v>-1</v>
      </c>
      <c r="AE437" s="34">
        <v>-1</v>
      </c>
      <c r="AF437" s="34"/>
      <c r="AG437" s="34">
        <v>1</v>
      </c>
      <c r="AH437" s="34">
        <v>0</v>
      </c>
      <c r="AI437" s="34">
        <v>0</v>
      </c>
      <c r="AJ437" s="34">
        <v>0</v>
      </c>
      <c r="AK437" s="34">
        <v>0</v>
      </c>
      <c r="AL437" s="34">
        <v>0</v>
      </c>
      <c r="AM437" s="34">
        <v>0</v>
      </c>
      <c r="AN437" s="34">
        <v>0</v>
      </c>
      <c r="AO437" s="34">
        <v>0</v>
      </c>
      <c r="AP437" s="34">
        <v>0</v>
      </c>
      <c r="AQ437" s="34">
        <v>0</v>
      </c>
      <c r="AR437" s="34">
        <v>0</v>
      </c>
      <c r="AS437" s="34">
        <v>0</v>
      </c>
      <c r="AT437" s="34">
        <v>0</v>
      </c>
      <c r="AU437" s="34">
        <v>0</v>
      </c>
      <c r="AV437" s="34">
        <v>0</v>
      </c>
      <c r="AW437" s="34">
        <v>0</v>
      </c>
      <c r="AX437" s="34">
        <v>0</v>
      </c>
      <c r="AY437" s="34">
        <v>0</v>
      </c>
      <c r="AZ437" s="34"/>
      <c r="BA437" s="34">
        <v>0</v>
      </c>
      <c r="BB437" s="34">
        <v>2000</v>
      </c>
      <c r="BC437" s="34">
        <v>2000</v>
      </c>
      <c r="BD437" s="34">
        <v>900</v>
      </c>
      <c r="BE437" s="34">
        <v>0</v>
      </c>
      <c r="BF437" s="34">
        <v>1</v>
      </c>
      <c r="BG437" s="14">
        <v>1</v>
      </c>
      <c r="BH437" s="14">
        <v>1</v>
      </c>
      <c r="BI437" s="34">
        <v>0</v>
      </c>
      <c r="BJ437" s="34">
        <v>0</v>
      </c>
      <c r="BK437" s="34">
        <v>0</v>
      </c>
      <c r="BL437" s="14">
        <v>126</v>
      </c>
      <c r="BM437" s="14">
        <v>0</v>
      </c>
      <c r="BN437" s="34"/>
      <c r="BO437" s="14">
        <v>16</v>
      </c>
      <c r="BP437" s="14">
        <v>8</v>
      </c>
      <c r="BQ437" s="34">
        <v>0</v>
      </c>
      <c r="BR437" s="34">
        <v>3</v>
      </c>
      <c r="BS437" s="34">
        <v>0</v>
      </c>
      <c r="BT437" s="34">
        <v>55</v>
      </c>
      <c r="BU437" s="34">
        <v>45</v>
      </c>
      <c r="BV437" s="34">
        <v>6</v>
      </c>
      <c r="BW437" s="34">
        <v>0</v>
      </c>
      <c r="BX437" s="34">
        <v>4</v>
      </c>
      <c r="BY437" s="34"/>
      <c r="BZ437" s="34">
        <v>60023</v>
      </c>
      <c r="CA437" s="34">
        <v>0</v>
      </c>
      <c r="CB437" s="34">
        <v>0</v>
      </c>
      <c r="CC437" s="34">
        <v>0</v>
      </c>
      <c r="CD437" s="34">
        <v>0</v>
      </c>
      <c r="CE437" s="34">
        <v>0</v>
      </c>
      <c r="CF437" s="34"/>
      <c r="CG437" s="34">
        <v>1</v>
      </c>
      <c r="CH437" s="34">
        <v>0</v>
      </c>
      <c r="CI437" s="34">
        <v>0</v>
      </c>
      <c r="CJ437" s="34">
        <v>0</v>
      </c>
      <c r="CK437" s="34">
        <v>1</v>
      </c>
      <c r="CL437" s="34">
        <v>1</v>
      </c>
      <c r="CM437" s="34">
        <v>0</v>
      </c>
      <c r="CN437" s="34">
        <v>200</v>
      </c>
      <c r="CO437" s="34">
        <v>500</v>
      </c>
      <c r="CP437" s="34"/>
      <c r="CQ437" s="34">
        <v>0</v>
      </c>
      <c r="CR437" s="34">
        <v>0</v>
      </c>
      <c r="CS437" s="34">
        <v>1200</v>
      </c>
      <c r="CT437" s="34">
        <v>2500</v>
      </c>
      <c r="CU437" s="34"/>
      <c r="CV437" s="34">
        <v>5109</v>
      </c>
      <c r="CW437" s="34">
        <v>0</v>
      </c>
      <c r="CX437" s="34">
        <v>-1</v>
      </c>
      <c r="CY437" s="14">
        <v>1</v>
      </c>
      <c r="CZ437" s="34">
        <v>1</v>
      </c>
      <c r="DA437" s="34">
        <v>0</v>
      </c>
      <c r="DB437" s="35"/>
      <c r="DC437" s="34">
        <v>0</v>
      </c>
      <c r="DD437" s="34">
        <v>0</v>
      </c>
      <c r="DE437" s="34">
        <v>0</v>
      </c>
      <c r="DF437" s="34">
        <v>0</v>
      </c>
      <c r="DG437" s="34">
        <v>0</v>
      </c>
      <c r="DH437" s="34"/>
      <c r="DI437" s="34">
        <v>0</v>
      </c>
      <c r="DJ437" s="34">
        <v>0</v>
      </c>
      <c r="DK437" s="34"/>
      <c r="DL437" s="34">
        <v>0</v>
      </c>
      <c r="DM437" s="34">
        <v>0</v>
      </c>
      <c r="DN437" s="34"/>
      <c r="DO437" s="34">
        <v>0</v>
      </c>
      <c r="DP437" s="34">
        <v>0</v>
      </c>
      <c r="DQ437" s="34">
        <v>0</v>
      </c>
      <c r="DR437" s="34">
        <v>0</v>
      </c>
      <c r="DS437" s="34">
        <v>0</v>
      </c>
      <c r="DT437" s="34">
        <v>0</v>
      </c>
      <c r="DU437" s="34"/>
      <c r="DV437" s="34">
        <v>0</v>
      </c>
      <c r="DW437" s="34">
        <v>0</v>
      </c>
      <c r="DX437" s="34">
        <v>0</v>
      </c>
      <c r="DY437" s="34">
        <v>0</v>
      </c>
      <c r="DZ437" s="34">
        <v>0</v>
      </c>
      <c r="EA437" s="34"/>
    </row>
    <row r="438" spans="1:131" s="14" customFormat="1">
      <c r="A438" s="34" t="s">
        <v>142</v>
      </c>
      <c r="B438" s="34" t="s">
        <v>142</v>
      </c>
      <c r="C438" s="34" t="s">
        <v>142</v>
      </c>
      <c r="D438" s="34" t="s">
        <v>142</v>
      </c>
      <c r="E438" s="34">
        <v>60024</v>
      </c>
      <c r="F438" s="34" t="s">
        <v>751</v>
      </c>
      <c r="G438" s="34">
        <v>0</v>
      </c>
      <c r="H438" s="34">
        <v>560024</v>
      </c>
      <c r="I438" s="34" t="s">
        <v>751</v>
      </c>
      <c r="J438" s="34" t="s">
        <v>751</v>
      </c>
      <c r="K438" s="14">
        <v>0</v>
      </c>
      <c r="L438" s="34"/>
      <c r="M438" s="34">
        <v>102</v>
      </c>
      <c r="N438" s="34">
        <v>0</v>
      </c>
      <c r="O438" s="34"/>
      <c r="P438" s="34">
        <v>2</v>
      </c>
      <c r="Q438" s="34">
        <v>655360</v>
      </c>
      <c r="R438" s="34">
        <v>0</v>
      </c>
      <c r="S438" s="34">
        <v>0</v>
      </c>
      <c r="T438" s="34"/>
      <c r="U438" s="34">
        <v>0</v>
      </c>
      <c r="V438" s="34">
        <v>0</v>
      </c>
      <c r="W438" s="34">
        <v>0</v>
      </c>
      <c r="X438" s="34">
        <v>0</v>
      </c>
      <c r="Y438" s="34">
        <v>0</v>
      </c>
      <c r="Z438" s="34">
        <v>0</v>
      </c>
      <c r="AA438" s="34"/>
      <c r="AB438" s="34">
        <v>10001</v>
      </c>
      <c r="AC438" s="34">
        <v>-1</v>
      </c>
      <c r="AD438" s="34">
        <v>-1</v>
      </c>
      <c r="AE438" s="34">
        <v>-1</v>
      </c>
      <c r="AF438" s="34"/>
      <c r="AG438" s="34">
        <v>1</v>
      </c>
      <c r="AH438" s="34">
        <v>0</v>
      </c>
      <c r="AI438" s="34">
        <v>0</v>
      </c>
      <c r="AJ438" s="34">
        <v>0</v>
      </c>
      <c r="AK438" s="34">
        <v>0</v>
      </c>
      <c r="AL438" s="34">
        <v>0</v>
      </c>
      <c r="AM438" s="34">
        <v>0</v>
      </c>
      <c r="AN438" s="34">
        <v>0</v>
      </c>
      <c r="AO438" s="34">
        <v>0</v>
      </c>
      <c r="AP438" s="34">
        <v>0</v>
      </c>
      <c r="AQ438" s="34">
        <v>0</v>
      </c>
      <c r="AR438" s="34">
        <v>0</v>
      </c>
      <c r="AS438" s="34">
        <v>0</v>
      </c>
      <c r="AT438" s="34">
        <v>0</v>
      </c>
      <c r="AU438" s="34">
        <v>0</v>
      </c>
      <c r="AV438" s="34">
        <v>0</v>
      </c>
      <c r="AW438" s="34">
        <v>0</v>
      </c>
      <c r="AX438" s="34">
        <v>0</v>
      </c>
      <c r="AY438" s="34">
        <v>0</v>
      </c>
      <c r="AZ438" s="34"/>
      <c r="BA438" s="34">
        <v>0</v>
      </c>
      <c r="BB438" s="34">
        <v>2000</v>
      </c>
      <c r="BC438" s="34">
        <v>2000</v>
      </c>
      <c r="BD438" s="34">
        <v>0</v>
      </c>
      <c r="BE438" s="34">
        <v>0</v>
      </c>
      <c r="BF438" s="34">
        <v>0</v>
      </c>
      <c r="BG438" s="34">
        <v>1</v>
      </c>
      <c r="BH438" s="14">
        <v>1</v>
      </c>
      <c r="BI438" s="34">
        <v>0</v>
      </c>
      <c r="BJ438" s="14">
        <v>0</v>
      </c>
      <c r="BK438" s="14">
        <v>0</v>
      </c>
      <c r="BL438" s="14">
        <v>126</v>
      </c>
      <c r="BM438" s="14">
        <v>0</v>
      </c>
      <c r="BN438" s="34"/>
      <c r="BO438" s="14">
        <v>16</v>
      </c>
      <c r="BP438" s="14">
        <v>4</v>
      </c>
      <c r="BQ438" s="34">
        <v>0</v>
      </c>
      <c r="BR438" s="34">
        <v>1</v>
      </c>
      <c r="BS438" s="34">
        <v>0</v>
      </c>
      <c r="BT438" s="34">
        <v>0</v>
      </c>
      <c r="BU438" s="34">
        <v>0</v>
      </c>
      <c r="BV438" s="34">
        <v>6</v>
      </c>
      <c r="BW438" s="34">
        <v>0</v>
      </c>
      <c r="BX438" s="34">
        <v>1</v>
      </c>
      <c r="BY438" s="34"/>
      <c r="BZ438" s="34">
        <v>-1</v>
      </c>
      <c r="CA438" s="34">
        <v>0</v>
      </c>
      <c r="CB438" s="34">
        <v>0</v>
      </c>
      <c r="CC438" s="34">
        <v>0</v>
      </c>
      <c r="CD438" s="34">
        <v>0</v>
      </c>
      <c r="CE438" s="34">
        <v>0</v>
      </c>
      <c r="CF438" s="34"/>
      <c r="CG438" s="34">
        <v>-1</v>
      </c>
      <c r="CH438" s="34">
        <v>0</v>
      </c>
      <c r="CI438" s="34">
        <v>0</v>
      </c>
      <c r="CJ438" s="34">
        <v>0</v>
      </c>
      <c r="CK438" s="34">
        <v>0</v>
      </c>
      <c r="CL438" s="34">
        <v>0</v>
      </c>
      <c r="CM438" s="34">
        <v>0</v>
      </c>
      <c r="CN438" s="34">
        <v>0</v>
      </c>
      <c r="CO438" s="34">
        <v>0</v>
      </c>
      <c r="CP438" s="34"/>
      <c r="CQ438" s="34">
        <v>0</v>
      </c>
      <c r="CR438" s="34">
        <v>0</v>
      </c>
      <c r="CS438" s="34">
        <v>0</v>
      </c>
      <c r="CT438" s="34">
        <v>0</v>
      </c>
      <c r="CU438" s="34"/>
      <c r="CV438" s="34">
        <v>5124</v>
      </c>
      <c r="CW438" s="34">
        <v>0</v>
      </c>
      <c r="CX438" s="34">
        <v>-1</v>
      </c>
      <c r="CY438" s="14">
        <v>1</v>
      </c>
      <c r="CZ438" s="34">
        <v>1</v>
      </c>
      <c r="DA438" s="34">
        <v>23</v>
      </c>
      <c r="DB438" s="35"/>
      <c r="DC438" s="34">
        <v>0</v>
      </c>
      <c r="DD438" s="34">
        <v>0</v>
      </c>
      <c r="DE438" s="34">
        <v>0</v>
      </c>
      <c r="DF438" s="34">
        <v>0</v>
      </c>
      <c r="DG438" s="34">
        <v>0</v>
      </c>
      <c r="DH438" s="34"/>
      <c r="DI438" s="34">
        <v>0</v>
      </c>
      <c r="DJ438" s="34">
        <v>0</v>
      </c>
      <c r="DK438" s="34"/>
      <c r="DL438" s="34">
        <v>0</v>
      </c>
      <c r="DM438" s="34">
        <v>0</v>
      </c>
      <c r="DN438" s="34"/>
      <c r="DO438" s="34">
        <v>0</v>
      </c>
      <c r="DP438" s="34">
        <v>0</v>
      </c>
      <c r="DQ438" s="34">
        <v>0</v>
      </c>
      <c r="DR438" s="34">
        <v>0</v>
      </c>
      <c r="DS438" s="34">
        <v>0</v>
      </c>
      <c r="DT438" s="34">
        <v>0</v>
      </c>
      <c r="DU438" s="34"/>
      <c r="DV438" s="34">
        <v>0</v>
      </c>
      <c r="DW438" s="34">
        <v>0</v>
      </c>
      <c r="DX438" s="34">
        <v>0</v>
      </c>
      <c r="DY438" s="34">
        <v>0</v>
      </c>
      <c r="DZ438" s="34">
        <v>0</v>
      </c>
      <c r="EA438" s="34"/>
    </row>
    <row r="439" spans="1:131">
      <c r="A439" s="24" t="s">
        <v>142</v>
      </c>
      <c r="B439" s="24" t="s">
        <v>142</v>
      </c>
      <c r="C439" s="24" t="s">
        <v>142</v>
      </c>
      <c r="D439" s="24" t="s">
        <v>142</v>
      </c>
      <c r="E439" s="24">
        <v>60025</v>
      </c>
      <c r="F439" s="24" t="s">
        <v>753</v>
      </c>
      <c r="G439" s="24">
        <v>0</v>
      </c>
      <c r="H439" s="24">
        <v>560015</v>
      </c>
      <c r="I439" s="24" t="s">
        <v>707</v>
      </c>
      <c r="J439" s="24" t="s">
        <v>707</v>
      </c>
      <c r="K439" s="24">
        <v>0</v>
      </c>
      <c r="M439" s="24">
        <v>102</v>
      </c>
      <c r="N439" s="24">
        <v>0</v>
      </c>
      <c r="P439" s="25">
        <v>2</v>
      </c>
      <c r="Q439" s="25">
        <v>655360</v>
      </c>
      <c r="R439" s="24">
        <v>0</v>
      </c>
      <c r="S439" s="25">
        <v>0</v>
      </c>
      <c r="T439" s="24"/>
      <c r="U439" s="24">
        <v>0</v>
      </c>
      <c r="V439" s="25">
        <v>0</v>
      </c>
      <c r="W439" s="24">
        <v>0</v>
      </c>
      <c r="X439" s="24">
        <v>0</v>
      </c>
      <c r="Y439" s="24">
        <v>0</v>
      </c>
      <c r="Z439" s="24">
        <v>0</v>
      </c>
      <c r="AB439" s="24">
        <v>10008</v>
      </c>
      <c r="AC439" s="24">
        <v>-1</v>
      </c>
      <c r="AD439" s="24">
        <v>-1</v>
      </c>
      <c r="AE439" s="24">
        <v>-1</v>
      </c>
      <c r="AG439" s="24">
        <v>1</v>
      </c>
      <c r="AH439" s="24">
        <v>0</v>
      </c>
      <c r="AI439" s="24">
        <v>0</v>
      </c>
      <c r="AJ439" s="24">
        <v>0</v>
      </c>
      <c r="AK439" s="24">
        <v>0</v>
      </c>
      <c r="AL439" s="24">
        <v>0</v>
      </c>
      <c r="AM439" s="24">
        <v>0</v>
      </c>
      <c r="AN439" s="24">
        <v>0</v>
      </c>
      <c r="AO439" s="24">
        <v>0</v>
      </c>
      <c r="AP439" s="24">
        <v>0</v>
      </c>
      <c r="AQ439" s="24">
        <v>0</v>
      </c>
      <c r="AR439" s="24">
        <v>0</v>
      </c>
      <c r="AS439" s="24">
        <v>0</v>
      </c>
      <c r="AT439" s="24">
        <v>0</v>
      </c>
      <c r="AU439" s="24">
        <v>0</v>
      </c>
      <c r="AV439" s="24">
        <v>0</v>
      </c>
      <c r="AW439" s="24">
        <v>0</v>
      </c>
      <c r="AX439" s="24">
        <v>0</v>
      </c>
      <c r="AY439" s="24">
        <v>0</v>
      </c>
      <c r="BA439" s="24">
        <v>0</v>
      </c>
      <c r="BB439" s="24">
        <v>1667</v>
      </c>
      <c r="BC439" s="24">
        <v>1667</v>
      </c>
      <c r="BD439" s="24">
        <v>715</v>
      </c>
      <c r="BE439" s="24">
        <v>0</v>
      </c>
      <c r="BF439" s="24">
        <v>1</v>
      </c>
      <c r="BG439" s="25">
        <v>1</v>
      </c>
      <c r="BH439" s="24">
        <v>1</v>
      </c>
      <c r="BI439" s="24">
        <v>0</v>
      </c>
      <c r="BJ439" s="24">
        <v>0</v>
      </c>
      <c r="BK439" s="24">
        <v>0</v>
      </c>
      <c r="BL439" s="25">
        <v>126</v>
      </c>
      <c r="BM439" s="24">
        <v>0</v>
      </c>
      <c r="BO439" s="25">
        <v>16</v>
      </c>
      <c r="BP439" s="24">
        <v>6</v>
      </c>
      <c r="BQ439" s="24">
        <v>0</v>
      </c>
      <c r="BR439" s="24">
        <v>3</v>
      </c>
      <c r="BS439" s="24">
        <v>0</v>
      </c>
      <c r="BT439" s="24">
        <v>70</v>
      </c>
      <c r="BU439" s="24">
        <v>30</v>
      </c>
      <c r="BV439" s="24">
        <v>6</v>
      </c>
      <c r="BW439" s="24">
        <v>0</v>
      </c>
      <c r="BX439" s="24">
        <v>4</v>
      </c>
      <c r="BZ439" s="24">
        <v>60025</v>
      </c>
      <c r="CA439" s="24">
        <v>0</v>
      </c>
      <c r="CB439" s="24">
        <v>0</v>
      </c>
      <c r="CC439" s="24">
        <v>0</v>
      </c>
      <c r="CD439" s="24">
        <v>0</v>
      </c>
      <c r="CE439" s="24">
        <v>0</v>
      </c>
      <c r="CG439" s="24">
        <v>-1</v>
      </c>
      <c r="CH439" s="24">
        <v>0</v>
      </c>
      <c r="CI439" s="24">
        <v>0</v>
      </c>
      <c r="CJ439" s="24">
        <v>0</v>
      </c>
      <c r="CK439" s="24">
        <v>0</v>
      </c>
      <c r="CL439" s="24">
        <v>0</v>
      </c>
      <c r="CM439" s="24">
        <v>0</v>
      </c>
      <c r="CN439" s="24">
        <v>0</v>
      </c>
      <c r="CO439" s="24">
        <v>0</v>
      </c>
      <c r="CQ439" s="24">
        <v>0</v>
      </c>
      <c r="CR439" s="24">
        <v>0</v>
      </c>
      <c r="CS439" s="24">
        <v>0</v>
      </c>
      <c r="CT439" s="24">
        <v>500</v>
      </c>
      <c r="CV439" s="34">
        <v>5110</v>
      </c>
      <c r="CW439" s="34">
        <v>0</v>
      </c>
      <c r="CX439" s="24">
        <v>-1</v>
      </c>
      <c r="CY439" s="24">
        <v>1</v>
      </c>
      <c r="CZ439" s="26">
        <v>1</v>
      </c>
      <c r="DA439" s="24">
        <v>0</v>
      </c>
      <c r="DC439" s="24">
        <v>0</v>
      </c>
      <c r="DD439" s="24">
        <v>0</v>
      </c>
      <c r="DE439" s="24">
        <v>0</v>
      </c>
      <c r="DF439" s="24">
        <v>0</v>
      </c>
      <c r="DG439" s="24">
        <v>0</v>
      </c>
      <c r="DI439" s="24">
        <v>0</v>
      </c>
      <c r="DJ439" s="24">
        <v>0</v>
      </c>
      <c r="DL439" s="24">
        <v>0</v>
      </c>
      <c r="DM439" s="24">
        <v>0</v>
      </c>
      <c r="DO439" s="24">
        <v>0</v>
      </c>
      <c r="DP439" s="24">
        <v>0</v>
      </c>
      <c r="DQ439" s="24">
        <v>0</v>
      </c>
      <c r="DR439" s="24">
        <v>0</v>
      </c>
      <c r="DS439" s="24">
        <v>0</v>
      </c>
      <c r="DT439" s="24">
        <v>0</v>
      </c>
      <c r="DV439" s="24">
        <v>0</v>
      </c>
      <c r="DW439" s="24">
        <v>0</v>
      </c>
      <c r="DX439" s="24">
        <v>0</v>
      </c>
      <c r="DY439" s="24">
        <v>0</v>
      </c>
      <c r="DZ439" s="24">
        <v>0</v>
      </c>
    </row>
    <row r="440" spans="1:131">
      <c r="A440" s="24" t="s">
        <v>142</v>
      </c>
      <c r="B440" s="24" t="s">
        <v>142</v>
      </c>
      <c r="C440" s="24" t="s">
        <v>142</v>
      </c>
      <c r="D440" s="24" t="s">
        <v>142</v>
      </c>
      <c r="E440" s="24">
        <v>60026</v>
      </c>
      <c r="F440" s="24" t="s">
        <v>754</v>
      </c>
      <c r="G440" s="24">
        <v>0</v>
      </c>
      <c r="H440" s="24">
        <v>560016</v>
      </c>
      <c r="I440" s="24" t="s">
        <v>743</v>
      </c>
      <c r="J440" s="24" t="s">
        <v>743</v>
      </c>
      <c r="K440" s="24">
        <v>0</v>
      </c>
      <c r="M440" s="24">
        <v>102</v>
      </c>
      <c r="N440" s="24">
        <v>0</v>
      </c>
      <c r="P440" s="25">
        <v>2</v>
      </c>
      <c r="Q440" s="25">
        <v>655360</v>
      </c>
      <c r="R440" s="24">
        <v>0</v>
      </c>
      <c r="S440" s="25">
        <v>0</v>
      </c>
      <c r="T440" s="24"/>
      <c r="U440" s="24">
        <v>0</v>
      </c>
      <c r="V440" s="25">
        <v>0</v>
      </c>
      <c r="W440" s="24">
        <v>0</v>
      </c>
      <c r="X440" s="24">
        <v>0</v>
      </c>
      <c r="Y440" s="24">
        <v>0</v>
      </c>
      <c r="Z440" s="24">
        <v>0</v>
      </c>
      <c r="AB440" s="24">
        <v>10004</v>
      </c>
      <c r="AC440" s="24">
        <v>8</v>
      </c>
      <c r="AD440" s="24">
        <v>5</v>
      </c>
      <c r="AE440" s="24">
        <v>0</v>
      </c>
      <c r="AG440" s="24">
        <v>2</v>
      </c>
      <c r="AH440" s="24">
        <v>0</v>
      </c>
      <c r="AI440" s="24">
        <v>0</v>
      </c>
      <c r="AJ440" s="24">
        <v>0</v>
      </c>
      <c r="AK440" s="24">
        <v>0</v>
      </c>
      <c r="AL440" s="24">
        <v>1</v>
      </c>
      <c r="AM440" s="24">
        <v>4</v>
      </c>
      <c r="AN440" s="24">
        <v>0</v>
      </c>
      <c r="AO440" s="24">
        <v>0</v>
      </c>
      <c r="AP440" s="24">
        <v>1334</v>
      </c>
      <c r="AQ440" s="24">
        <v>80</v>
      </c>
      <c r="AR440" s="24">
        <v>400</v>
      </c>
      <c r="AS440" s="24">
        <v>400</v>
      </c>
      <c r="AT440" s="24">
        <v>4</v>
      </c>
      <c r="AU440" s="24">
        <v>0</v>
      </c>
      <c r="AV440" s="24">
        <v>0</v>
      </c>
      <c r="AW440" s="24">
        <v>0</v>
      </c>
      <c r="AX440" s="24">
        <v>0</v>
      </c>
      <c r="AY440" s="24">
        <v>0</v>
      </c>
      <c r="BA440" s="24">
        <v>0</v>
      </c>
      <c r="BB440" s="24">
        <v>1334</v>
      </c>
      <c r="BC440" s="24">
        <v>1334</v>
      </c>
      <c r="BD440" s="24">
        <v>500</v>
      </c>
      <c r="BE440" s="24">
        <v>500</v>
      </c>
      <c r="BF440" s="24">
        <v>3</v>
      </c>
      <c r="BG440" s="25">
        <v>1</v>
      </c>
      <c r="BH440" s="24">
        <v>1</v>
      </c>
      <c r="BI440" s="24">
        <v>0</v>
      </c>
      <c r="BJ440" s="24">
        <v>0</v>
      </c>
      <c r="BK440" s="24">
        <v>0</v>
      </c>
      <c r="BL440" s="25">
        <v>126</v>
      </c>
      <c r="BM440" s="24">
        <v>0</v>
      </c>
      <c r="BO440" s="25">
        <v>16</v>
      </c>
      <c r="BP440" s="24">
        <v>15</v>
      </c>
      <c r="BQ440" s="24">
        <v>0</v>
      </c>
      <c r="BR440" s="24">
        <v>1</v>
      </c>
      <c r="BS440" s="24">
        <v>0</v>
      </c>
      <c r="BT440" s="24">
        <v>0</v>
      </c>
      <c r="BU440" s="24">
        <v>0</v>
      </c>
      <c r="BV440" s="24">
        <v>6</v>
      </c>
      <c r="BW440" s="24">
        <v>0</v>
      </c>
      <c r="BX440" s="24">
        <v>1</v>
      </c>
      <c r="BZ440" s="24">
        <v>60026</v>
      </c>
      <c r="CA440" s="24">
        <v>0</v>
      </c>
      <c r="CB440" s="24">
        <v>0</v>
      </c>
      <c r="CC440" s="24">
        <v>0</v>
      </c>
      <c r="CD440" s="24">
        <v>0</v>
      </c>
      <c r="CE440" s="24">
        <v>0</v>
      </c>
      <c r="CG440" s="24">
        <v>1</v>
      </c>
      <c r="CH440" s="24">
        <v>0</v>
      </c>
      <c r="CI440" s="24">
        <v>0</v>
      </c>
      <c r="CJ440" s="24">
        <v>1</v>
      </c>
      <c r="CK440" s="24">
        <v>1</v>
      </c>
      <c r="CL440" s="24">
        <v>2</v>
      </c>
      <c r="CM440" s="24">
        <v>0</v>
      </c>
      <c r="CN440" s="24">
        <v>500</v>
      </c>
      <c r="CO440" s="24">
        <v>1100</v>
      </c>
      <c r="CQ440" s="24">
        <v>0</v>
      </c>
      <c r="CR440" s="24">
        <v>0</v>
      </c>
      <c r="CS440" s="24">
        <v>0</v>
      </c>
      <c r="CT440" s="24">
        <v>0</v>
      </c>
      <c r="CV440" s="34">
        <v>5111</v>
      </c>
      <c r="CW440" s="34">
        <v>0</v>
      </c>
      <c r="CX440" s="24">
        <v>-1</v>
      </c>
      <c r="CY440" s="24">
        <v>1</v>
      </c>
      <c r="CZ440" s="26">
        <v>1</v>
      </c>
      <c r="DA440" s="24">
        <v>0</v>
      </c>
      <c r="DC440" s="24">
        <v>0</v>
      </c>
      <c r="DD440" s="24">
        <v>0</v>
      </c>
      <c r="DE440" s="24">
        <v>0</v>
      </c>
      <c r="DF440" s="24">
        <v>0</v>
      </c>
      <c r="DG440" s="24">
        <v>0</v>
      </c>
      <c r="DI440" s="24">
        <v>0</v>
      </c>
      <c r="DJ440" s="24">
        <v>0</v>
      </c>
      <c r="DL440" s="24">
        <v>0</v>
      </c>
      <c r="DM440" s="24">
        <v>0</v>
      </c>
      <c r="DO440" s="24">
        <v>0</v>
      </c>
      <c r="DP440" s="24">
        <v>0</v>
      </c>
      <c r="DQ440" s="24">
        <v>0</v>
      </c>
      <c r="DR440" s="24">
        <v>0</v>
      </c>
      <c r="DS440" s="24">
        <v>0</v>
      </c>
      <c r="DT440" s="24">
        <v>0</v>
      </c>
      <c r="DV440" s="24">
        <v>0</v>
      </c>
      <c r="DW440" s="24">
        <v>0</v>
      </c>
      <c r="DX440" s="24">
        <v>0</v>
      </c>
      <c r="DY440" s="24">
        <v>0</v>
      </c>
      <c r="DZ440" s="24">
        <v>0</v>
      </c>
    </row>
    <row r="441" spans="1:131">
      <c r="A441" s="24" t="s">
        <v>142</v>
      </c>
      <c r="B441" s="24" t="s">
        <v>142</v>
      </c>
      <c r="C441" s="24" t="s">
        <v>142</v>
      </c>
      <c r="D441" s="24" t="s">
        <v>142</v>
      </c>
      <c r="E441" s="24">
        <v>60027</v>
      </c>
      <c r="F441" s="24" t="s">
        <v>852</v>
      </c>
      <c r="G441" s="24">
        <v>0</v>
      </c>
      <c r="H441" s="24">
        <v>560027</v>
      </c>
      <c r="I441" s="24" t="s">
        <v>852</v>
      </c>
      <c r="J441" s="24" t="s">
        <v>852</v>
      </c>
      <c r="K441" s="24">
        <v>0</v>
      </c>
      <c r="M441" s="24">
        <v>102</v>
      </c>
      <c r="N441" s="24">
        <v>0</v>
      </c>
      <c r="P441" s="25">
        <v>2</v>
      </c>
      <c r="Q441" s="25">
        <v>4849666</v>
      </c>
      <c r="R441" s="24">
        <v>0</v>
      </c>
      <c r="S441" s="25">
        <v>0</v>
      </c>
      <c r="T441" s="24"/>
      <c r="U441" s="24">
        <v>0</v>
      </c>
      <c r="V441" s="25">
        <v>0</v>
      </c>
      <c r="W441" s="24">
        <v>0</v>
      </c>
      <c r="X441" s="24">
        <v>0</v>
      </c>
      <c r="Y441" s="24">
        <v>0</v>
      </c>
      <c r="Z441" s="24">
        <v>0</v>
      </c>
      <c r="AB441" s="24">
        <v>10001</v>
      </c>
      <c r="AC441" s="24">
        <v>-1</v>
      </c>
      <c r="AD441" s="24">
        <v>-1</v>
      </c>
      <c r="AE441" s="24">
        <v>-1</v>
      </c>
      <c r="AG441" s="24">
        <v>1</v>
      </c>
      <c r="AH441" s="24">
        <v>0</v>
      </c>
      <c r="AI441" s="24">
        <v>0</v>
      </c>
      <c r="AJ441" s="24">
        <v>0</v>
      </c>
      <c r="AK441" s="24">
        <v>0</v>
      </c>
      <c r="AL441" s="24">
        <v>0</v>
      </c>
      <c r="AM441" s="24">
        <v>0</v>
      </c>
      <c r="AN441" s="24">
        <v>0</v>
      </c>
      <c r="AO441" s="24">
        <v>0</v>
      </c>
      <c r="AP441" s="24">
        <v>0</v>
      </c>
      <c r="AQ441" s="24">
        <v>0</v>
      </c>
      <c r="AR441" s="24">
        <v>0</v>
      </c>
      <c r="AS441" s="24">
        <v>0</v>
      </c>
      <c r="AT441" s="24">
        <v>0</v>
      </c>
      <c r="AU441" s="24">
        <v>0</v>
      </c>
      <c r="AV441" s="24">
        <v>0</v>
      </c>
      <c r="AW441" s="24">
        <v>0</v>
      </c>
      <c r="AX441" s="24">
        <v>0</v>
      </c>
      <c r="AY441" s="24">
        <v>0</v>
      </c>
      <c r="BA441" s="24">
        <v>0</v>
      </c>
      <c r="BB441" s="24">
        <v>1800</v>
      </c>
      <c r="BC441" s="24">
        <v>1800</v>
      </c>
      <c r="BD441" s="24">
        <v>1200</v>
      </c>
      <c r="BE441" s="24">
        <v>0</v>
      </c>
      <c r="BF441" s="24">
        <v>1</v>
      </c>
      <c r="BG441" s="25">
        <v>1</v>
      </c>
      <c r="BH441" s="24">
        <v>1</v>
      </c>
      <c r="BI441" s="24">
        <v>0</v>
      </c>
      <c r="BJ441" s="24">
        <v>0</v>
      </c>
      <c r="BK441" s="24">
        <v>0</v>
      </c>
      <c r="BL441" s="25">
        <v>126</v>
      </c>
      <c r="BM441" s="24">
        <v>0</v>
      </c>
      <c r="BO441" s="25">
        <v>8</v>
      </c>
      <c r="BP441" s="24">
        <v>100</v>
      </c>
      <c r="BQ441" s="24">
        <v>2</v>
      </c>
      <c r="BR441" s="24">
        <v>3</v>
      </c>
      <c r="BS441" s="24">
        <v>0</v>
      </c>
      <c r="BT441" s="24">
        <v>120</v>
      </c>
      <c r="BU441" s="24">
        <v>45</v>
      </c>
      <c r="BV441" s="24">
        <v>6</v>
      </c>
      <c r="BW441" s="24">
        <v>0</v>
      </c>
      <c r="BX441" s="24">
        <v>4</v>
      </c>
      <c r="BZ441" s="24">
        <v>60027</v>
      </c>
      <c r="CA441" s="24">
        <v>0</v>
      </c>
      <c r="CB441" s="24">
        <v>0</v>
      </c>
      <c r="CC441" s="24">
        <v>0</v>
      </c>
      <c r="CD441" s="24">
        <v>0</v>
      </c>
      <c r="CE441" s="24">
        <v>0</v>
      </c>
      <c r="CG441" s="24">
        <v>0</v>
      </c>
      <c r="CH441" s="24">
        <v>0</v>
      </c>
      <c r="CI441" s="24">
        <v>0</v>
      </c>
      <c r="CJ441" s="24">
        <v>1</v>
      </c>
      <c r="CK441" s="24">
        <v>1</v>
      </c>
      <c r="CL441" s="24">
        <v>0</v>
      </c>
      <c r="CM441" s="24">
        <v>0</v>
      </c>
      <c r="CN441" s="24">
        <v>200</v>
      </c>
      <c r="CO441" s="24">
        <v>1800</v>
      </c>
      <c r="CQ441" s="24">
        <v>25</v>
      </c>
      <c r="CR441" s="24">
        <v>0</v>
      </c>
      <c r="CS441" s="24">
        <v>0</v>
      </c>
      <c r="CT441" s="24">
        <v>1000</v>
      </c>
      <c r="CV441" s="34">
        <v>5120</v>
      </c>
      <c r="CW441" s="34">
        <v>0</v>
      </c>
      <c r="CX441" s="24">
        <v>-1</v>
      </c>
      <c r="CY441" s="24">
        <v>1</v>
      </c>
      <c r="CZ441" s="26">
        <v>1</v>
      </c>
      <c r="DA441" s="24">
        <v>0</v>
      </c>
      <c r="DC441" s="24">
        <v>0</v>
      </c>
      <c r="DD441" s="24">
        <v>0</v>
      </c>
      <c r="DE441" s="24">
        <v>0</v>
      </c>
      <c r="DF441" s="24">
        <v>0</v>
      </c>
      <c r="DG441" s="24">
        <v>0</v>
      </c>
      <c r="DI441" s="24">
        <v>0</v>
      </c>
      <c r="DJ441" s="24">
        <v>0</v>
      </c>
      <c r="DL441" s="24">
        <v>0</v>
      </c>
      <c r="DM441" s="24">
        <v>0</v>
      </c>
      <c r="DO441" s="24">
        <v>0</v>
      </c>
      <c r="DP441" s="24">
        <v>0</v>
      </c>
      <c r="DQ441" s="24">
        <v>0</v>
      </c>
      <c r="DR441" s="24">
        <v>0</v>
      </c>
      <c r="DS441" s="24">
        <v>0</v>
      </c>
      <c r="DT441" s="24">
        <v>0</v>
      </c>
      <c r="DV441" s="24">
        <v>0</v>
      </c>
      <c r="DW441" s="24">
        <v>0</v>
      </c>
      <c r="DX441" s="24">
        <v>0</v>
      </c>
      <c r="DY441" s="24">
        <v>0</v>
      </c>
      <c r="DZ441" s="24">
        <v>0</v>
      </c>
    </row>
    <row r="442" spans="1:131">
      <c r="A442" s="24" t="s">
        <v>142</v>
      </c>
      <c r="B442" s="24" t="s">
        <v>142</v>
      </c>
      <c r="C442" s="24" t="s">
        <v>142</v>
      </c>
      <c r="D442" s="24" t="s">
        <v>142</v>
      </c>
      <c r="E442" s="24">
        <v>60028</v>
      </c>
      <c r="F442" s="24" t="s">
        <v>853</v>
      </c>
      <c r="G442" s="24">
        <v>0</v>
      </c>
      <c r="H442" s="24">
        <v>560028</v>
      </c>
      <c r="I442" s="24" t="s">
        <v>853</v>
      </c>
      <c r="J442" s="24" t="s">
        <v>853</v>
      </c>
      <c r="K442" s="24">
        <v>0</v>
      </c>
      <c r="M442" s="24">
        <v>102</v>
      </c>
      <c r="N442" s="24">
        <v>0</v>
      </c>
      <c r="P442" s="25">
        <v>2</v>
      </c>
      <c r="Q442" s="25">
        <v>655360</v>
      </c>
      <c r="R442" s="24">
        <v>0</v>
      </c>
      <c r="S442" s="25">
        <v>0</v>
      </c>
      <c r="T442" s="24"/>
      <c r="U442" s="24">
        <v>0</v>
      </c>
      <c r="V442" s="25">
        <v>0</v>
      </c>
      <c r="W442" s="24">
        <v>0</v>
      </c>
      <c r="X442" s="24">
        <v>0</v>
      </c>
      <c r="Y442" s="24">
        <v>0</v>
      </c>
      <c r="Z442" s="24">
        <v>0</v>
      </c>
      <c r="AB442" s="24">
        <v>10001</v>
      </c>
      <c r="AC442" s="24">
        <v>-1</v>
      </c>
      <c r="AD442" s="24">
        <v>-1</v>
      </c>
      <c r="AE442" s="24">
        <v>-1</v>
      </c>
      <c r="AG442" s="24">
        <v>1</v>
      </c>
      <c r="AH442" s="24">
        <v>0</v>
      </c>
      <c r="AI442" s="24">
        <v>0</v>
      </c>
      <c r="AJ442" s="24">
        <v>0</v>
      </c>
      <c r="AK442" s="24">
        <v>0</v>
      </c>
      <c r="AL442" s="24">
        <v>0</v>
      </c>
      <c r="AM442" s="24">
        <v>0</v>
      </c>
      <c r="AN442" s="24">
        <v>0</v>
      </c>
      <c r="AO442" s="24">
        <v>0</v>
      </c>
      <c r="AP442" s="24">
        <v>0</v>
      </c>
      <c r="AQ442" s="24">
        <v>0</v>
      </c>
      <c r="AR442" s="24">
        <v>0</v>
      </c>
      <c r="AS442" s="24">
        <v>0</v>
      </c>
      <c r="AT442" s="24">
        <v>0</v>
      </c>
      <c r="AU442" s="24">
        <v>0</v>
      </c>
      <c r="AV442" s="24">
        <v>0</v>
      </c>
      <c r="AW442" s="24">
        <v>0</v>
      </c>
      <c r="AX442" s="24">
        <v>0</v>
      </c>
      <c r="AY442" s="24">
        <v>0</v>
      </c>
      <c r="BA442" s="24">
        <v>0</v>
      </c>
      <c r="BB442" s="24">
        <v>1800</v>
      </c>
      <c r="BC442" s="24">
        <v>1800</v>
      </c>
      <c r="BD442" s="24">
        <v>0</v>
      </c>
      <c r="BE442" s="24">
        <v>0</v>
      </c>
      <c r="BF442" s="24">
        <v>0</v>
      </c>
      <c r="BG442" s="25">
        <v>0</v>
      </c>
      <c r="BH442" s="24">
        <v>0</v>
      </c>
      <c r="BI442" s="24">
        <v>0</v>
      </c>
      <c r="BJ442" s="24">
        <v>50</v>
      </c>
      <c r="BK442" s="24">
        <v>0</v>
      </c>
      <c r="BL442" s="25">
        <v>126</v>
      </c>
      <c r="BM442" s="24">
        <v>0</v>
      </c>
      <c r="BO442" s="25">
        <v>8</v>
      </c>
      <c r="BP442" s="24">
        <v>100</v>
      </c>
      <c r="BQ442" s="24">
        <v>2</v>
      </c>
      <c r="BR442" s="24">
        <v>1</v>
      </c>
      <c r="BS442" s="24">
        <v>0</v>
      </c>
      <c r="BT442" s="24">
        <v>0</v>
      </c>
      <c r="BU442" s="24">
        <v>0</v>
      </c>
      <c r="BV442" s="24">
        <v>6</v>
      </c>
      <c r="BW442" s="24">
        <v>0</v>
      </c>
      <c r="BX442" s="24">
        <v>1</v>
      </c>
      <c r="BZ442" s="24">
        <v>60027</v>
      </c>
      <c r="CA442" s="24">
        <v>0</v>
      </c>
      <c r="CB442" s="24">
        <v>0</v>
      </c>
      <c r="CC442" s="24">
        <v>0</v>
      </c>
      <c r="CD442" s="24">
        <v>0</v>
      </c>
      <c r="CE442" s="24">
        <v>0</v>
      </c>
      <c r="CG442" s="24">
        <v>-1</v>
      </c>
      <c r="CH442" s="24">
        <v>0</v>
      </c>
      <c r="CI442" s="24">
        <v>0</v>
      </c>
      <c r="CJ442" s="24">
        <v>0</v>
      </c>
      <c r="CK442" s="24">
        <v>0</v>
      </c>
      <c r="CL442" s="24">
        <v>0</v>
      </c>
      <c r="CM442" s="24">
        <v>0</v>
      </c>
      <c r="CN442" s="24">
        <v>0</v>
      </c>
      <c r="CO442" s="24">
        <v>0</v>
      </c>
      <c r="CQ442" s="24">
        <v>25</v>
      </c>
      <c r="CR442" s="24">
        <v>0</v>
      </c>
      <c r="CS442" s="24">
        <v>0</v>
      </c>
      <c r="CT442" s="24">
        <v>1000</v>
      </c>
      <c r="CV442" s="34">
        <v>5122</v>
      </c>
      <c r="CW442" s="34">
        <v>0</v>
      </c>
      <c r="CX442" s="24">
        <v>-1</v>
      </c>
      <c r="CY442" s="24">
        <v>1</v>
      </c>
      <c r="CZ442" s="26">
        <v>1</v>
      </c>
      <c r="DA442" s="24">
        <v>0</v>
      </c>
      <c r="DC442" s="24">
        <v>0</v>
      </c>
      <c r="DD442" s="24">
        <v>0</v>
      </c>
      <c r="DE442" s="24">
        <v>0</v>
      </c>
      <c r="DF442" s="24">
        <v>0</v>
      </c>
      <c r="DG442" s="24">
        <v>0</v>
      </c>
      <c r="DI442" s="24">
        <v>0</v>
      </c>
      <c r="DJ442" s="24">
        <v>0</v>
      </c>
      <c r="DL442" s="24">
        <v>0</v>
      </c>
      <c r="DM442" s="24">
        <v>0</v>
      </c>
      <c r="DO442" s="24">
        <v>0</v>
      </c>
      <c r="DP442" s="24">
        <v>0</v>
      </c>
      <c r="DQ442" s="24">
        <v>0</v>
      </c>
      <c r="DR442" s="24">
        <v>0</v>
      </c>
      <c r="DS442" s="24">
        <v>0</v>
      </c>
      <c r="DT442" s="24">
        <v>0</v>
      </c>
      <c r="DV442" s="24">
        <v>0</v>
      </c>
      <c r="DW442" s="24">
        <v>0</v>
      </c>
      <c r="DX442" s="24">
        <v>0</v>
      </c>
      <c r="DY442" s="24">
        <v>0</v>
      </c>
      <c r="DZ442" s="24">
        <v>0</v>
      </c>
    </row>
    <row r="443" spans="1:131">
      <c r="A443" s="24" t="s">
        <v>142</v>
      </c>
      <c r="B443" s="24" t="s">
        <v>142</v>
      </c>
      <c r="C443" s="24" t="s">
        <v>142</v>
      </c>
      <c r="D443" s="24" t="s">
        <v>142</v>
      </c>
      <c r="E443" s="24">
        <v>60029</v>
      </c>
      <c r="F443" s="24" t="s">
        <v>854</v>
      </c>
      <c r="G443" s="24">
        <v>0</v>
      </c>
      <c r="H443" s="24">
        <v>560029</v>
      </c>
      <c r="I443" s="24" t="s">
        <v>854</v>
      </c>
      <c r="J443" s="24" t="s">
        <v>854</v>
      </c>
      <c r="K443" s="24">
        <v>0</v>
      </c>
      <c r="M443" s="24">
        <v>102</v>
      </c>
      <c r="N443" s="24">
        <v>0</v>
      </c>
      <c r="P443" s="25">
        <v>2</v>
      </c>
      <c r="Q443" s="25">
        <v>655360</v>
      </c>
      <c r="R443" s="24">
        <v>0</v>
      </c>
      <c r="S443" s="25">
        <v>0</v>
      </c>
      <c r="T443" s="24"/>
      <c r="U443" s="24">
        <v>0</v>
      </c>
      <c r="V443" s="25">
        <v>0</v>
      </c>
      <c r="W443" s="24">
        <v>0</v>
      </c>
      <c r="X443" s="24">
        <v>0</v>
      </c>
      <c r="Y443" s="24">
        <v>0</v>
      </c>
      <c r="Z443" s="24">
        <v>0</v>
      </c>
      <c r="AB443" s="24">
        <v>10001</v>
      </c>
      <c r="AC443" s="24">
        <v>-1</v>
      </c>
      <c r="AD443" s="24">
        <v>-1</v>
      </c>
      <c r="AE443" s="24">
        <v>-1</v>
      </c>
      <c r="AG443" s="24">
        <v>1</v>
      </c>
      <c r="AH443" s="24">
        <v>0</v>
      </c>
      <c r="AI443" s="24">
        <v>0</v>
      </c>
      <c r="AJ443" s="24">
        <v>0</v>
      </c>
      <c r="AK443" s="24">
        <v>0</v>
      </c>
      <c r="AL443" s="24">
        <v>0</v>
      </c>
      <c r="AM443" s="24">
        <v>0</v>
      </c>
      <c r="AN443" s="24">
        <v>0</v>
      </c>
      <c r="AO443" s="24">
        <v>0</v>
      </c>
      <c r="AP443" s="24">
        <v>0</v>
      </c>
      <c r="AQ443" s="24">
        <v>0</v>
      </c>
      <c r="AR443" s="24">
        <v>0</v>
      </c>
      <c r="AS443" s="24">
        <v>0</v>
      </c>
      <c r="AT443" s="24">
        <v>0</v>
      </c>
      <c r="AU443" s="24">
        <v>0</v>
      </c>
      <c r="AV443" s="24">
        <v>0</v>
      </c>
      <c r="AW443" s="24">
        <v>0</v>
      </c>
      <c r="AX443" s="24">
        <v>0</v>
      </c>
      <c r="AY443" s="24">
        <v>0</v>
      </c>
      <c r="BA443" s="24">
        <v>0</v>
      </c>
      <c r="BB443" s="24">
        <v>1800</v>
      </c>
      <c r="BC443" s="24">
        <v>1800</v>
      </c>
      <c r="BD443" s="24">
        <v>0</v>
      </c>
      <c r="BE443" s="24">
        <v>0</v>
      </c>
      <c r="BF443" s="24">
        <v>0</v>
      </c>
      <c r="BG443" s="25">
        <v>0</v>
      </c>
      <c r="BH443" s="24">
        <v>0</v>
      </c>
      <c r="BI443" s="24">
        <v>0</v>
      </c>
      <c r="BJ443" s="24">
        <v>50</v>
      </c>
      <c r="BK443" s="24">
        <v>0</v>
      </c>
      <c r="BL443" s="25">
        <v>126</v>
      </c>
      <c r="BM443" s="24">
        <v>0</v>
      </c>
      <c r="BO443" s="25">
        <v>8</v>
      </c>
      <c r="BP443" s="24">
        <v>100</v>
      </c>
      <c r="BQ443" s="24">
        <v>2</v>
      </c>
      <c r="BR443" s="24">
        <v>1</v>
      </c>
      <c r="BS443" s="24">
        <v>0</v>
      </c>
      <c r="BT443" s="24">
        <v>0</v>
      </c>
      <c r="BU443" s="24">
        <v>0</v>
      </c>
      <c r="BV443" s="24">
        <v>6</v>
      </c>
      <c r="BW443" s="24">
        <v>0</v>
      </c>
      <c r="BX443" s="24">
        <v>1</v>
      </c>
      <c r="BZ443" s="24">
        <v>60029</v>
      </c>
      <c r="CA443" s="24">
        <v>0</v>
      </c>
      <c r="CB443" s="24">
        <v>0</v>
      </c>
      <c r="CC443" s="24">
        <v>0</v>
      </c>
      <c r="CD443" s="24">
        <v>0</v>
      </c>
      <c r="CE443" s="24">
        <v>0</v>
      </c>
      <c r="CG443" s="24">
        <v>-1</v>
      </c>
      <c r="CH443" s="24">
        <v>0</v>
      </c>
      <c r="CI443" s="24">
        <v>0</v>
      </c>
      <c r="CJ443" s="24">
        <v>0</v>
      </c>
      <c r="CK443" s="24">
        <v>0</v>
      </c>
      <c r="CL443" s="24">
        <v>0</v>
      </c>
      <c r="CM443" s="24">
        <v>0</v>
      </c>
      <c r="CN443" s="24">
        <v>0</v>
      </c>
      <c r="CO443" s="24">
        <v>0</v>
      </c>
      <c r="CQ443" s="24">
        <v>25</v>
      </c>
      <c r="CR443" s="24">
        <v>0</v>
      </c>
      <c r="CS443" s="24">
        <v>0</v>
      </c>
      <c r="CT443" s="24">
        <v>1000</v>
      </c>
      <c r="CV443" s="34">
        <v>5122</v>
      </c>
      <c r="CW443" s="34">
        <v>0</v>
      </c>
      <c r="CX443" s="24">
        <v>-1</v>
      </c>
      <c r="CY443" s="24">
        <v>1</v>
      </c>
      <c r="CZ443" s="26">
        <v>1</v>
      </c>
      <c r="DA443" s="24">
        <v>0</v>
      </c>
      <c r="DC443" s="24">
        <v>0</v>
      </c>
      <c r="DD443" s="24">
        <v>0</v>
      </c>
      <c r="DE443" s="24">
        <v>0</v>
      </c>
      <c r="DF443" s="24">
        <v>0</v>
      </c>
      <c r="DG443" s="24">
        <v>0</v>
      </c>
      <c r="DI443" s="24">
        <v>0</v>
      </c>
      <c r="DJ443" s="24">
        <v>0</v>
      </c>
      <c r="DL443" s="24">
        <v>0</v>
      </c>
      <c r="DM443" s="24">
        <v>0</v>
      </c>
      <c r="DO443" s="24">
        <v>0</v>
      </c>
      <c r="DP443" s="24">
        <v>0</v>
      </c>
      <c r="DQ443" s="24">
        <v>0</v>
      </c>
      <c r="DR443" s="24">
        <v>0</v>
      </c>
      <c r="DS443" s="24">
        <v>0</v>
      </c>
      <c r="DT443" s="24">
        <v>0</v>
      </c>
      <c r="DV443" s="24">
        <v>0</v>
      </c>
      <c r="DW443" s="24">
        <v>0</v>
      </c>
      <c r="DX443" s="24">
        <v>0</v>
      </c>
      <c r="DY443" s="24">
        <v>0</v>
      </c>
      <c r="DZ443" s="24">
        <v>0</v>
      </c>
    </row>
    <row r="444" spans="1:131">
      <c r="A444" s="24" t="s">
        <v>142</v>
      </c>
      <c r="B444" s="24" t="s">
        <v>142</v>
      </c>
      <c r="C444" s="24" t="s">
        <v>142</v>
      </c>
      <c r="D444" s="24" t="s">
        <v>142</v>
      </c>
      <c r="E444" s="24">
        <v>60030</v>
      </c>
      <c r="F444" s="24" t="s">
        <v>864</v>
      </c>
      <c r="G444" s="24">
        <v>0</v>
      </c>
      <c r="H444" s="24">
        <v>560030</v>
      </c>
      <c r="I444" s="24" t="s">
        <v>864</v>
      </c>
      <c r="J444" s="24" t="s">
        <v>864</v>
      </c>
      <c r="K444" s="24">
        <v>0</v>
      </c>
      <c r="M444" s="24">
        <v>102</v>
      </c>
      <c r="N444" s="24">
        <v>0</v>
      </c>
      <c r="P444" s="25">
        <v>2</v>
      </c>
      <c r="Q444" s="25">
        <v>655360</v>
      </c>
      <c r="R444" s="24">
        <v>0</v>
      </c>
      <c r="S444" s="25">
        <v>0</v>
      </c>
      <c r="T444" s="24"/>
      <c r="U444" s="24">
        <v>0</v>
      </c>
      <c r="V444" s="25">
        <v>0</v>
      </c>
      <c r="W444" s="24">
        <v>0</v>
      </c>
      <c r="X444" s="24">
        <v>0</v>
      </c>
      <c r="Y444" s="24">
        <v>0</v>
      </c>
      <c r="Z444" s="24">
        <v>0</v>
      </c>
      <c r="AB444" s="24">
        <v>10001</v>
      </c>
      <c r="AC444" s="24">
        <v>-1</v>
      </c>
      <c r="AD444" s="24">
        <v>-1</v>
      </c>
      <c r="AE444" s="24">
        <v>-1</v>
      </c>
      <c r="AG444" s="24">
        <v>1</v>
      </c>
      <c r="AH444" s="24">
        <v>0</v>
      </c>
      <c r="AI444" s="24">
        <v>0</v>
      </c>
      <c r="AJ444" s="24">
        <v>0</v>
      </c>
      <c r="AK444" s="24">
        <v>0</v>
      </c>
      <c r="AL444" s="24">
        <v>0</v>
      </c>
      <c r="AM444" s="24">
        <v>0</v>
      </c>
      <c r="AN444" s="24">
        <v>0</v>
      </c>
      <c r="AO444" s="24">
        <v>0</v>
      </c>
      <c r="AP444" s="24">
        <v>0</v>
      </c>
      <c r="AQ444" s="24">
        <v>0</v>
      </c>
      <c r="AR444" s="24">
        <v>0</v>
      </c>
      <c r="AS444" s="24">
        <v>0</v>
      </c>
      <c r="AT444" s="24">
        <v>0</v>
      </c>
      <c r="AU444" s="24">
        <v>0</v>
      </c>
      <c r="AV444" s="24">
        <v>0</v>
      </c>
      <c r="AW444" s="24">
        <v>0</v>
      </c>
      <c r="AX444" s="24">
        <v>0</v>
      </c>
      <c r="AY444" s="24">
        <v>0</v>
      </c>
      <c r="BA444" s="24">
        <v>0</v>
      </c>
      <c r="BB444" s="24">
        <v>3000</v>
      </c>
      <c r="BC444" s="24">
        <v>3000</v>
      </c>
      <c r="BD444" s="24">
        <v>500</v>
      </c>
      <c r="BE444" s="24">
        <v>500</v>
      </c>
      <c r="BF444" s="24">
        <v>6</v>
      </c>
      <c r="BG444" s="25">
        <v>1</v>
      </c>
      <c r="BH444" s="24">
        <v>1</v>
      </c>
      <c r="BI444" s="24">
        <v>0</v>
      </c>
      <c r="BJ444" s="24">
        <v>0</v>
      </c>
      <c r="BK444" s="24">
        <v>0</v>
      </c>
      <c r="BL444" s="25">
        <v>126</v>
      </c>
      <c r="BM444" s="24">
        <v>0</v>
      </c>
      <c r="BO444" s="25">
        <v>16</v>
      </c>
      <c r="BP444" s="24">
        <v>12</v>
      </c>
      <c r="BQ444" s="24">
        <v>0</v>
      </c>
      <c r="BR444" s="24">
        <v>3</v>
      </c>
      <c r="BS444" s="24">
        <v>0</v>
      </c>
      <c r="BT444" s="24">
        <v>120</v>
      </c>
      <c r="BU444" s="24">
        <v>45</v>
      </c>
      <c r="BV444" s="24">
        <v>6</v>
      </c>
      <c r="BW444" s="24">
        <v>0</v>
      </c>
      <c r="BX444" s="24">
        <v>4</v>
      </c>
      <c r="BZ444" s="24">
        <v>-1</v>
      </c>
      <c r="CA444" s="24">
        <v>0</v>
      </c>
      <c r="CB444" s="24">
        <v>0</v>
      </c>
      <c r="CC444" s="24">
        <v>0</v>
      </c>
      <c r="CD444" s="24">
        <v>0</v>
      </c>
      <c r="CE444" s="24">
        <v>0</v>
      </c>
      <c r="CG444" s="24">
        <v>1</v>
      </c>
      <c r="CH444" s="24">
        <v>0</v>
      </c>
      <c r="CI444" s="24">
        <v>0</v>
      </c>
      <c r="CJ444" s="24">
        <v>0</v>
      </c>
      <c r="CK444" s="24">
        <v>1</v>
      </c>
      <c r="CL444" s="24">
        <v>1</v>
      </c>
      <c r="CM444" s="24">
        <v>0</v>
      </c>
      <c r="CN444" s="24">
        <v>200</v>
      </c>
      <c r="CO444" s="24">
        <v>1100</v>
      </c>
      <c r="CQ444" s="24">
        <v>0</v>
      </c>
      <c r="CR444" s="24">
        <v>0</v>
      </c>
      <c r="CS444" s="24">
        <v>0</v>
      </c>
      <c r="CT444" s="24">
        <v>0</v>
      </c>
      <c r="CV444" s="34">
        <v>5113</v>
      </c>
      <c r="CW444" s="34">
        <v>0</v>
      </c>
      <c r="CX444" s="24">
        <v>-1</v>
      </c>
      <c r="CY444" s="24">
        <v>1</v>
      </c>
      <c r="CZ444" s="24">
        <v>1</v>
      </c>
      <c r="DA444" s="26">
        <v>0</v>
      </c>
      <c r="DC444" s="24">
        <v>0</v>
      </c>
      <c r="DD444" s="24">
        <v>0</v>
      </c>
      <c r="DE444" s="24">
        <v>0</v>
      </c>
      <c r="DF444" s="24">
        <v>0</v>
      </c>
      <c r="DG444" s="24">
        <v>0</v>
      </c>
      <c r="DI444" s="24">
        <v>0</v>
      </c>
      <c r="DJ444" s="24">
        <v>0</v>
      </c>
      <c r="DL444" s="24">
        <v>0</v>
      </c>
      <c r="DM444" s="24">
        <v>0</v>
      </c>
      <c r="DO444" s="24">
        <v>0</v>
      </c>
      <c r="DP444" s="24">
        <v>0</v>
      </c>
      <c r="DQ444" s="24">
        <v>0</v>
      </c>
      <c r="DR444" s="24">
        <v>0</v>
      </c>
      <c r="DS444" s="24">
        <v>0</v>
      </c>
      <c r="DT444" s="24">
        <v>0</v>
      </c>
      <c r="DV444" s="24">
        <v>0</v>
      </c>
      <c r="DW444" s="24">
        <v>0</v>
      </c>
      <c r="DX444" s="24">
        <v>0</v>
      </c>
      <c r="DY444" s="24">
        <v>0</v>
      </c>
      <c r="DZ444" s="24">
        <v>0</v>
      </c>
    </row>
    <row r="445" spans="1:131">
      <c r="A445" s="24" t="s">
        <v>142</v>
      </c>
      <c r="B445" s="24" t="s">
        <v>142</v>
      </c>
      <c r="C445" s="24" t="s">
        <v>142</v>
      </c>
      <c r="D445" s="24" t="s">
        <v>142</v>
      </c>
      <c r="E445" s="24">
        <v>60031</v>
      </c>
      <c r="F445" s="24" t="s">
        <v>901</v>
      </c>
      <c r="G445" s="24">
        <v>0</v>
      </c>
      <c r="H445" s="24">
        <v>560031</v>
      </c>
      <c r="I445" s="24" t="s">
        <v>901</v>
      </c>
      <c r="J445" s="24" t="s">
        <v>901</v>
      </c>
      <c r="K445" s="24">
        <v>0</v>
      </c>
      <c r="M445" s="24">
        <v>102</v>
      </c>
      <c r="N445" s="24">
        <v>0</v>
      </c>
      <c r="P445" s="25">
        <v>2</v>
      </c>
      <c r="Q445" s="25">
        <v>655360</v>
      </c>
      <c r="R445" s="24">
        <v>0</v>
      </c>
      <c r="S445" s="25">
        <v>0</v>
      </c>
      <c r="T445" s="24"/>
      <c r="U445" s="24">
        <v>0</v>
      </c>
      <c r="V445" s="25">
        <v>0</v>
      </c>
      <c r="W445" s="24">
        <v>0</v>
      </c>
      <c r="X445" s="24">
        <v>0</v>
      </c>
      <c r="Y445" s="24">
        <v>0</v>
      </c>
      <c r="Z445" s="24">
        <v>0</v>
      </c>
      <c r="AB445" s="24">
        <v>10001</v>
      </c>
      <c r="AC445" s="24">
        <v>-1</v>
      </c>
      <c r="AD445" s="24">
        <v>-1</v>
      </c>
      <c r="AE445" s="24">
        <v>-1</v>
      </c>
      <c r="AG445" s="24">
        <v>1</v>
      </c>
      <c r="AH445" s="24">
        <v>0</v>
      </c>
      <c r="AI445" s="24">
        <v>0</v>
      </c>
      <c r="AJ445" s="24">
        <v>0</v>
      </c>
      <c r="AK445" s="24">
        <v>0</v>
      </c>
      <c r="AL445" s="24">
        <v>0</v>
      </c>
      <c r="AM445" s="24">
        <v>0</v>
      </c>
      <c r="AN445" s="24">
        <v>0</v>
      </c>
      <c r="AO445" s="24">
        <v>0</v>
      </c>
      <c r="AP445" s="24">
        <v>0</v>
      </c>
      <c r="AQ445" s="24">
        <v>0</v>
      </c>
      <c r="AR445" s="24">
        <v>0</v>
      </c>
      <c r="AS445" s="24">
        <v>0</v>
      </c>
      <c r="AT445" s="24">
        <v>0</v>
      </c>
      <c r="AU445" s="24">
        <v>0</v>
      </c>
      <c r="AV445" s="24">
        <v>0</v>
      </c>
      <c r="AW445" s="24">
        <v>0</v>
      </c>
      <c r="AX445" s="24">
        <v>0</v>
      </c>
      <c r="AY445" s="24">
        <v>0</v>
      </c>
      <c r="BA445" s="24">
        <v>0</v>
      </c>
      <c r="BB445" s="24">
        <v>700</v>
      </c>
      <c r="BC445" s="24">
        <v>700</v>
      </c>
      <c r="BD445" s="24">
        <v>0</v>
      </c>
      <c r="BE445" s="24">
        <v>0</v>
      </c>
      <c r="BF445" s="24">
        <v>0</v>
      </c>
      <c r="BG445" s="25">
        <v>1</v>
      </c>
      <c r="BH445" s="24">
        <v>1</v>
      </c>
      <c r="BI445" s="24">
        <v>0</v>
      </c>
      <c r="BJ445" s="24">
        <v>0</v>
      </c>
      <c r="BK445" s="24">
        <v>0</v>
      </c>
      <c r="BL445" s="25">
        <v>126</v>
      </c>
      <c r="BM445" s="24">
        <v>0</v>
      </c>
      <c r="BO445" s="25">
        <v>16</v>
      </c>
      <c r="BP445" s="24">
        <v>4</v>
      </c>
      <c r="BQ445" s="24">
        <v>0</v>
      </c>
      <c r="BR445" s="24">
        <v>1</v>
      </c>
      <c r="BS445" s="24">
        <v>0</v>
      </c>
      <c r="BT445" s="24">
        <v>0</v>
      </c>
      <c r="BU445" s="24">
        <v>0</v>
      </c>
      <c r="BV445" s="24">
        <v>6</v>
      </c>
      <c r="BW445" s="24">
        <v>0</v>
      </c>
      <c r="BX445" s="24">
        <v>1</v>
      </c>
      <c r="BZ445" s="24">
        <v>-1</v>
      </c>
      <c r="CA445" s="24">
        <v>0</v>
      </c>
      <c r="CB445" s="24">
        <v>0</v>
      </c>
      <c r="CC445" s="24">
        <v>0</v>
      </c>
      <c r="CD445" s="24">
        <v>0</v>
      </c>
      <c r="CE445" s="24">
        <v>0</v>
      </c>
      <c r="CG445" s="24">
        <v>-1</v>
      </c>
      <c r="CH445" s="24">
        <v>0</v>
      </c>
      <c r="CI445" s="24">
        <v>0</v>
      </c>
      <c r="CJ445" s="24">
        <v>0</v>
      </c>
      <c r="CK445" s="24">
        <v>0</v>
      </c>
      <c r="CL445" s="24">
        <v>0</v>
      </c>
      <c r="CM445" s="24">
        <v>0</v>
      </c>
      <c r="CN445" s="24">
        <v>0</v>
      </c>
      <c r="CO445" s="24">
        <v>0</v>
      </c>
      <c r="CQ445" s="24">
        <v>0</v>
      </c>
      <c r="CR445" s="24">
        <v>0</v>
      </c>
      <c r="CS445" s="24">
        <v>0</v>
      </c>
      <c r="CT445" s="24">
        <v>0</v>
      </c>
      <c r="CV445" s="34">
        <v>5115</v>
      </c>
      <c r="CW445" s="34">
        <v>0</v>
      </c>
      <c r="CX445" s="24">
        <v>-1</v>
      </c>
      <c r="CY445" s="24">
        <v>1</v>
      </c>
      <c r="CZ445" s="24">
        <v>1</v>
      </c>
      <c r="DA445" s="26">
        <v>0</v>
      </c>
      <c r="DC445" s="24">
        <v>0</v>
      </c>
      <c r="DD445" s="24">
        <v>0</v>
      </c>
      <c r="DE445" s="24">
        <v>0</v>
      </c>
      <c r="DF445" s="24">
        <v>0</v>
      </c>
      <c r="DG445" s="24">
        <v>0</v>
      </c>
      <c r="DI445" s="24">
        <v>0</v>
      </c>
      <c r="DJ445" s="24">
        <v>0</v>
      </c>
      <c r="DL445" s="24">
        <v>0</v>
      </c>
      <c r="DM445" s="24">
        <v>0</v>
      </c>
      <c r="DO445" s="24">
        <v>0</v>
      </c>
      <c r="DP445" s="24">
        <v>0</v>
      </c>
      <c r="DQ445" s="24">
        <v>0</v>
      </c>
      <c r="DR445" s="24">
        <v>0</v>
      </c>
      <c r="DS445" s="24">
        <v>0</v>
      </c>
      <c r="DT445" s="24">
        <v>0</v>
      </c>
      <c r="DV445" s="24">
        <v>0</v>
      </c>
      <c r="DW445" s="24">
        <v>0</v>
      </c>
      <c r="DX445" s="24">
        <v>0</v>
      </c>
      <c r="DY445" s="24">
        <v>0</v>
      </c>
      <c r="DZ445" s="24">
        <v>0</v>
      </c>
    </row>
    <row r="446" spans="1:131">
      <c r="A446" s="24" t="s">
        <v>142</v>
      </c>
      <c r="B446" s="24" t="s">
        <v>142</v>
      </c>
      <c r="C446" s="24" t="s">
        <v>142</v>
      </c>
      <c r="D446" s="24" t="s">
        <v>142</v>
      </c>
      <c r="E446" s="24">
        <v>60032</v>
      </c>
      <c r="F446" s="24" t="s">
        <v>902</v>
      </c>
      <c r="G446" s="24">
        <v>0</v>
      </c>
      <c r="H446" s="24">
        <v>560032</v>
      </c>
      <c r="I446" s="24" t="s">
        <v>902</v>
      </c>
      <c r="J446" s="24" t="s">
        <v>902</v>
      </c>
      <c r="K446" s="24">
        <v>0</v>
      </c>
      <c r="M446" s="24">
        <v>102</v>
      </c>
      <c r="N446" s="24">
        <v>0</v>
      </c>
      <c r="P446" s="25">
        <v>2</v>
      </c>
      <c r="Q446" s="25">
        <v>655360</v>
      </c>
      <c r="R446" s="24">
        <v>0</v>
      </c>
      <c r="S446" s="25">
        <v>0</v>
      </c>
      <c r="T446" s="24"/>
      <c r="U446" s="24">
        <v>0</v>
      </c>
      <c r="V446" s="25">
        <v>0</v>
      </c>
      <c r="W446" s="24">
        <v>0</v>
      </c>
      <c r="X446" s="24">
        <v>0</v>
      </c>
      <c r="Y446" s="24">
        <v>0</v>
      </c>
      <c r="Z446" s="24">
        <v>0</v>
      </c>
      <c r="AB446" s="24">
        <v>10001</v>
      </c>
      <c r="AC446" s="24">
        <v>-1</v>
      </c>
      <c r="AD446" s="24">
        <v>-1</v>
      </c>
      <c r="AE446" s="24">
        <v>-1</v>
      </c>
      <c r="AG446" s="24">
        <v>1</v>
      </c>
      <c r="AH446" s="24">
        <v>0</v>
      </c>
      <c r="AI446" s="24">
        <v>0</v>
      </c>
      <c r="AJ446" s="24">
        <v>0</v>
      </c>
      <c r="AK446" s="24">
        <v>0</v>
      </c>
      <c r="AL446" s="24">
        <v>0</v>
      </c>
      <c r="AM446" s="24">
        <v>0</v>
      </c>
      <c r="AN446" s="24">
        <v>0</v>
      </c>
      <c r="AO446" s="24">
        <v>0</v>
      </c>
      <c r="AP446" s="24">
        <v>0</v>
      </c>
      <c r="AQ446" s="24">
        <v>0</v>
      </c>
      <c r="AR446" s="24">
        <v>0</v>
      </c>
      <c r="AS446" s="24">
        <v>0</v>
      </c>
      <c r="AT446" s="24">
        <v>0</v>
      </c>
      <c r="AU446" s="24">
        <v>0</v>
      </c>
      <c r="AV446" s="24">
        <v>0</v>
      </c>
      <c r="AW446" s="24">
        <v>0</v>
      </c>
      <c r="AX446" s="24">
        <v>0</v>
      </c>
      <c r="AY446" s="24">
        <v>0</v>
      </c>
      <c r="BA446" s="24">
        <v>0</v>
      </c>
      <c r="BB446" s="24">
        <v>4000</v>
      </c>
      <c r="BC446" s="24">
        <v>4000</v>
      </c>
      <c r="BD446" s="24">
        <v>0</v>
      </c>
      <c r="BE446" s="24">
        <v>0</v>
      </c>
      <c r="BF446" s="24">
        <v>0</v>
      </c>
      <c r="BG446" s="25">
        <v>1</v>
      </c>
      <c r="BH446" s="24">
        <v>1</v>
      </c>
      <c r="BI446" s="24">
        <v>0</v>
      </c>
      <c r="BJ446" s="24">
        <v>0</v>
      </c>
      <c r="BK446" s="24">
        <v>0</v>
      </c>
      <c r="BL446" s="25">
        <v>126</v>
      </c>
      <c r="BM446" s="24">
        <v>0</v>
      </c>
      <c r="BO446" s="25">
        <v>16</v>
      </c>
      <c r="BP446" s="24">
        <v>4</v>
      </c>
      <c r="BQ446" s="24">
        <v>0</v>
      </c>
      <c r="BR446" s="24">
        <v>1</v>
      </c>
      <c r="BS446" s="24">
        <v>0</v>
      </c>
      <c r="BT446" s="24">
        <v>0</v>
      </c>
      <c r="BU446" s="24">
        <v>0</v>
      </c>
      <c r="BV446" s="24">
        <v>6</v>
      </c>
      <c r="BW446" s="24">
        <v>0</v>
      </c>
      <c r="BX446" s="24">
        <v>1</v>
      </c>
      <c r="BZ446" s="24">
        <v>60032</v>
      </c>
      <c r="CA446" s="24">
        <v>0</v>
      </c>
      <c r="CB446" s="24">
        <v>0</v>
      </c>
      <c r="CC446" s="24">
        <v>0</v>
      </c>
      <c r="CD446" s="24">
        <v>0</v>
      </c>
      <c r="CE446" s="24">
        <v>0</v>
      </c>
      <c r="CG446" s="24">
        <v>-1</v>
      </c>
      <c r="CH446" s="24">
        <v>0</v>
      </c>
      <c r="CI446" s="24">
        <v>0</v>
      </c>
      <c r="CJ446" s="24">
        <v>0</v>
      </c>
      <c r="CK446" s="24">
        <v>0</v>
      </c>
      <c r="CL446" s="24">
        <v>0</v>
      </c>
      <c r="CM446" s="24">
        <v>0</v>
      </c>
      <c r="CN446" s="24">
        <v>0</v>
      </c>
      <c r="CO446" s="24">
        <v>0</v>
      </c>
      <c r="CQ446" s="24">
        <v>0</v>
      </c>
      <c r="CR446" s="24">
        <v>0</v>
      </c>
      <c r="CS446" s="24">
        <v>0</v>
      </c>
      <c r="CT446" s="24">
        <v>0</v>
      </c>
      <c r="CV446" s="34">
        <v>5116</v>
      </c>
      <c r="CW446" s="34">
        <v>0</v>
      </c>
      <c r="CX446" s="24">
        <v>-1</v>
      </c>
      <c r="CY446" s="24">
        <v>1</v>
      </c>
      <c r="CZ446" s="24">
        <v>1</v>
      </c>
      <c r="DA446" s="26">
        <v>0</v>
      </c>
      <c r="DC446" s="24">
        <v>0</v>
      </c>
      <c r="DD446" s="24">
        <v>0</v>
      </c>
      <c r="DE446" s="24">
        <v>0</v>
      </c>
      <c r="DF446" s="24">
        <v>0</v>
      </c>
      <c r="DG446" s="24">
        <v>0</v>
      </c>
      <c r="DI446" s="24">
        <v>0</v>
      </c>
      <c r="DJ446" s="24">
        <v>0</v>
      </c>
      <c r="DL446" s="24">
        <v>0</v>
      </c>
      <c r="DM446" s="24">
        <v>0</v>
      </c>
      <c r="DO446" s="24">
        <v>0</v>
      </c>
      <c r="DP446" s="24">
        <v>0</v>
      </c>
      <c r="DQ446" s="24">
        <v>0</v>
      </c>
      <c r="DR446" s="24">
        <v>0</v>
      </c>
      <c r="DS446" s="24">
        <v>0</v>
      </c>
      <c r="DT446" s="24">
        <v>0</v>
      </c>
      <c r="DV446" s="24">
        <v>0</v>
      </c>
      <c r="DW446" s="24">
        <v>0</v>
      </c>
      <c r="DX446" s="24">
        <v>0</v>
      </c>
      <c r="DY446" s="24">
        <v>0</v>
      </c>
      <c r="DZ446" s="24">
        <v>0</v>
      </c>
    </row>
    <row r="447" spans="1:131">
      <c r="A447" s="24" t="s">
        <v>142</v>
      </c>
      <c r="B447" s="24" t="s">
        <v>142</v>
      </c>
      <c r="C447" s="24" t="s">
        <v>142</v>
      </c>
      <c r="D447" s="24" t="s">
        <v>142</v>
      </c>
      <c r="E447" s="24">
        <v>60033</v>
      </c>
      <c r="F447" s="24" t="s">
        <v>903</v>
      </c>
      <c r="G447" s="24">
        <v>0</v>
      </c>
      <c r="H447" s="24">
        <v>560033</v>
      </c>
      <c r="I447" s="24" t="s">
        <v>903</v>
      </c>
      <c r="J447" s="24" t="s">
        <v>903</v>
      </c>
      <c r="K447" s="24">
        <v>0</v>
      </c>
      <c r="M447" s="24">
        <v>102</v>
      </c>
      <c r="N447" s="24">
        <v>0</v>
      </c>
      <c r="P447" s="25">
        <v>2</v>
      </c>
      <c r="Q447" s="25">
        <v>655360</v>
      </c>
      <c r="R447" s="24">
        <v>0</v>
      </c>
      <c r="S447" s="25">
        <v>0</v>
      </c>
      <c r="T447" s="24"/>
      <c r="U447" s="24">
        <v>0</v>
      </c>
      <c r="V447" s="25">
        <v>0</v>
      </c>
      <c r="W447" s="24">
        <v>0</v>
      </c>
      <c r="X447" s="24">
        <v>0</v>
      </c>
      <c r="Y447" s="24">
        <v>0</v>
      </c>
      <c r="Z447" s="24">
        <v>0</v>
      </c>
      <c r="AB447" s="24">
        <v>10001</v>
      </c>
      <c r="AC447" s="24">
        <v>-1</v>
      </c>
      <c r="AD447" s="24">
        <v>-1</v>
      </c>
      <c r="AE447" s="24">
        <v>-1</v>
      </c>
      <c r="AG447" s="24">
        <v>1</v>
      </c>
      <c r="AH447" s="24">
        <v>0</v>
      </c>
      <c r="AI447" s="24">
        <v>0</v>
      </c>
      <c r="AJ447" s="24">
        <v>0</v>
      </c>
      <c r="AK447" s="24">
        <v>0</v>
      </c>
      <c r="AL447" s="24">
        <v>0</v>
      </c>
      <c r="AM447" s="24">
        <v>0</v>
      </c>
      <c r="AN447" s="24">
        <v>0</v>
      </c>
      <c r="AO447" s="24">
        <v>0</v>
      </c>
      <c r="AP447" s="24">
        <v>0</v>
      </c>
      <c r="AQ447" s="24">
        <v>0</v>
      </c>
      <c r="AR447" s="24">
        <v>0</v>
      </c>
      <c r="AS447" s="24">
        <v>0</v>
      </c>
      <c r="AT447" s="24">
        <v>0</v>
      </c>
      <c r="AU447" s="24">
        <v>0</v>
      </c>
      <c r="AV447" s="24">
        <v>0</v>
      </c>
      <c r="AW447" s="24">
        <v>0</v>
      </c>
      <c r="AX447" s="24">
        <v>0</v>
      </c>
      <c r="AY447" s="24">
        <v>0</v>
      </c>
      <c r="BA447" s="24">
        <v>0</v>
      </c>
      <c r="BB447" s="24">
        <v>3000</v>
      </c>
      <c r="BC447" s="24">
        <v>3000</v>
      </c>
      <c r="BD447" s="24">
        <v>1260</v>
      </c>
      <c r="BE447" s="24">
        <v>0</v>
      </c>
      <c r="BF447" s="24">
        <v>1</v>
      </c>
      <c r="BG447" s="25">
        <v>1</v>
      </c>
      <c r="BH447" s="24">
        <v>1</v>
      </c>
      <c r="BI447" s="24">
        <v>0</v>
      </c>
      <c r="BJ447" s="24">
        <v>0</v>
      </c>
      <c r="BK447" s="24">
        <v>0</v>
      </c>
      <c r="BL447" s="25">
        <v>126</v>
      </c>
      <c r="BM447" s="24">
        <v>0</v>
      </c>
      <c r="BO447" s="25">
        <v>16</v>
      </c>
      <c r="BP447" s="24">
        <v>8</v>
      </c>
      <c r="BQ447" s="24">
        <v>0</v>
      </c>
      <c r="BR447" s="24">
        <v>3</v>
      </c>
      <c r="BS447" s="24">
        <v>0</v>
      </c>
      <c r="BT447" s="24">
        <v>80</v>
      </c>
      <c r="BU447" s="24">
        <v>150</v>
      </c>
      <c r="BV447" s="24">
        <v>6</v>
      </c>
      <c r="BW447" s="24">
        <v>0</v>
      </c>
      <c r="BX447" s="24">
        <v>4</v>
      </c>
      <c r="BZ447" s="24">
        <v>60033</v>
      </c>
      <c r="CA447" s="24">
        <v>0</v>
      </c>
      <c r="CB447" s="24">
        <v>0</v>
      </c>
      <c r="CC447" s="24">
        <v>0</v>
      </c>
      <c r="CD447" s="24">
        <v>0</v>
      </c>
      <c r="CE447" s="24">
        <v>0</v>
      </c>
      <c r="CG447" s="24">
        <v>1</v>
      </c>
      <c r="CH447" s="24">
        <v>0</v>
      </c>
      <c r="CI447" s="24">
        <v>0</v>
      </c>
      <c r="CJ447" s="24">
        <v>1</v>
      </c>
      <c r="CK447" s="24">
        <v>1</v>
      </c>
      <c r="CL447" s="24">
        <v>1</v>
      </c>
      <c r="CM447" s="24">
        <v>0</v>
      </c>
      <c r="CN447" s="24">
        <v>200</v>
      </c>
      <c r="CO447" s="24">
        <v>1800</v>
      </c>
      <c r="CQ447" s="24">
        <v>0</v>
      </c>
      <c r="CR447" s="24">
        <v>0</v>
      </c>
      <c r="CS447" s="24">
        <v>0</v>
      </c>
      <c r="CT447" s="24">
        <v>0</v>
      </c>
      <c r="CV447" s="34">
        <v>5114</v>
      </c>
      <c r="CW447" s="34">
        <v>0</v>
      </c>
      <c r="CX447" s="24">
        <v>-1</v>
      </c>
      <c r="CY447" s="24">
        <v>1</v>
      </c>
      <c r="CZ447" s="24">
        <v>1</v>
      </c>
      <c r="DA447" s="26">
        <v>24</v>
      </c>
      <c r="DC447" s="24">
        <v>0</v>
      </c>
      <c r="DD447" s="24">
        <v>0</v>
      </c>
      <c r="DE447" s="24">
        <v>0</v>
      </c>
      <c r="DF447" s="24">
        <v>0</v>
      </c>
      <c r="DG447" s="24">
        <v>0</v>
      </c>
      <c r="DI447" s="24">
        <v>0</v>
      </c>
      <c r="DJ447" s="24">
        <v>0</v>
      </c>
      <c r="DL447" s="24">
        <v>0</v>
      </c>
      <c r="DM447" s="24">
        <v>0</v>
      </c>
      <c r="DO447" s="24">
        <v>0</v>
      </c>
      <c r="DP447" s="24">
        <v>0</v>
      </c>
      <c r="DQ447" s="24">
        <v>0</v>
      </c>
      <c r="DR447" s="24">
        <v>0</v>
      </c>
      <c r="DS447" s="24">
        <v>0</v>
      </c>
      <c r="DT447" s="24">
        <v>0</v>
      </c>
      <c r="DV447" s="24">
        <v>0</v>
      </c>
      <c r="DW447" s="24">
        <v>0</v>
      </c>
      <c r="DX447" s="24">
        <v>0</v>
      </c>
      <c r="DY447" s="24">
        <v>0</v>
      </c>
      <c r="DZ447" s="24">
        <v>0</v>
      </c>
    </row>
    <row r="448" spans="1:131">
      <c r="A448" s="24" t="s">
        <v>142</v>
      </c>
      <c r="B448" s="24" t="s">
        <v>142</v>
      </c>
      <c r="C448" s="24" t="s">
        <v>142</v>
      </c>
      <c r="D448" s="24" t="s">
        <v>142</v>
      </c>
      <c r="E448" s="24">
        <v>60034</v>
      </c>
      <c r="F448" s="24" t="s">
        <v>904</v>
      </c>
      <c r="G448" s="24">
        <v>0</v>
      </c>
      <c r="H448" s="24">
        <v>560034</v>
      </c>
      <c r="I448" s="24" t="s">
        <v>904</v>
      </c>
      <c r="J448" s="24" t="s">
        <v>904</v>
      </c>
      <c r="K448" s="24">
        <v>0</v>
      </c>
      <c r="M448" s="24">
        <v>102</v>
      </c>
      <c r="N448" s="24">
        <v>0</v>
      </c>
      <c r="P448" s="25">
        <v>2</v>
      </c>
      <c r="Q448" s="25">
        <v>655360</v>
      </c>
      <c r="R448" s="24">
        <v>0</v>
      </c>
      <c r="S448" s="25">
        <v>0</v>
      </c>
      <c r="T448" s="24"/>
      <c r="U448" s="24">
        <v>0</v>
      </c>
      <c r="V448" s="25">
        <v>0</v>
      </c>
      <c r="W448" s="24">
        <v>0</v>
      </c>
      <c r="X448" s="24">
        <v>0</v>
      </c>
      <c r="Y448" s="24">
        <v>0</v>
      </c>
      <c r="Z448" s="24">
        <v>0</v>
      </c>
      <c r="AB448" s="24">
        <v>10008</v>
      </c>
      <c r="AC448" s="24">
        <v>-1</v>
      </c>
      <c r="AD448" s="24">
        <v>-1</v>
      </c>
      <c r="AE448" s="24">
        <v>-1</v>
      </c>
      <c r="AG448" s="24">
        <v>1</v>
      </c>
      <c r="AH448" s="24">
        <v>0</v>
      </c>
      <c r="AI448" s="24">
        <v>0</v>
      </c>
      <c r="AJ448" s="24">
        <v>0</v>
      </c>
      <c r="AK448" s="24">
        <v>0</v>
      </c>
      <c r="AL448" s="24">
        <v>0</v>
      </c>
      <c r="AM448" s="24">
        <v>0</v>
      </c>
      <c r="AN448" s="24">
        <v>0</v>
      </c>
      <c r="AO448" s="24">
        <v>0</v>
      </c>
      <c r="AP448" s="24">
        <v>0</v>
      </c>
      <c r="AQ448" s="24">
        <v>0</v>
      </c>
      <c r="AR448" s="24">
        <v>0</v>
      </c>
      <c r="AS448" s="24">
        <v>0</v>
      </c>
      <c r="AT448" s="24">
        <v>0</v>
      </c>
      <c r="AU448" s="24">
        <v>0</v>
      </c>
      <c r="AV448" s="24">
        <v>0</v>
      </c>
      <c r="AW448" s="24">
        <v>0</v>
      </c>
      <c r="AX448" s="24">
        <v>0</v>
      </c>
      <c r="AY448" s="24">
        <v>0</v>
      </c>
      <c r="BA448" s="24">
        <v>0</v>
      </c>
      <c r="BB448" s="24">
        <v>2533</v>
      </c>
      <c r="BC448" s="24">
        <v>2533</v>
      </c>
      <c r="BD448" s="24">
        <v>900</v>
      </c>
      <c r="BE448" s="24">
        <v>0</v>
      </c>
      <c r="BF448" s="24">
        <v>1</v>
      </c>
      <c r="BG448" s="25">
        <v>1</v>
      </c>
      <c r="BH448" s="24">
        <v>1</v>
      </c>
      <c r="BI448" s="24">
        <v>0</v>
      </c>
      <c r="BJ448" s="24">
        <v>0</v>
      </c>
      <c r="BK448" s="24">
        <v>0</v>
      </c>
      <c r="BL448" s="25">
        <v>126</v>
      </c>
      <c r="BM448" s="24">
        <v>0</v>
      </c>
      <c r="BO448" s="25">
        <v>16</v>
      </c>
      <c r="BP448" s="24">
        <v>8</v>
      </c>
      <c r="BQ448" s="24">
        <v>0</v>
      </c>
      <c r="BR448" s="24">
        <v>3</v>
      </c>
      <c r="BS448" s="24">
        <v>0</v>
      </c>
      <c r="BT448" s="24">
        <v>80</v>
      </c>
      <c r="BU448" s="24">
        <v>45</v>
      </c>
      <c r="BV448" s="24">
        <v>6</v>
      </c>
      <c r="BW448" s="24">
        <v>0</v>
      </c>
      <c r="BX448" s="24">
        <v>4</v>
      </c>
      <c r="BZ448" s="24">
        <v>60034</v>
      </c>
      <c r="CA448" s="24">
        <v>0</v>
      </c>
      <c r="CB448" s="24">
        <v>0</v>
      </c>
      <c r="CC448" s="24">
        <v>0</v>
      </c>
      <c r="CD448" s="24">
        <v>0</v>
      </c>
      <c r="CE448" s="24">
        <v>0</v>
      </c>
      <c r="CG448" s="24">
        <v>1</v>
      </c>
      <c r="CH448" s="24">
        <v>0</v>
      </c>
      <c r="CI448" s="24">
        <v>0</v>
      </c>
      <c r="CJ448" s="24">
        <v>0</v>
      </c>
      <c r="CK448" s="24">
        <v>1</v>
      </c>
      <c r="CL448" s="24">
        <v>1</v>
      </c>
      <c r="CM448" s="24">
        <v>0</v>
      </c>
      <c r="CN448" s="24">
        <v>200</v>
      </c>
      <c r="CO448" s="24">
        <v>1100</v>
      </c>
      <c r="CQ448" s="24">
        <v>0</v>
      </c>
      <c r="CR448" s="24">
        <v>0</v>
      </c>
      <c r="CS448" s="24">
        <v>0</v>
      </c>
      <c r="CT448" s="24">
        <v>500</v>
      </c>
      <c r="CV448" s="34">
        <v>5117</v>
      </c>
      <c r="CW448" s="34">
        <v>0</v>
      </c>
      <c r="CX448" s="24">
        <v>-1</v>
      </c>
      <c r="CY448" s="24">
        <v>1</v>
      </c>
      <c r="CZ448" s="24">
        <v>1</v>
      </c>
      <c r="DA448" s="26">
        <v>0</v>
      </c>
      <c r="DC448" s="24">
        <v>0</v>
      </c>
      <c r="DD448" s="24">
        <v>0</v>
      </c>
      <c r="DE448" s="24">
        <v>0</v>
      </c>
      <c r="DF448" s="24">
        <v>0</v>
      </c>
      <c r="DG448" s="24">
        <v>0</v>
      </c>
      <c r="DI448" s="24">
        <v>0</v>
      </c>
      <c r="DJ448" s="24">
        <v>0</v>
      </c>
      <c r="DL448" s="24">
        <v>0</v>
      </c>
      <c r="DM448" s="24">
        <v>0</v>
      </c>
      <c r="DO448" s="24">
        <v>0</v>
      </c>
      <c r="DP448" s="24">
        <v>0</v>
      </c>
      <c r="DQ448" s="24">
        <v>0</v>
      </c>
      <c r="DR448" s="24">
        <v>0</v>
      </c>
      <c r="DS448" s="24">
        <v>0</v>
      </c>
      <c r="DT448" s="24">
        <v>0</v>
      </c>
      <c r="DV448" s="24">
        <v>0</v>
      </c>
      <c r="DW448" s="24">
        <v>0</v>
      </c>
      <c r="DX448" s="24">
        <v>0</v>
      </c>
      <c r="DY448" s="24">
        <v>0</v>
      </c>
      <c r="DZ448" s="24">
        <v>0</v>
      </c>
    </row>
    <row r="449" spans="1:130">
      <c r="A449" s="24" t="s">
        <v>142</v>
      </c>
      <c r="B449" s="24" t="s">
        <v>142</v>
      </c>
      <c r="C449" s="24" t="s">
        <v>142</v>
      </c>
      <c r="D449" s="24" t="s">
        <v>142</v>
      </c>
      <c r="E449" s="24">
        <v>60035</v>
      </c>
      <c r="F449" s="24" t="s">
        <v>905</v>
      </c>
      <c r="G449" s="24">
        <v>0</v>
      </c>
      <c r="H449" s="24">
        <v>560035</v>
      </c>
      <c r="I449" s="24" t="s">
        <v>905</v>
      </c>
      <c r="J449" s="24" t="s">
        <v>905</v>
      </c>
      <c r="K449" s="24">
        <v>0</v>
      </c>
      <c r="M449" s="24">
        <v>102</v>
      </c>
      <c r="N449" s="24">
        <v>0</v>
      </c>
      <c r="P449" s="25">
        <v>2</v>
      </c>
      <c r="Q449" s="25">
        <v>655360</v>
      </c>
      <c r="R449" s="24">
        <v>0</v>
      </c>
      <c r="S449" s="25">
        <v>0</v>
      </c>
      <c r="T449" s="24"/>
      <c r="U449" s="24">
        <v>0</v>
      </c>
      <c r="V449" s="25">
        <v>0</v>
      </c>
      <c r="W449" s="24">
        <v>0</v>
      </c>
      <c r="X449" s="24">
        <v>0</v>
      </c>
      <c r="Y449" s="24">
        <v>0</v>
      </c>
      <c r="Z449" s="24">
        <v>0</v>
      </c>
      <c r="AB449" s="24">
        <v>10008</v>
      </c>
      <c r="AC449" s="24">
        <v>-1</v>
      </c>
      <c r="AD449" s="24">
        <v>-1</v>
      </c>
      <c r="AE449" s="24">
        <v>-1</v>
      </c>
      <c r="AG449" s="24">
        <v>1</v>
      </c>
      <c r="AH449" s="24">
        <v>0</v>
      </c>
      <c r="AI449" s="24">
        <v>0</v>
      </c>
      <c r="AJ449" s="24">
        <v>0</v>
      </c>
      <c r="AK449" s="24">
        <v>0</v>
      </c>
      <c r="AL449" s="24">
        <v>0</v>
      </c>
      <c r="AM449" s="24">
        <v>0</v>
      </c>
      <c r="AN449" s="24">
        <v>0</v>
      </c>
      <c r="AO449" s="24">
        <v>0</v>
      </c>
      <c r="AP449" s="24">
        <v>0</v>
      </c>
      <c r="AQ449" s="24">
        <v>0</v>
      </c>
      <c r="AR449" s="24">
        <v>0</v>
      </c>
      <c r="AS449" s="24">
        <v>0</v>
      </c>
      <c r="AT449" s="24">
        <v>0</v>
      </c>
      <c r="AU449" s="24">
        <v>0</v>
      </c>
      <c r="AV449" s="24">
        <v>0</v>
      </c>
      <c r="AW449" s="24">
        <v>0</v>
      </c>
      <c r="AX449" s="24">
        <v>0</v>
      </c>
      <c r="AY449" s="24">
        <v>0</v>
      </c>
      <c r="BA449" s="24">
        <v>0</v>
      </c>
      <c r="BB449" s="24">
        <v>2500</v>
      </c>
      <c r="BC449" s="24">
        <v>2500</v>
      </c>
      <c r="BD449" s="24">
        <v>900</v>
      </c>
      <c r="BE449" s="24">
        <v>0</v>
      </c>
      <c r="BF449" s="24">
        <v>1</v>
      </c>
      <c r="BG449" s="25">
        <v>1</v>
      </c>
      <c r="BH449" s="24">
        <v>1</v>
      </c>
      <c r="BI449" s="24">
        <v>0</v>
      </c>
      <c r="BJ449" s="24">
        <v>0</v>
      </c>
      <c r="BK449" s="24">
        <v>0</v>
      </c>
      <c r="BL449" s="25">
        <v>126</v>
      </c>
      <c r="BM449" s="24">
        <v>0</v>
      </c>
      <c r="BO449" s="25">
        <v>16</v>
      </c>
      <c r="BP449" s="24">
        <v>8</v>
      </c>
      <c r="BQ449" s="24">
        <v>0</v>
      </c>
      <c r="BR449" s="24">
        <v>3</v>
      </c>
      <c r="BS449" s="24">
        <v>0</v>
      </c>
      <c r="BT449" s="24">
        <v>80</v>
      </c>
      <c r="BU449" s="24">
        <v>45</v>
      </c>
      <c r="BV449" s="24">
        <v>6</v>
      </c>
      <c r="BW449" s="24">
        <v>0</v>
      </c>
      <c r="BX449" s="24">
        <v>4</v>
      </c>
      <c r="BZ449" s="24">
        <v>60034</v>
      </c>
      <c r="CA449" s="24">
        <v>0</v>
      </c>
      <c r="CB449" s="24">
        <v>0</v>
      </c>
      <c r="CC449" s="24">
        <v>0</v>
      </c>
      <c r="CD449" s="24">
        <v>0</v>
      </c>
      <c r="CE449" s="24">
        <v>0</v>
      </c>
      <c r="CG449" s="24">
        <v>1</v>
      </c>
      <c r="CH449" s="24">
        <v>0</v>
      </c>
      <c r="CI449" s="24">
        <v>0</v>
      </c>
      <c r="CJ449" s="24">
        <v>0</v>
      </c>
      <c r="CK449" s="24">
        <v>1</v>
      </c>
      <c r="CL449" s="24">
        <v>1</v>
      </c>
      <c r="CM449" s="24">
        <v>0</v>
      </c>
      <c r="CN449" s="24">
        <v>200</v>
      </c>
      <c r="CO449" s="24">
        <v>1100</v>
      </c>
      <c r="CQ449" s="24">
        <v>0</v>
      </c>
      <c r="CR449" s="24">
        <v>0</v>
      </c>
      <c r="CS449" s="24">
        <v>0</v>
      </c>
      <c r="CT449" s="24">
        <v>500</v>
      </c>
      <c r="CV449" s="34">
        <v>5118</v>
      </c>
      <c r="CW449" s="34">
        <v>0</v>
      </c>
      <c r="CX449" s="24">
        <v>-1</v>
      </c>
      <c r="CY449" s="24">
        <v>1</v>
      </c>
      <c r="CZ449" s="24">
        <v>1</v>
      </c>
      <c r="DA449" s="26">
        <v>0</v>
      </c>
      <c r="DC449" s="24">
        <v>0</v>
      </c>
      <c r="DD449" s="24">
        <v>0</v>
      </c>
      <c r="DE449" s="24">
        <v>0</v>
      </c>
      <c r="DF449" s="24">
        <v>0</v>
      </c>
      <c r="DG449" s="24">
        <v>0</v>
      </c>
      <c r="DI449" s="24">
        <v>0</v>
      </c>
      <c r="DJ449" s="24">
        <v>0</v>
      </c>
      <c r="DL449" s="24">
        <v>0</v>
      </c>
      <c r="DM449" s="24">
        <v>0</v>
      </c>
      <c r="DO449" s="24">
        <v>0</v>
      </c>
      <c r="DP449" s="24">
        <v>0</v>
      </c>
      <c r="DQ449" s="24">
        <v>0</v>
      </c>
      <c r="DR449" s="24">
        <v>0</v>
      </c>
      <c r="DS449" s="24">
        <v>0</v>
      </c>
      <c r="DT449" s="24">
        <v>0</v>
      </c>
      <c r="DV449" s="24">
        <v>0</v>
      </c>
      <c r="DW449" s="24">
        <v>0</v>
      </c>
      <c r="DX449" s="24">
        <v>0</v>
      </c>
      <c r="DY449" s="24">
        <v>0</v>
      </c>
      <c r="DZ449" s="24">
        <v>0</v>
      </c>
    </row>
    <row r="450" spans="1:130">
      <c r="A450" s="24" t="s">
        <v>142</v>
      </c>
      <c r="B450" s="24" t="s">
        <v>142</v>
      </c>
      <c r="C450" s="24" t="s">
        <v>142</v>
      </c>
      <c r="D450" s="24" t="s">
        <v>142</v>
      </c>
      <c r="E450" s="24">
        <v>60036</v>
      </c>
      <c r="F450" s="24" t="s">
        <v>906</v>
      </c>
      <c r="G450" s="24">
        <v>0</v>
      </c>
      <c r="H450" s="24">
        <v>560036</v>
      </c>
      <c r="I450" s="24" t="s">
        <v>906</v>
      </c>
      <c r="J450" s="24" t="s">
        <v>906</v>
      </c>
      <c r="K450" s="24">
        <v>0</v>
      </c>
      <c r="M450" s="24">
        <v>102</v>
      </c>
      <c r="N450" s="24">
        <v>0</v>
      </c>
      <c r="P450" s="25">
        <v>2</v>
      </c>
      <c r="Q450" s="25">
        <v>655360</v>
      </c>
      <c r="R450" s="24">
        <v>0</v>
      </c>
      <c r="S450" s="25">
        <v>0</v>
      </c>
      <c r="T450" s="24"/>
      <c r="U450" s="24">
        <v>0</v>
      </c>
      <c r="V450" s="25">
        <v>0</v>
      </c>
      <c r="W450" s="24">
        <v>0</v>
      </c>
      <c r="X450" s="24">
        <v>0</v>
      </c>
      <c r="Y450" s="24">
        <v>0</v>
      </c>
      <c r="Z450" s="24">
        <v>0</v>
      </c>
      <c r="AB450" s="24">
        <v>10008</v>
      </c>
      <c r="AC450" s="24">
        <v>-1</v>
      </c>
      <c r="AD450" s="24">
        <v>-1</v>
      </c>
      <c r="AE450" s="24">
        <v>-1</v>
      </c>
      <c r="AG450" s="24">
        <v>1</v>
      </c>
      <c r="AH450" s="24">
        <v>0</v>
      </c>
      <c r="AI450" s="24">
        <v>0</v>
      </c>
      <c r="AJ450" s="24">
        <v>0</v>
      </c>
      <c r="AK450" s="24">
        <v>0</v>
      </c>
      <c r="AL450" s="24">
        <v>0</v>
      </c>
      <c r="AM450" s="24">
        <v>0</v>
      </c>
      <c r="AN450" s="24">
        <v>0</v>
      </c>
      <c r="AO450" s="24">
        <v>0</v>
      </c>
      <c r="AP450" s="24">
        <v>0</v>
      </c>
      <c r="AQ450" s="24">
        <v>0</v>
      </c>
      <c r="AR450" s="24">
        <v>0</v>
      </c>
      <c r="AS450" s="24">
        <v>0</v>
      </c>
      <c r="AT450" s="24">
        <v>0</v>
      </c>
      <c r="AU450" s="24">
        <v>0</v>
      </c>
      <c r="AV450" s="24">
        <v>0</v>
      </c>
      <c r="AW450" s="24">
        <v>0</v>
      </c>
      <c r="AX450" s="24">
        <v>0</v>
      </c>
      <c r="AY450" s="24">
        <v>0</v>
      </c>
      <c r="BA450" s="24">
        <v>0</v>
      </c>
      <c r="BB450" s="24">
        <v>2233</v>
      </c>
      <c r="BC450" s="24">
        <v>2233</v>
      </c>
      <c r="BD450" s="24">
        <v>550</v>
      </c>
      <c r="BE450" s="24">
        <v>550</v>
      </c>
      <c r="BF450" s="24">
        <v>2</v>
      </c>
      <c r="BG450" s="25">
        <v>1</v>
      </c>
      <c r="BH450" s="24">
        <v>1</v>
      </c>
      <c r="BI450" s="24">
        <v>0</v>
      </c>
      <c r="BJ450" s="24">
        <v>0</v>
      </c>
      <c r="BK450" s="24">
        <v>0</v>
      </c>
      <c r="BL450" s="25">
        <v>126</v>
      </c>
      <c r="BM450" s="24">
        <v>0</v>
      </c>
      <c r="BO450" s="25">
        <v>16</v>
      </c>
      <c r="BP450" s="24">
        <v>8</v>
      </c>
      <c r="BQ450" s="24">
        <v>0</v>
      </c>
      <c r="BR450" s="24">
        <v>3</v>
      </c>
      <c r="BS450" s="24">
        <v>0</v>
      </c>
      <c r="BT450" s="24">
        <v>80</v>
      </c>
      <c r="BU450" s="24">
        <v>45</v>
      </c>
      <c r="BV450" s="24">
        <v>6</v>
      </c>
      <c r="BW450" s="24">
        <v>0</v>
      </c>
      <c r="BX450" s="24">
        <v>4</v>
      </c>
      <c r="BZ450" s="24">
        <v>60036</v>
      </c>
      <c r="CA450" s="24">
        <v>0</v>
      </c>
      <c r="CB450" s="24">
        <v>0</v>
      </c>
      <c r="CC450" s="24">
        <v>0</v>
      </c>
      <c r="CD450" s="24">
        <v>0</v>
      </c>
      <c r="CE450" s="24">
        <v>0</v>
      </c>
      <c r="CG450" s="24">
        <v>1</v>
      </c>
      <c r="CH450" s="24">
        <v>0</v>
      </c>
      <c r="CI450" s="24">
        <v>0</v>
      </c>
      <c r="CJ450" s="24">
        <v>0</v>
      </c>
      <c r="CK450" s="24">
        <v>1</v>
      </c>
      <c r="CL450" s="24">
        <v>1</v>
      </c>
      <c r="CM450" s="24">
        <v>0</v>
      </c>
      <c r="CN450" s="24">
        <v>200</v>
      </c>
      <c r="CO450" s="24">
        <v>1100</v>
      </c>
      <c r="CQ450" s="24">
        <v>0</v>
      </c>
      <c r="CR450" s="24">
        <v>0</v>
      </c>
      <c r="CS450" s="24">
        <v>0</v>
      </c>
      <c r="CT450" s="24">
        <v>500</v>
      </c>
      <c r="CV450" s="34">
        <v>5123</v>
      </c>
      <c r="CW450" s="34">
        <v>0</v>
      </c>
      <c r="CX450" s="24">
        <v>-1</v>
      </c>
      <c r="CY450" s="24">
        <v>1</v>
      </c>
      <c r="CZ450" s="24">
        <v>1</v>
      </c>
      <c r="DA450" s="26">
        <v>0</v>
      </c>
      <c r="DC450" s="24">
        <v>0</v>
      </c>
      <c r="DD450" s="24">
        <v>0</v>
      </c>
      <c r="DE450" s="24">
        <v>0</v>
      </c>
      <c r="DF450" s="24">
        <v>0</v>
      </c>
      <c r="DG450" s="24">
        <v>0</v>
      </c>
      <c r="DI450" s="24">
        <v>0</v>
      </c>
      <c r="DJ450" s="24">
        <v>0</v>
      </c>
      <c r="DL450" s="24">
        <v>0</v>
      </c>
      <c r="DM450" s="24">
        <v>0</v>
      </c>
      <c r="DO450" s="24">
        <v>0</v>
      </c>
      <c r="DP450" s="24">
        <v>0</v>
      </c>
      <c r="DQ450" s="24">
        <v>0</v>
      </c>
      <c r="DR450" s="24">
        <v>0</v>
      </c>
      <c r="DS450" s="24">
        <v>0</v>
      </c>
      <c r="DT450" s="24">
        <v>0</v>
      </c>
      <c r="DV450" s="24">
        <v>0</v>
      </c>
      <c r="DW450" s="24">
        <v>0</v>
      </c>
      <c r="DX450" s="24">
        <v>0</v>
      </c>
      <c r="DY450" s="24">
        <v>0</v>
      </c>
      <c r="DZ450" s="24">
        <v>0</v>
      </c>
    </row>
    <row r="451" spans="1:130">
      <c r="A451" s="24" t="s">
        <v>142</v>
      </c>
      <c r="B451" s="24" t="s">
        <v>142</v>
      </c>
      <c r="C451" s="24" t="s">
        <v>142</v>
      </c>
      <c r="D451" s="24" t="s">
        <v>142</v>
      </c>
      <c r="E451" s="24">
        <v>60101</v>
      </c>
      <c r="F451" s="24" t="s">
        <v>927</v>
      </c>
      <c r="G451" s="24">
        <v>0</v>
      </c>
      <c r="H451" s="24">
        <v>560101</v>
      </c>
      <c r="I451" s="24" t="s">
        <v>927</v>
      </c>
      <c r="J451" s="24" t="s">
        <v>927</v>
      </c>
      <c r="K451" s="24" t="s">
        <v>648</v>
      </c>
      <c r="M451" s="24">
        <v>102</v>
      </c>
      <c r="N451" s="24">
        <v>0</v>
      </c>
      <c r="P451" s="25">
        <v>2</v>
      </c>
      <c r="Q451" s="25">
        <v>655360</v>
      </c>
      <c r="R451" s="24">
        <v>0</v>
      </c>
      <c r="S451" s="25">
        <v>0</v>
      </c>
      <c r="T451" s="24"/>
      <c r="U451" s="24">
        <v>0</v>
      </c>
      <c r="V451" s="25">
        <v>0</v>
      </c>
      <c r="W451" s="24">
        <v>0</v>
      </c>
      <c r="X451" s="24">
        <v>0</v>
      </c>
      <c r="Y451" s="24">
        <v>0</v>
      </c>
      <c r="Z451" s="24">
        <v>0</v>
      </c>
      <c r="AB451" s="34">
        <v>10004</v>
      </c>
      <c r="AC451" s="34">
        <v>8</v>
      </c>
      <c r="AD451" s="34">
        <v>5</v>
      </c>
      <c r="AE451" s="34">
        <v>0</v>
      </c>
      <c r="AG451" s="24">
        <v>1</v>
      </c>
      <c r="AH451" s="24">
        <v>0</v>
      </c>
      <c r="AI451" s="24">
        <v>0</v>
      </c>
      <c r="AJ451" s="24">
        <v>0</v>
      </c>
      <c r="AK451" s="24">
        <v>0</v>
      </c>
      <c r="AL451" s="24">
        <v>1</v>
      </c>
      <c r="AM451" s="24">
        <v>0</v>
      </c>
      <c r="AN451" s="24">
        <v>0</v>
      </c>
      <c r="AO451" s="24">
        <v>0</v>
      </c>
      <c r="AP451" s="24">
        <v>1000</v>
      </c>
      <c r="AQ451" s="24">
        <v>8</v>
      </c>
      <c r="AR451" s="24">
        <v>0</v>
      </c>
      <c r="AS451" s="24">
        <v>0</v>
      </c>
      <c r="AT451" s="24">
        <v>0</v>
      </c>
      <c r="AU451" s="24">
        <v>0</v>
      </c>
      <c r="AV451" s="24">
        <v>0</v>
      </c>
      <c r="AW451" s="24">
        <v>0</v>
      </c>
      <c r="AX451" s="24">
        <v>0</v>
      </c>
      <c r="AY451" s="24">
        <v>0</v>
      </c>
      <c r="BA451" s="24">
        <v>0</v>
      </c>
      <c r="BB451" s="24">
        <v>2000</v>
      </c>
      <c r="BC451" s="24">
        <v>2000</v>
      </c>
      <c r="BD451" s="24">
        <v>200</v>
      </c>
      <c r="BE451" s="24">
        <v>200</v>
      </c>
      <c r="BF451" s="24">
        <v>1</v>
      </c>
      <c r="BG451" s="25">
        <v>17</v>
      </c>
      <c r="BH451" s="24">
        <v>1</v>
      </c>
      <c r="BI451" s="24">
        <v>0</v>
      </c>
      <c r="BJ451" s="24">
        <v>0</v>
      </c>
      <c r="BK451" s="24">
        <v>0</v>
      </c>
      <c r="BL451" s="25">
        <v>126</v>
      </c>
      <c r="BM451" s="24">
        <v>0</v>
      </c>
      <c r="BO451" s="25">
        <v>16</v>
      </c>
      <c r="BP451" s="24">
        <v>15</v>
      </c>
      <c r="BQ451" s="34">
        <v>0</v>
      </c>
      <c r="BR451" s="34">
        <v>5</v>
      </c>
      <c r="BS451" s="24">
        <v>15</v>
      </c>
      <c r="BT451" s="24">
        <v>20</v>
      </c>
      <c r="BU451" s="24">
        <v>10</v>
      </c>
      <c r="BV451" s="24">
        <v>6</v>
      </c>
      <c r="BW451" s="24">
        <v>0</v>
      </c>
      <c r="BX451" s="24">
        <v>1</v>
      </c>
      <c r="BZ451" s="24">
        <v>60101</v>
      </c>
      <c r="CA451" s="24">
        <v>0</v>
      </c>
      <c r="CB451" s="24">
        <v>0</v>
      </c>
      <c r="CC451" s="24">
        <v>0</v>
      </c>
      <c r="CD451" s="24">
        <v>0</v>
      </c>
      <c r="CE451" s="24">
        <v>0</v>
      </c>
      <c r="CG451" s="24">
        <v>0</v>
      </c>
      <c r="CH451" s="24">
        <v>0</v>
      </c>
      <c r="CI451" s="24">
        <v>0</v>
      </c>
      <c r="CJ451" s="24">
        <v>0</v>
      </c>
      <c r="CK451" s="24">
        <v>0</v>
      </c>
      <c r="CL451" s="24">
        <v>0</v>
      </c>
      <c r="CM451" s="24">
        <v>0</v>
      </c>
      <c r="CN451" s="24">
        <v>0</v>
      </c>
      <c r="CO451" s="24">
        <v>0</v>
      </c>
      <c r="CQ451" s="24">
        <v>8</v>
      </c>
      <c r="CR451" s="24">
        <v>0</v>
      </c>
      <c r="CS451" s="24">
        <v>0</v>
      </c>
      <c r="CT451" s="24">
        <v>0</v>
      </c>
      <c r="CV451" s="34">
        <v>5102</v>
      </c>
      <c r="CW451" s="34">
        <v>3</v>
      </c>
      <c r="CX451" s="24">
        <v>101</v>
      </c>
      <c r="CY451" s="24">
        <v>1</v>
      </c>
      <c r="CZ451" s="24">
        <v>2</v>
      </c>
      <c r="DA451" s="26">
        <v>23</v>
      </c>
      <c r="DC451" s="24">
        <v>2</v>
      </c>
      <c r="DD451" s="24">
        <v>1</v>
      </c>
      <c r="DE451" s="24">
        <v>0</v>
      </c>
      <c r="DF451" s="24">
        <v>0</v>
      </c>
      <c r="DG451" s="24">
        <v>-1</v>
      </c>
      <c r="DI451" s="24">
        <v>0</v>
      </c>
      <c r="DJ451" s="24">
        <v>0</v>
      </c>
      <c r="DL451" s="24">
        <v>0</v>
      </c>
      <c r="DM451" s="24">
        <v>0</v>
      </c>
      <c r="DO451" s="24">
        <v>0</v>
      </c>
      <c r="DP451" s="24">
        <v>0</v>
      </c>
      <c r="DQ451" s="24">
        <v>0</v>
      </c>
      <c r="DR451" s="24">
        <v>0</v>
      </c>
      <c r="DS451" s="24">
        <v>0</v>
      </c>
      <c r="DT451" s="24">
        <v>0</v>
      </c>
      <c r="DV451" s="24">
        <v>0</v>
      </c>
      <c r="DW451" s="24">
        <v>0</v>
      </c>
      <c r="DX451" s="24">
        <v>0</v>
      </c>
      <c r="DY451" s="24">
        <v>0</v>
      </c>
      <c r="DZ451" s="24">
        <v>0</v>
      </c>
    </row>
    <row r="452" spans="1:130">
      <c r="A452" s="24" t="s">
        <v>142</v>
      </c>
      <c r="B452" s="24" t="s">
        <v>142</v>
      </c>
      <c r="C452" s="24" t="s">
        <v>142</v>
      </c>
      <c r="D452" s="24" t="s">
        <v>142</v>
      </c>
      <c r="E452" s="24">
        <v>60102</v>
      </c>
      <c r="F452" s="24" t="s">
        <v>928</v>
      </c>
      <c r="G452" s="24">
        <v>0</v>
      </c>
      <c r="H452" s="24">
        <v>560102</v>
      </c>
      <c r="I452" s="24" t="s">
        <v>928</v>
      </c>
      <c r="J452" s="24" t="s">
        <v>928</v>
      </c>
      <c r="K452" s="24">
        <v>0</v>
      </c>
      <c r="M452" s="24">
        <v>102</v>
      </c>
      <c r="N452" s="24">
        <v>0</v>
      </c>
      <c r="P452" s="25">
        <v>2</v>
      </c>
      <c r="Q452" s="25">
        <v>17433600</v>
      </c>
      <c r="R452" s="24">
        <v>0</v>
      </c>
      <c r="S452" s="25">
        <v>0</v>
      </c>
      <c r="T452" s="24"/>
      <c r="U452" s="24">
        <v>0</v>
      </c>
      <c r="V452" s="25">
        <v>0</v>
      </c>
      <c r="W452" s="24">
        <v>0</v>
      </c>
      <c r="X452" s="24">
        <v>0</v>
      </c>
      <c r="Y452" s="24">
        <v>0</v>
      </c>
      <c r="Z452" s="24">
        <v>0</v>
      </c>
      <c r="AB452" s="24">
        <v>10001</v>
      </c>
      <c r="AC452" s="24">
        <v>-1</v>
      </c>
      <c r="AD452" s="24">
        <v>-1</v>
      </c>
      <c r="AE452" s="24">
        <v>-1</v>
      </c>
      <c r="AG452" s="24">
        <v>2</v>
      </c>
      <c r="AH452" s="24">
        <v>100014</v>
      </c>
      <c r="AI452" s="24">
        <v>0</v>
      </c>
      <c r="AJ452" s="24">
        <v>0</v>
      </c>
      <c r="AK452" s="24">
        <v>0</v>
      </c>
      <c r="AL452" s="24">
        <v>5</v>
      </c>
      <c r="AM452" s="24">
        <v>100</v>
      </c>
      <c r="AN452" s="24">
        <v>20</v>
      </c>
      <c r="AO452" s="24">
        <v>0</v>
      </c>
      <c r="AP452" s="24">
        <v>2000</v>
      </c>
      <c r="AQ452" s="24">
        <v>30</v>
      </c>
      <c r="AR452" s="24">
        <v>0</v>
      </c>
      <c r="AS452" s="24">
        <v>0</v>
      </c>
      <c r="AT452" s="24">
        <v>0</v>
      </c>
      <c r="AU452" s="24">
        <v>4017</v>
      </c>
      <c r="AV452" s="24">
        <v>4018</v>
      </c>
      <c r="AW452" s="24">
        <v>4018</v>
      </c>
      <c r="AX452" s="24">
        <v>6007</v>
      </c>
      <c r="AY452" s="24">
        <v>0</v>
      </c>
      <c r="BA452" s="24">
        <v>0</v>
      </c>
      <c r="BB452" s="24">
        <v>3000</v>
      </c>
      <c r="BC452" s="24">
        <v>3000</v>
      </c>
      <c r="BD452" s="24">
        <v>0</v>
      </c>
      <c r="BE452" s="24">
        <v>0</v>
      </c>
      <c r="BF452" s="24">
        <v>1</v>
      </c>
      <c r="BG452" s="25">
        <v>1</v>
      </c>
      <c r="BH452" s="24">
        <v>1</v>
      </c>
      <c r="BI452" s="24">
        <v>0</v>
      </c>
      <c r="BJ452" s="24">
        <v>0</v>
      </c>
      <c r="BK452" s="24">
        <v>0</v>
      </c>
      <c r="BL452" s="25">
        <v>126</v>
      </c>
      <c r="BM452" s="24">
        <v>0</v>
      </c>
      <c r="BO452" s="25">
        <v>8</v>
      </c>
      <c r="BP452" s="24">
        <v>100</v>
      </c>
      <c r="BQ452" s="24">
        <v>0</v>
      </c>
      <c r="BR452" s="24">
        <v>2</v>
      </c>
      <c r="BS452" s="24">
        <v>50</v>
      </c>
      <c r="BT452" s="24">
        <v>0</v>
      </c>
      <c r="BU452" s="24">
        <v>0</v>
      </c>
      <c r="BV452" s="24">
        <v>6</v>
      </c>
      <c r="BW452" s="24">
        <v>0</v>
      </c>
      <c r="BX452" s="24">
        <v>4</v>
      </c>
      <c r="BZ452" s="24">
        <v>60102</v>
      </c>
      <c r="CA452" s="24">
        <v>0</v>
      </c>
      <c r="CB452" s="24">
        <v>0</v>
      </c>
      <c r="CC452" s="24">
        <v>0</v>
      </c>
      <c r="CD452" s="24">
        <v>0</v>
      </c>
      <c r="CE452" s="24">
        <v>0</v>
      </c>
      <c r="CG452" s="24">
        <v>1</v>
      </c>
      <c r="CH452" s="24">
        <v>0</v>
      </c>
      <c r="CI452" s="24">
        <v>0</v>
      </c>
      <c r="CJ452" s="24">
        <v>1</v>
      </c>
      <c r="CK452" s="24">
        <v>1</v>
      </c>
      <c r="CL452" s="24">
        <v>1</v>
      </c>
      <c r="CM452" s="24">
        <v>0</v>
      </c>
      <c r="CN452" s="24">
        <v>200</v>
      </c>
      <c r="CO452" s="24">
        <v>1800</v>
      </c>
      <c r="CQ452" s="24">
        <v>0</v>
      </c>
      <c r="CR452" s="24">
        <v>0</v>
      </c>
      <c r="CS452" s="24">
        <v>0</v>
      </c>
      <c r="CT452" s="24">
        <v>0</v>
      </c>
      <c r="CV452" s="34">
        <v>5114</v>
      </c>
      <c r="CW452" s="34">
        <v>0</v>
      </c>
      <c r="CX452" s="24">
        <v>-1</v>
      </c>
      <c r="CY452" s="24">
        <v>1</v>
      </c>
      <c r="CZ452" s="24">
        <v>1</v>
      </c>
      <c r="DA452" s="26">
        <v>24</v>
      </c>
      <c r="DC452" s="24">
        <v>0</v>
      </c>
      <c r="DD452" s="24">
        <v>0</v>
      </c>
      <c r="DE452" s="24">
        <v>0</v>
      </c>
      <c r="DF452" s="24">
        <v>0</v>
      </c>
      <c r="DG452" s="24">
        <v>0</v>
      </c>
      <c r="DI452" s="24">
        <v>0</v>
      </c>
      <c r="DJ452" s="24">
        <v>0</v>
      </c>
      <c r="DL452" s="24">
        <v>0</v>
      </c>
      <c r="DM452" s="24">
        <v>0</v>
      </c>
      <c r="DO452" s="24">
        <v>0</v>
      </c>
      <c r="DP452" s="24">
        <v>0</v>
      </c>
      <c r="DQ452" s="24">
        <v>0</v>
      </c>
      <c r="DR452" s="24">
        <v>0</v>
      </c>
      <c r="DS452" s="24">
        <v>0</v>
      </c>
      <c r="DT452" s="24">
        <v>0</v>
      </c>
      <c r="DV452" s="24">
        <v>0</v>
      </c>
      <c r="DW452" s="24">
        <v>0</v>
      </c>
      <c r="DX452" s="24">
        <v>0</v>
      </c>
      <c r="DY452" s="24">
        <v>0</v>
      </c>
      <c r="DZ452" s="24">
        <v>0</v>
      </c>
    </row>
    <row r="453" spans="1:130">
      <c r="A453" s="24" t="s">
        <v>142</v>
      </c>
      <c r="B453" s="24" t="s">
        <v>142</v>
      </c>
      <c r="C453" s="24" t="s">
        <v>142</v>
      </c>
      <c r="D453" s="24" t="s">
        <v>142</v>
      </c>
      <c r="E453" s="24">
        <v>60103</v>
      </c>
      <c r="F453" s="24" t="s">
        <v>946</v>
      </c>
      <c r="G453" s="24">
        <v>0</v>
      </c>
      <c r="H453" s="24">
        <v>560103</v>
      </c>
      <c r="I453" s="24" t="s">
        <v>946</v>
      </c>
      <c r="J453" s="24" t="s">
        <v>946</v>
      </c>
      <c r="K453" s="24" t="s">
        <v>648</v>
      </c>
      <c r="M453" s="24">
        <v>102</v>
      </c>
      <c r="N453" s="24">
        <v>0</v>
      </c>
      <c r="P453" s="25">
        <v>2</v>
      </c>
      <c r="Q453" s="25">
        <v>655360</v>
      </c>
      <c r="R453" s="24">
        <v>0</v>
      </c>
      <c r="S453" s="25">
        <v>0</v>
      </c>
      <c r="T453" s="24"/>
      <c r="U453" s="24">
        <v>0</v>
      </c>
      <c r="V453" s="25">
        <v>0</v>
      </c>
      <c r="W453" s="24">
        <v>0</v>
      </c>
      <c r="X453" s="24">
        <v>0</v>
      </c>
      <c r="Y453" s="24">
        <v>0</v>
      </c>
      <c r="Z453" s="24">
        <v>0</v>
      </c>
      <c r="AB453" s="34">
        <v>10004</v>
      </c>
      <c r="AC453" s="34">
        <v>8</v>
      </c>
      <c r="AD453" s="34">
        <v>5</v>
      </c>
      <c r="AE453" s="34">
        <v>0</v>
      </c>
      <c r="AG453" s="24">
        <v>1</v>
      </c>
      <c r="AH453" s="24">
        <v>0</v>
      </c>
      <c r="AI453" s="24">
        <v>0</v>
      </c>
      <c r="AJ453" s="24">
        <v>0</v>
      </c>
      <c r="AK453" s="24">
        <v>0</v>
      </c>
      <c r="AL453" s="24">
        <v>1</v>
      </c>
      <c r="AM453" s="24">
        <v>0</v>
      </c>
      <c r="AN453" s="24">
        <v>0</v>
      </c>
      <c r="AO453" s="24">
        <v>0</v>
      </c>
      <c r="AP453" s="24">
        <v>1000</v>
      </c>
      <c r="AQ453" s="24">
        <v>8</v>
      </c>
      <c r="AR453" s="24">
        <v>0</v>
      </c>
      <c r="AS453" s="24">
        <v>0</v>
      </c>
      <c r="AT453" s="24">
        <v>0</v>
      </c>
      <c r="AU453" s="24">
        <v>0</v>
      </c>
      <c r="AV453" s="24">
        <v>0</v>
      </c>
      <c r="AW453" s="24">
        <v>0</v>
      </c>
      <c r="AX453" s="24">
        <v>0</v>
      </c>
      <c r="AY453" s="24">
        <v>0</v>
      </c>
      <c r="BA453" s="24">
        <v>0</v>
      </c>
      <c r="BB453" s="24">
        <v>2000</v>
      </c>
      <c r="BC453" s="24">
        <v>2000</v>
      </c>
      <c r="BD453" s="24">
        <v>200</v>
      </c>
      <c r="BE453" s="24">
        <v>0</v>
      </c>
      <c r="BF453" s="24">
        <v>1</v>
      </c>
      <c r="BG453" s="25">
        <v>17</v>
      </c>
      <c r="BH453" s="24">
        <v>1</v>
      </c>
      <c r="BI453" s="24">
        <v>0</v>
      </c>
      <c r="BJ453" s="24">
        <v>0</v>
      </c>
      <c r="BK453" s="24">
        <v>0</v>
      </c>
      <c r="BL453" s="25">
        <v>126</v>
      </c>
      <c r="BM453" s="24">
        <v>0</v>
      </c>
      <c r="BO453" s="25">
        <v>16</v>
      </c>
      <c r="BP453" s="24">
        <v>15</v>
      </c>
      <c r="BQ453" s="34">
        <v>0</v>
      </c>
      <c r="BR453" s="34">
        <v>5</v>
      </c>
      <c r="BS453" s="24">
        <v>15</v>
      </c>
      <c r="BT453" s="24">
        <v>20</v>
      </c>
      <c r="BU453" s="24">
        <v>10</v>
      </c>
      <c r="BV453" s="24">
        <v>6</v>
      </c>
      <c r="BW453" s="24">
        <v>0</v>
      </c>
      <c r="BX453" s="24">
        <v>1</v>
      </c>
      <c r="BZ453" s="24">
        <v>60103</v>
      </c>
      <c r="CA453" s="24">
        <v>0</v>
      </c>
      <c r="CB453" s="24">
        <v>0</v>
      </c>
      <c r="CC453" s="24">
        <v>0</v>
      </c>
      <c r="CD453" s="24">
        <v>0</v>
      </c>
      <c r="CE453" s="24">
        <v>0</v>
      </c>
      <c r="CG453" s="24">
        <v>0</v>
      </c>
      <c r="CH453" s="24">
        <v>0</v>
      </c>
      <c r="CI453" s="24">
        <v>0</v>
      </c>
      <c r="CJ453" s="24">
        <v>0</v>
      </c>
      <c r="CK453" s="24">
        <v>0</v>
      </c>
      <c r="CL453" s="24">
        <v>0</v>
      </c>
      <c r="CM453" s="24">
        <v>0</v>
      </c>
      <c r="CN453" s="24">
        <v>0</v>
      </c>
      <c r="CO453" s="24">
        <v>0</v>
      </c>
      <c r="CQ453" s="24">
        <v>8</v>
      </c>
      <c r="CR453" s="24">
        <v>0</v>
      </c>
      <c r="CS453" s="24">
        <v>0</v>
      </c>
      <c r="CT453" s="24">
        <v>0</v>
      </c>
      <c r="CV453" s="34">
        <v>5102</v>
      </c>
      <c r="CW453" s="34">
        <v>3</v>
      </c>
      <c r="CX453" s="24">
        <v>101</v>
      </c>
      <c r="CY453" s="24">
        <v>1</v>
      </c>
      <c r="CZ453" s="24">
        <v>2</v>
      </c>
      <c r="DA453" s="26">
        <v>23</v>
      </c>
      <c r="DC453" s="24">
        <v>2</v>
      </c>
      <c r="DD453" s="24">
        <v>1</v>
      </c>
      <c r="DE453" s="24">
        <v>0</v>
      </c>
      <c r="DF453" s="24">
        <v>0</v>
      </c>
      <c r="DG453" s="24">
        <v>-1</v>
      </c>
      <c r="DI453" s="24">
        <v>0</v>
      </c>
      <c r="DJ453" s="24">
        <v>0</v>
      </c>
      <c r="DL453" s="24">
        <v>0</v>
      </c>
      <c r="DM453" s="24">
        <v>0</v>
      </c>
      <c r="DO453" s="24">
        <v>0</v>
      </c>
      <c r="DP453" s="24">
        <v>0</v>
      </c>
      <c r="DQ453" s="24">
        <v>0</v>
      </c>
      <c r="DR453" s="24">
        <v>0</v>
      </c>
      <c r="DS453" s="24">
        <v>0</v>
      </c>
      <c r="DT453" s="24">
        <v>0</v>
      </c>
      <c r="DV453" s="24">
        <v>0</v>
      </c>
      <c r="DW453" s="24">
        <v>0</v>
      </c>
      <c r="DX453" s="24">
        <v>0</v>
      </c>
      <c r="DY453" s="24">
        <v>0</v>
      </c>
      <c r="DZ453" s="24">
        <v>0</v>
      </c>
    </row>
    <row r="454" spans="1:130">
      <c r="A454" s="24" t="s">
        <v>142</v>
      </c>
      <c r="B454" s="24" t="s">
        <v>142</v>
      </c>
      <c r="C454" s="24" t="s">
        <v>142</v>
      </c>
      <c r="D454" s="24" t="s">
        <v>142</v>
      </c>
      <c r="E454" s="24">
        <v>60104</v>
      </c>
      <c r="F454" s="24" t="s">
        <v>947</v>
      </c>
      <c r="G454" s="24">
        <v>0</v>
      </c>
      <c r="H454" s="24">
        <v>560104</v>
      </c>
      <c r="I454" s="24" t="s">
        <v>947</v>
      </c>
      <c r="J454" s="24" t="s">
        <v>947</v>
      </c>
      <c r="K454" s="24" t="s">
        <v>648</v>
      </c>
      <c r="M454" s="24">
        <v>102</v>
      </c>
      <c r="N454" s="24">
        <v>0</v>
      </c>
      <c r="P454" s="25">
        <v>2</v>
      </c>
      <c r="Q454" s="25">
        <v>655360</v>
      </c>
      <c r="R454" s="24">
        <v>0</v>
      </c>
      <c r="S454" s="25">
        <v>0</v>
      </c>
      <c r="T454" s="24"/>
      <c r="U454" s="24">
        <v>0</v>
      </c>
      <c r="V454" s="25">
        <v>0</v>
      </c>
      <c r="W454" s="24">
        <v>0</v>
      </c>
      <c r="X454" s="24">
        <v>0</v>
      </c>
      <c r="Y454" s="24">
        <v>0</v>
      </c>
      <c r="Z454" s="24">
        <v>0</v>
      </c>
      <c r="AB454" s="34">
        <v>10004</v>
      </c>
      <c r="AC454" s="34">
        <v>8</v>
      </c>
      <c r="AD454" s="34">
        <v>5</v>
      </c>
      <c r="AE454" s="34">
        <v>0</v>
      </c>
      <c r="AG454" s="24">
        <v>1</v>
      </c>
      <c r="AH454" s="24">
        <v>0</v>
      </c>
      <c r="AI454" s="24">
        <v>0</v>
      </c>
      <c r="AJ454" s="24">
        <v>0</v>
      </c>
      <c r="AK454" s="24">
        <v>0</v>
      </c>
      <c r="AL454" s="24">
        <v>1</v>
      </c>
      <c r="AM454" s="24">
        <v>0</v>
      </c>
      <c r="AN454" s="24">
        <v>0</v>
      </c>
      <c r="AO454" s="24">
        <v>0</v>
      </c>
      <c r="AP454" s="24">
        <v>1000</v>
      </c>
      <c r="AQ454" s="24">
        <v>8</v>
      </c>
      <c r="AR454" s="24">
        <v>0</v>
      </c>
      <c r="AS454" s="24">
        <v>0</v>
      </c>
      <c r="AT454" s="24">
        <v>0</v>
      </c>
      <c r="AU454" s="24">
        <v>0</v>
      </c>
      <c r="AV454" s="24">
        <v>0</v>
      </c>
      <c r="AW454" s="24">
        <v>0</v>
      </c>
      <c r="AX454" s="24">
        <v>0</v>
      </c>
      <c r="AY454" s="24">
        <v>0</v>
      </c>
      <c r="BA454" s="24">
        <v>0</v>
      </c>
      <c r="BB454" s="24">
        <v>2000</v>
      </c>
      <c r="BC454" s="24">
        <v>2000</v>
      </c>
      <c r="BD454" s="24">
        <v>200</v>
      </c>
      <c r="BE454" s="24">
        <v>0</v>
      </c>
      <c r="BF454" s="24">
        <v>1</v>
      </c>
      <c r="BG454" s="25">
        <v>17</v>
      </c>
      <c r="BH454" s="24">
        <v>1</v>
      </c>
      <c r="BI454" s="24">
        <v>0</v>
      </c>
      <c r="BJ454" s="24">
        <v>0</v>
      </c>
      <c r="BK454" s="24">
        <v>0</v>
      </c>
      <c r="BL454" s="25">
        <v>126</v>
      </c>
      <c r="BM454" s="24">
        <v>0</v>
      </c>
      <c r="BO454" s="25">
        <v>16</v>
      </c>
      <c r="BP454" s="24">
        <v>15</v>
      </c>
      <c r="BQ454" s="34">
        <v>0</v>
      </c>
      <c r="BR454" s="34">
        <v>5</v>
      </c>
      <c r="BS454" s="24">
        <v>15</v>
      </c>
      <c r="BT454" s="24">
        <v>20</v>
      </c>
      <c r="BU454" s="24">
        <v>10</v>
      </c>
      <c r="BV454" s="24">
        <v>6</v>
      </c>
      <c r="BW454" s="24">
        <v>0</v>
      </c>
      <c r="BX454" s="24">
        <v>1</v>
      </c>
      <c r="BZ454" s="24">
        <v>60104</v>
      </c>
      <c r="CA454" s="24">
        <v>0</v>
      </c>
      <c r="CB454" s="24">
        <v>0</v>
      </c>
      <c r="CC454" s="24">
        <v>0</v>
      </c>
      <c r="CD454" s="24">
        <v>0</v>
      </c>
      <c r="CE454" s="24">
        <v>0</v>
      </c>
      <c r="CG454" s="24">
        <v>0</v>
      </c>
      <c r="CH454" s="24">
        <v>0</v>
      </c>
      <c r="CI454" s="24">
        <v>0</v>
      </c>
      <c r="CJ454" s="24">
        <v>0</v>
      </c>
      <c r="CK454" s="24">
        <v>0</v>
      </c>
      <c r="CL454" s="24">
        <v>0</v>
      </c>
      <c r="CM454" s="24">
        <v>0</v>
      </c>
      <c r="CN454" s="24">
        <v>0</v>
      </c>
      <c r="CO454" s="24">
        <v>0</v>
      </c>
      <c r="CQ454" s="24">
        <v>8</v>
      </c>
      <c r="CR454" s="24">
        <v>0</v>
      </c>
      <c r="CS454" s="24">
        <v>0</v>
      </c>
      <c r="CT454" s="24">
        <v>0</v>
      </c>
      <c r="CV454" s="34">
        <v>5102</v>
      </c>
      <c r="CW454" s="34">
        <v>3</v>
      </c>
      <c r="CX454" s="24">
        <v>101</v>
      </c>
      <c r="CY454" s="24">
        <v>1</v>
      </c>
      <c r="CZ454" s="24">
        <v>2</v>
      </c>
      <c r="DA454" s="26">
        <v>23</v>
      </c>
      <c r="DC454" s="24">
        <v>2</v>
      </c>
      <c r="DD454" s="24">
        <v>1</v>
      </c>
      <c r="DE454" s="24">
        <v>0</v>
      </c>
      <c r="DF454" s="24">
        <v>0</v>
      </c>
      <c r="DG454" s="24">
        <v>-1</v>
      </c>
      <c r="DI454" s="24">
        <v>0</v>
      </c>
      <c r="DJ454" s="24">
        <v>0</v>
      </c>
      <c r="DL454" s="24">
        <v>0</v>
      </c>
      <c r="DM454" s="24">
        <v>0</v>
      </c>
      <c r="DO454" s="24">
        <v>0</v>
      </c>
      <c r="DP454" s="24">
        <v>0</v>
      </c>
      <c r="DQ454" s="24">
        <v>0</v>
      </c>
      <c r="DR454" s="24">
        <v>0</v>
      </c>
      <c r="DS454" s="24">
        <v>0</v>
      </c>
      <c r="DT454" s="24">
        <v>0</v>
      </c>
      <c r="DV454" s="24">
        <v>0</v>
      </c>
      <c r="DW454" s="24">
        <v>0</v>
      </c>
      <c r="DX454" s="24">
        <v>0</v>
      </c>
      <c r="DY454" s="24">
        <v>0</v>
      </c>
      <c r="DZ454" s="24">
        <v>0</v>
      </c>
    </row>
    <row r="455" spans="1:130">
      <c r="A455" s="24" t="s">
        <v>142</v>
      </c>
      <c r="B455" s="24" t="s">
        <v>142</v>
      </c>
      <c r="C455" s="24" t="s">
        <v>142</v>
      </c>
      <c r="D455" s="24" t="s">
        <v>142</v>
      </c>
      <c r="E455" s="24">
        <v>60105</v>
      </c>
      <c r="F455" s="24" t="s">
        <v>957</v>
      </c>
      <c r="G455" s="24">
        <v>0</v>
      </c>
      <c r="H455" s="24">
        <v>560105</v>
      </c>
      <c r="I455" s="24" t="s">
        <v>957</v>
      </c>
      <c r="J455" s="24" t="s">
        <v>957</v>
      </c>
      <c r="K455" s="24">
        <v>0</v>
      </c>
      <c r="M455" s="24">
        <v>102</v>
      </c>
      <c r="N455" s="24">
        <v>0</v>
      </c>
      <c r="P455" s="25">
        <v>2</v>
      </c>
      <c r="Q455" s="25">
        <v>655360</v>
      </c>
      <c r="R455" s="24">
        <v>0</v>
      </c>
      <c r="S455" s="25">
        <v>0</v>
      </c>
      <c r="T455" s="24"/>
      <c r="U455" s="24">
        <v>0</v>
      </c>
      <c r="V455" s="25">
        <v>0</v>
      </c>
      <c r="W455" s="24">
        <v>0</v>
      </c>
      <c r="X455" s="24">
        <v>0</v>
      </c>
      <c r="Y455" s="24">
        <v>0</v>
      </c>
      <c r="Z455" s="24">
        <v>0</v>
      </c>
      <c r="AB455" s="24">
        <v>10001</v>
      </c>
      <c r="AC455" s="24">
        <v>-1</v>
      </c>
      <c r="AD455" s="24">
        <v>-1</v>
      </c>
      <c r="AE455" s="24">
        <v>-1</v>
      </c>
      <c r="AG455" s="24">
        <v>1</v>
      </c>
      <c r="AH455" s="24">
        <v>0</v>
      </c>
      <c r="AI455" s="24">
        <v>0</v>
      </c>
      <c r="AJ455" s="24">
        <v>0</v>
      </c>
      <c r="AK455" s="24">
        <v>0</v>
      </c>
      <c r="AL455" s="24">
        <v>0</v>
      </c>
      <c r="AM455" s="24">
        <v>0</v>
      </c>
      <c r="AN455" s="24">
        <v>0</v>
      </c>
      <c r="AO455" s="24">
        <v>0</v>
      </c>
      <c r="AP455" s="24">
        <v>0</v>
      </c>
      <c r="AQ455" s="24">
        <v>0</v>
      </c>
      <c r="AR455" s="24">
        <v>0</v>
      </c>
      <c r="AS455" s="24">
        <v>0</v>
      </c>
      <c r="AT455" s="24">
        <v>0</v>
      </c>
      <c r="AU455" s="24">
        <v>0</v>
      </c>
      <c r="AV455" s="24">
        <v>0</v>
      </c>
      <c r="AW455" s="24">
        <v>0</v>
      </c>
      <c r="AX455" s="24">
        <v>0</v>
      </c>
      <c r="AY455" s="24">
        <v>0</v>
      </c>
      <c r="BA455" s="24">
        <v>0</v>
      </c>
      <c r="BB455" s="24">
        <v>700</v>
      </c>
      <c r="BC455" s="24">
        <v>700</v>
      </c>
      <c r="BD455" s="24">
        <v>0</v>
      </c>
      <c r="BE455" s="24">
        <v>0</v>
      </c>
      <c r="BF455" s="24">
        <v>0</v>
      </c>
      <c r="BG455" s="25">
        <v>1</v>
      </c>
      <c r="BH455" s="24">
        <v>1</v>
      </c>
      <c r="BI455" s="24">
        <v>0</v>
      </c>
      <c r="BJ455" s="24">
        <v>0</v>
      </c>
      <c r="BK455" s="24">
        <v>0</v>
      </c>
      <c r="BL455" s="25">
        <v>126</v>
      </c>
      <c r="BM455" s="24">
        <v>0</v>
      </c>
      <c r="BO455" s="25">
        <v>16</v>
      </c>
      <c r="BP455" s="24">
        <v>4</v>
      </c>
      <c r="BQ455" s="24">
        <v>0</v>
      </c>
      <c r="BR455" s="24">
        <v>1</v>
      </c>
      <c r="BS455" s="24">
        <v>0</v>
      </c>
      <c r="BT455" s="24">
        <v>0</v>
      </c>
      <c r="BU455" s="24">
        <v>0</v>
      </c>
      <c r="BV455" s="24">
        <v>6</v>
      </c>
      <c r="BW455" s="24">
        <v>0</v>
      </c>
      <c r="BX455" s="24">
        <v>1</v>
      </c>
      <c r="BZ455" s="24">
        <v>-1</v>
      </c>
      <c r="CA455" s="24">
        <v>0</v>
      </c>
      <c r="CB455" s="24">
        <v>0</v>
      </c>
      <c r="CC455" s="24">
        <v>0</v>
      </c>
      <c r="CD455" s="24">
        <v>0</v>
      </c>
      <c r="CE455" s="24">
        <v>0</v>
      </c>
      <c r="CG455" s="24">
        <v>-1</v>
      </c>
      <c r="CH455" s="24">
        <v>0</v>
      </c>
      <c r="CI455" s="24">
        <v>0</v>
      </c>
      <c r="CJ455" s="24">
        <v>0</v>
      </c>
      <c r="CK455" s="24">
        <v>0</v>
      </c>
      <c r="CL455" s="24">
        <v>0</v>
      </c>
      <c r="CM455" s="24">
        <v>0</v>
      </c>
      <c r="CN455" s="24">
        <v>0</v>
      </c>
      <c r="CO455" s="24">
        <v>0</v>
      </c>
      <c r="CQ455" s="24">
        <v>0</v>
      </c>
      <c r="CR455" s="24">
        <v>0</v>
      </c>
      <c r="CS455" s="24">
        <v>0</v>
      </c>
      <c r="CT455" s="24">
        <v>0</v>
      </c>
      <c r="CV455" s="34">
        <v>5115</v>
      </c>
      <c r="CW455" s="34">
        <v>0</v>
      </c>
      <c r="CX455" s="24">
        <v>-1</v>
      </c>
      <c r="CY455" s="24">
        <v>1</v>
      </c>
      <c r="CZ455" s="24">
        <v>1</v>
      </c>
      <c r="DA455" s="26">
        <v>0</v>
      </c>
      <c r="DC455" s="24">
        <v>0</v>
      </c>
      <c r="DD455" s="24">
        <v>0</v>
      </c>
      <c r="DE455" s="24">
        <v>0</v>
      </c>
      <c r="DF455" s="24">
        <v>0</v>
      </c>
      <c r="DG455" s="24">
        <v>0</v>
      </c>
      <c r="DI455" s="24">
        <v>0</v>
      </c>
      <c r="DJ455" s="24">
        <v>0</v>
      </c>
      <c r="DL455" s="24">
        <v>0</v>
      </c>
      <c r="DM455" s="24">
        <v>0</v>
      </c>
      <c r="DO455" s="24">
        <v>0</v>
      </c>
      <c r="DP455" s="24">
        <v>0</v>
      </c>
      <c r="DQ455" s="24">
        <v>0</v>
      </c>
      <c r="DR455" s="24">
        <v>0</v>
      </c>
      <c r="DS455" s="24">
        <v>0</v>
      </c>
      <c r="DT455" s="24">
        <v>0</v>
      </c>
      <c r="DV455" s="24">
        <v>0</v>
      </c>
      <c r="DW455" s="24">
        <v>0</v>
      </c>
      <c r="DX455" s="24">
        <v>0</v>
      </c>
      <c r="DY455" s="24">
        <v>0</v>
      </c>
      <c r="DZ455" s="24">
        <v>0</v>
      </c>
    </row>
    <row r="456" spans="1:130">
      <c r="A456" s="24" t="s">
        <v>142</v>
      </c>
      <c r="B456" s="24" t="s">
        <v>142</v>
      </c>
      <c r="C456" s="24" t="s">
        <v>142</v>
      </c>
      <c r="D456" s="24" t="s">
        <v>142</v>
      </c>
      <c r="E456" s="24">
        <v>60106</v>
      </c>
      <c r="F456" s="24" t="s">
        <v>958</v>
      </c>
      <c r="G456" s="24">
        <v>0</v>
      </c>
      <c r="H456" s="24">
        <v>560106</v>
      </c>
      <c r="I456" s="24" t="s">
        <v>958</v>
      </c>
      <c r="J456" s="24" t="s">
        <v>958</v>
      </c>
      <c r="K456" s="24">
        <v>0</v>
      </c>
      <c r="M456" s="24">
        <v>102</v>
      </c>
      <c r="N456" s="24">
        <v>0</v>
      </c>
      <c r="P456" s="25">
        <v>2</v>
      </c>
      <c r="Q456" s="25">
        <v>655360</v>
      </c>
      <c r="R456" s="24">
        <v>0</v>
      </c>
      <c r="S456" s="25">
        <v>0</v>
      </c>
      <c r="T456" s="24"/>
      <c r="U456" s="24">
        <v>0</v>
      </c>
      <c r="V456" s="25">
        <v>0</v>
      </c>
      <c r="W456" s="24">
        <v>0</v>
      </c>
      <c r="X456" s="24">
        <v>0</v>
      </c>
      <c r="Y456" s="24">
        <v>0</v>
      </c>
      <c r="Z456" s="24">
        <v>0</v>
      </c>
      <c r="AB456" s="24">
        <v>10001</v>
      </c>
      <c r="AC456" s="24">
        <v>-1</v>
      </c>
      <c r="AD456" s="24">
        <v>-1</v>
      </c>
      <c r="AE456" s="24">
        <v>-1</v>
      </c>
      <c r="AG456" s="24">
        <v>1</v>
      </c>
      <c r="AH456" s="24">
        <v>0</v>
      </c>
      <c r="AI456" s="24">
        <v>0</v>
      </c>
      <c r="AJ456" s="24">
        <v>0</v>
      </c>
      <c r="AK456" s="24">
        <v>0</v>
      </c>
      <c r="AL456" s="24">
        <v>0</v>
      </c>
      <c r="AM456" s="24">
        <v>0</v>
      </c>
      <c r="AN456" s="24">
        <v>0</v>
      </c>
      <c r="AO456" s="24">
        <v>0</v>
      </c>
      <c r="AP456" s="24">
        <v>0</v>
      </c>
      <c r="AQ456" s="24">
        <v>0</v>
      </c>
      <c r="AR456" s="24">
        <v>0</v>
      </c>
      <c r="AS456" s="24">
        <v>0</v>
      </c>
      <c r="AT456" s="24">
        <v>0</v>
      </c>
      <c r="AU456" s="24">
        <v>0</v>
      </c>
      <c r="AV456" s="24">
        <v>0</v>
      </c>
      <c r="AW456" s="24">
        <v>0</v>
      </c>
      <c r="AX456" s="24">
        <v>0</v>
      </c>
      <c r="AY456" s="24">
        <v>0</v>
      </c>
      <c r="BA456" s="24">
        <v>0</v>
      </c>
      <c r="BB456" s="24">
        <v>2666</v>
      </c>
      <c r="BC456" s="24">
        <v>2666</v>
      </c>
      <c r="BD456" s="24">
        <v>0</v>
      </c>
      <c r="BE456" s="24">
        <v>0</v>
      </c>
      <c r="BF456" s="24">
        <v>0</v>
      </c>
      <c r="BG456" s="25">
        <v>1</v>
      </c>
      <c r="BH456" s="24">
        <v>1</v>
      </c>
      <c r="BI456" s="24">
        <v>0</v>
      </c>
      <c r="BJ456" s="24">
        <v>0</v>
      </c>
      <c r="BK456" s="24">
        <v>0</v>
      </c>
      <c r="BL456" s="25">
        <v>126</v>
      </c>
      <c r="BM456" s="24">
        <v>0</v>
      </c>
      <c r="BO456" s="25">
        <v>16</v>
      </c>
      <c r="BP456" s="24">
        <v>4</v>
      </c>
      <c r="BQ456" s="24">
        <v>0</v>
      </c>
      <c r="BR456" s="24">
        <v>1</v>
      </c>
      <c r="BS456" s="24">
        <v>0</v>
      </c>
      <c r="BT456" s="24">
        <v>0</v>
      </c>
      <c r="BU456" s="24">
        <v>0</v>
      </c>
      <c r="BV456" s="24">
        <v>6</v>
      </c>
      <c r="BW456" s="24">
        <v>0</v>
      </c>
      <c r="BX456" s="24">
        <v>1</v>
      </c>
      <c r="BZ456" s="24">
        <v>-1</v>
      </c>
      <c r="CA456" s="24">
        <v>0</v>
      </c>
      <c r="CB456" s="24">
        <v>0</v>
      </c>
      <c r="CC456" s="24">
        <v>0</v>
      </c>
      <c r="CD456" s="24">
        <v>0</v>
      </c>
      <c r="CE456" s="24">
        <v>0</v>
      </c>
      <c r="CG456" s="24">
        <v>-1</v>
      </c>
      <c r="CH456" s="24">
        <v>0</v>
      </c>
      <c r="CI456" s="24">
        <v>0</v>
      </c>
      <c r="CJ456" s="24">
        <v>0</v>
      </c>
      <c r="CK456" s="24">
        <v>0</v>
      </c>
      <c r="CL456" s="24">
        <v>0</v>
      </c>
      <c r="CM456" s="24">
        <v>0</v>
      </c>
      <c r="CN456" s="24">
        <v>0</v>
      </c>
      <c r="CO456" s="24">
        <v>0</v>
      </c>
      <c r="CQ456" s="24">
        <v>0</v>
      </c>
      <c r="CR456" s="24">
        <v>0</v>
      </c>
      <c r="CS456" s="24">
        <v>0</v>
      </c>
      <c r="CT456" s="24">
        <v>0</v>
      </c>
      <c r="CV456" s="24">
        <v>5116</v>
      </c>
      <c r="CW456" s="24">
        <v>0</v>
      </c>
      <c r="CX456" s="24">
        <v>-1</v>
      </c>
      <c r="CY456" s="24">
        <v>1</v>
      </c>
      <c r="CZ456" s="24">
        <v>1</v>
      </c>
      <c r="DA456" s="26">
        <v>0</v>
      </c>
      <c r="DC456" s="24">
        <v>0</v>
      </c>
      <c r="DD456" s="24">
        <v>0</v>
      </c>
      <c r="DE456" s="24">
        <v>0</v>
      </c>
      <c r="DF456" s="24">
        <v>0</v>
      </c>
      <c r="DG456" s="24">
        <v>0</v>
      </c>
      <c r="DI456" s="24">
        <v>0</v>
      </c>
      <c r="DJ456" s="24">
        <v>0</v>
      </c>
      <c r="DL456" s="24">
        <v>0</v>
      </c>
      <c r="DM456" s="24">
        <v>0</v>
      </c>
      <c r="DO456" s="24">
        <v>0</v>
      </c>
      <c r="DP456" s="24">
        <v>0</v>
      </c>
      <c r="DQ456" s="24">
        <v>0</v>
      </c>
      <c r="DR456" s="24">
        <v>0</v>
      </c>
      <c r="DS456" s="24">
        <v>0</v>
      </c>
      <c r="DT456" s="24">
        <v>0</v>
      </c>
      <c r="DV456" s="24">
        <v>0</v>
      </c>
      <c r="DW456" s="24">
        <v>0</v>
      </c>
      <c r="DX456" s="24">
        <v>0</v>
      </c>
      <c r="DY456" s="24">
        <v>0</v>
      </c>
      <c r="DZ456" s="24">
        <v>0</v>
      </c>
    </row>
    <row r="457" spans="1:130">
      <c r="A457" s="24" t="s">
        <v>142</v>
      </c>
      <c r="B457" s="24" t="s">
        <v>142</v>
      </c>
      <c r="C457" s="24" t="s">
        <v>142</v>
      </c>
      <c r="D457" s="24" t="s">
        <v>142</v>
      </c>
      <c r="E457" s="24">
        <v>60107</v>
      </c>
      <c r="F457" s="24" t="s">
        <v>948</v>
      </c>
      <c r="G457" s="24">
        <v>0</v>
      </c>
      <c r="H457" s="24">
        <v>560107</v>
      </c>
      <c r="I457" s="24" t="s">
        <v>948</v>
      </c>
      <c r="J457" s="24" t="s">
        <v>948</v>
      </c>
      <c r="K457" s="24" t="s">
        <v>473</v>
      </c>
      <c r="M457" s="24">
        <v>0</v>
      </c>
      <c r="N457" s="24">
        <v>0</v>
      </c>
      <c r="P457" s="25">
        <v>12</v>
      </c>
      <c r="Q457" s="25">
        <v>0</v>
      </c>
      <c r="R457" s="24">
        <v>0</v>
      </c>
      <c r="S457" s="25">
        <v>0</v>
      </c>
      <c r="T457" s="24"/>
      <c r="U457" s="24">
        <v>3</v>
      </c>
      <c r="V457" s="25">
        <v>1026</v>
      </c>
      <c r="W457" s="24">
        <v>0</v>
      </c>
      <c r="X457" s="24">
        <v>60101</v>
      </c>
      <c r="Y457" s="24">
        <v>0</v>
      </c>
      <c r="Z457" s="24">
        <v>1000</v>
      </c>
      <c r="AB457" s="24">
        <v>30001</v>
      </c>
      <c r="AC457" s="24">
        <v>-1</v>
      </c>
      <c r="AD457" s="24">
        <v>-1</v>
      </c>
      <c r="AE457" s="24">
        <v>-1</v>
      </c>
      <c r="AG457" s="24">
        <v>1</v>
      </c>
      <c r="AH457" s="24">
        <v>0</v>
      </c>
      <c r="AI457" s="24">
        <v>0</v>
      </c>
      <c r="AJ457" s="24">
        <v>0</v>
      </c>
      <c r="AK457" s="24">
        <v>0</v>
      </c>
      <c r="AL457" s="24">
        <v>0</v>
      </c>
      <c r="AM457" s="24">
        <v>0</v>
      </c>
      <c r="AN457" s="24">
        <v>0</v>
      </c>
      <c r="AO457" s="24">
        <v>0</v>
      </c>
      <c r="AP457" s="24">
        <v>0</v>
      </c>
      <c r="AQ457" s="24">
        <v>0</v>
      </c>
      <c r="AR457" s="24">
        <v>0</v>
      </c>
      <c r="AS457" s="24">
        <v>0</v>
      </c>
      <c r="AT457" s="24">
        <v>0</v>
      </c>
      <c r="AU457" s="24">
        <v>0</v>
      </c>
      <c r="AV457" s="24">
        <v>0</v>
      </c>
      <c r="AW457" s="24">
        <v>0</v>
      </c>
      <c r="AX457" s="24">
        <v>0</v>
      </c>
      <c r="AY457" s="24">
        <v>0</v>
      </c>
      <c r="BA457" s="24">
        <v>0</v>
      </c>
      <c r="BB457" s="24">
        <v>2000</v>
      </c>
      <c r="BC457" s="24">
        <v>2000</v>
      </c>
      <c r="BD457" s="24">
        <v>200</v>
      </c>
      <c r="BE457" s="24">
        <v>0</v>
      </c>
      <c r="BF457" s="24">
        <v>1</v>
      </c>
      <c r="BG457" s="25">
        <v>1025</v>
      </c>
      <c r="BH457" s="24">
        <v>4</v>
      </c>
      <c r="BI457" s="24">
        <v>60107</v>
      </c>
      <c r="BJ457" s="24">
        <v>1</v>
      </c>
      <c r="BK457" s="24">
        <v>1</v>
      </c>
      <c r="BL457" s="25">
        <v>126</v>
      </c>
      <c r="BM457" s="24">
        <v>0</v>
      </c>
      <c r="BO457" s="25">
        <v>16</v>
      </c>
      <c r="BP457" s="24">
        <v>0</v>
      </c>
      <c r="BQ457" s="24">
        <v>0</v>
      </c>
      <c r="BR457" s="24">
        <v>5</v>
      </c>
      <c r="BS457" s="24">
        <v>15</v>
      </c>
      <c r="BT457" s="24">
        <v>20</v>
      </c>
      <c r="BU457" s="24">
        <v>10</v>
      </c>
      <c r="BV457" s="24">
        <v>0</v>
      </c>
      <c r="BW457" s="24">
        <v>0</v>
      </c>
      <c r="BX457" s="24">
        <v>1</v>
      </c>
      <c r="BZ457" s="24">
        <v>-1</v>
      </c>
      <c r="CA457" s="24">
        <v>0</v>
      </c>
      <c r="CB457" s="24">
        <v>0</v>
      </c>
      <c r="CC457" s="24">
        <v>0</v>
      </c>
      <c r="CD457" s="24">
        <v>0</v>
      </c>
      <c r="CE457" s="24">
        <v>0</v>
      </c>
      <c r="CG457" s="24">
        <v>0</v>
      </c>
      <c r="CH457" s="24">
        <v>0</v>
      </c>
      <c r="CI457" s="24">
        <v>0</v>
      </c>
      <c r="CJ457" s="24">
        <v>0</v>
      </c>
      <c r="CK457" s="24">
        <v>0</v>
      </c>
      <c r="CL457" s="24">
        <v>0</v>
      </c>
      <c r="CM457" s="24">
        <v>0</v>
      </c>
      <c r="CN457" s="24">
        <v>0</v>
      </c>
      <c r="CO457" s="24">
        <v>0</v>
      </c>
      <c r="CQ457" s="24">
        <v>0</v>
      </c>
      <c r="CR457" s="24">
        <v>0</v>
      </c>
      <c r="CS457" s="24">
        <v>0</v>
      </c>
      <c r="CT457" s="24">
        <v>0</v>
      </c>
      <c r="CV457" s="24">
        <v>0</v>
      </c>
      <c r="CW457" s="24">
        <v>0</v>
      </c>
      <c r="CX457" s="24">
        <v>-1</v>
      </c>
      <c r="CY457" s="24">
        <v>0</v>
      </c>
      <c r="CZ457" s="24">
        <v>0</v>
      </c>
      <c r="DA457" s="26">
        <v>0</v>
      </c>
      <c r="DC457" s="24">
        <v>1</v>
      </c>
      <c r="DD457" s="24">
        <v>1</v>
      </c>
      <c r="DE457" s="24">
        <v>0</v>
      </c>
      <c r="DF457" s="24">
        <v>0</v>
      </c>
      <c r="DG457" s="24">
        <v>-1</v>
      </c>
      <c r="DI457" s="24">
        <v>0</v>
      </c>
      <c r="DJ457" s="24">
        <v>0</v>
      </c>
      <c r="DL457" s="24">
        <v>0</v>
      </c>
      <c r="DM457" s="24">
        <v>0</v>
      </c>
      <c r="DO457" s="24">
        <v>0</v>
      </c>
      <c r="DP457" s="24">
        <v>0</v>
      </c>
      <c r="DQ457" s="24">
        <v>0</v>
      </c>
      <c r="DR457" s="24">
        <v>0</v>
      </c>
      <c r="DS457" s="24">
        <v>0</v>
      </c>
      <c r="DT457" s="24">
        <v>0</v>
      </c>
      <c r="DV457" s="24">
        <v>0</v>
      </c>
      <c r="DW457" s="24">
        <v>0</v>
      </c>
      <c r="DX457" s="24">
        <v>0</v>
      </c>
      <c r="DY457" s="24">
        <v>0</v>
      </c>
      <c r="DZ457" s="24">
        <v>0</v>
      </c>
    </row>
    <row r="458" spans="1:130">
      <c r="A458" s="24" t="s">
        <v>142</v>
      </c>
      <c r="B458" s="24" t="s">
        <v>142</v>
      </c>
      <c r="C458" s="24" t="s">
        <v>142</v>
      </c>
      <c r="D458" s="24" t="s">
        <v>142</v>
      </c>
      <c r="E458" s="24">
        <v>60108</v>
      </c>
      <c r="F458" s="24" t="s">
        <v>949</v>
      </c>
      <c r="G458" s="24">
        <v>0</v>
      </c>
      <c r="H458" s="24">
        <v>560108</v>
      </c>
      <c r="I458" s="24" t="s">
        <v>949</v>
      </c>
      <c r="J458" s="24" t="s">
        <v>949</v>
      </c>
      <c r="K458" s="24" t="s">
        <v>473</v>
      </c>
      <c r="M458" s="24">
        <v>0</v>
      </c>
      <c r="N458" s="24">
        <v>0</v>
      </c>
      <c r="P458" s="25">
        <v>12</v>
      </c>
      <c r="Q458" s="25">
        <v>0</v>
      </c>
      <c r="R458" s="24">
        <v>0</v>
      </c>
      <c r="S458" s="25">
        <v>0</v>
      </c>
      <c r="T458" s="24"/>
      <c r="U458" s="24">
        <v>3</v>
      </c>
      <c r="V458" s="25">
        <v>1026</v>
      </c>
      <c r="W458" s="24">
        <v>0</v>
      </c>
      <c r="X458" s="24">
        <v>60103</v>
      </c>
      <c r="Y458" s="24">
        <v>0</v>
      </c>
      <c r="Z458" s="24">
        <v>1000</v>
      </c>
      <c r="AB458" s="24">
        <v>30001</v>
      </c>
      <c r="AC458" s="24">
        <v>-1</v>
      </c>
      <c r="AD458" s="24">
        <v>-1</v>
      </c>
      <c r="AE458" s="24">
        <v>-1</v>
      </c>
      <c r="AG458" s="24">
        <v>1</v>
      </c>
      <c r="AH458" s="24">
        <v>0</v>
      </c>
      <c r="AI458" s="24">
        <v>0</v>
      </c>
      <c r="AJ458" s="24">
        <v>0</v>
      </c>
      <c r="AK458" s="24">
        <v>0</v>
      </c>
      <c r="AL458" s="24">
        <v>0</v>
      </c>
      <c r="AM458" s="24">
        <v>0</v>
      </c>
      <c r="AN458" s="24">
        <v>0</v>
      </c>
      <c r="AO458" s="24">
        <v>0</v>
      </c>
      <c r="AP458" s="24">
        <v>0</v>
      </c>
      <c r="AQ458" s="24">
        <v>0</v>
      </c>
      <c r="AR458" s="24">
        <v>0</v>
      </c>
      <c r="AS458" s="24">
        <v>0</v>
      </c>
      <c r="AT458" s="24">
        <v>0</v>
      </c>
      <c r="AU458" s="24">
        <v>0</v>
      </c>
      <c r="AV458" s="24">
        <v>0</v>
      </c>
      <c r="AW458" s="24">
        <v>0</v>
      </c>
      <c r="AX458" s="24">
        <v>0</v>
      </c>
      <c r="AY458" s="24">
        <v>0</v>
      </c>
      <c r="BA458" s="24">
        <v>0</v>
      </c>
      <c r="BB458" s="24">
        <v>2000</v>
      </c>
      <c r="BC458" s="24">
        <v>2000</v>
      </c>
      <c r="BD458" s="24">
        <v>200</v>
      </c>
      <c r="BE458" s="24">
        <v>0</v>
      </c>
      <c r="BF458" s="24">
        <v>1</v>
      </c>
      <c r="BG458" s="25">
        <v>1025</v>
      </c>
      <c r="BH458" s="24">
        <v>4</v>
      </c>
      <c r="BI458" s="24">
        <v>60108</v>
      </c>
      <c r="BJ458" s="24">
        <v>1</v>
      </c>
      <c r="BK458" s="24">
        <v>1</v>
      </c>
      <c r="BL458" s="25">
        <v>126</v>
      </c>
      <c r="BM458" s="24">
        <v>0</v>
      </c>
      <c r="BO458" s="25">
        <v>16</v>
      </c>
      <c r="BP458" s="24">
        <v>0</v>
      </c>
      <c r="BQ458" s="24">
        <v>0</v>
      </c>
      <c r="BR458" s="24">
        <v>5</v>
      </c>
      <c r="BS458" s="24">
        <v>15</v>
      </c>
      <c r="BT458" s="24">
        <v>20</v>
      </c>
      <c r="BU458" s="24">
        <v>10</v>
      </c>
      <c r="BV458" s="24">
        <v>0</v>
      </c>
      <c r="BW458" s="24">
        <v>0</v>
      </c>
      <c r="BX458" s="24">
        <v>1</v>
      </c>
      <c r="BZ458" s="24">
        <v>-1</v>
      </c>
      <c r="CA458" s="24">
        <v>0</v>
      </c>
      <c r="CB458" s="24">
        <v>0</v>
      </c>
      <c r="CC458" s="24">
        <v>0</v>
      </c>
      <c r="CD458" s="24">
        <v>0</v>
      </c>
      <c r="CE458" s="24">
        <v>0</v>
      </c>
      <c r="CG458" s="24">
        <v>0</v>
      </c>
      <c r="CH458" s="24">
        <v>0</v>
      </c>
      <c r="CI458" s="24">
        <v>0</v>
      </c>
      <c r="CJ458" s="24">
        <v>0</v>
      </c>
      <c r="CK458" s="24">
        <v>0</v>
      </c>
      <c r="CL458" s="24">
        <v>0</v>
      </c>
      <c r="CM458" s="24">
        <v>0</v>
      </c>
      <c r="CN458" s="24">
        <v>0</v>
      </c>
      <c r="CO458" s="24">
        <v>0</v>
      </c>
      <c r="CQ458" s="24">
        <v>0</v>
      </c>
      <c r="CR458" s="24">
        <v>0</v>
      </c>
      <c r="CS458" s="24">
        <v>0</v>
      </c>
      <c r="CT458" s="24">
        <v>0</v>
      </c>
      <c r="CV458" s="24">
        <v>0</v>
      </c>
      <c r="CW458" s="24">
        <v>0</v>
      </c>
      <c r="CX458" s="24">
        <v>-1</v>
      </c>
      <c r="CY458" s="24">
        <v>0</v>
      </c>
      <c r="CZ458" s="24">
        <v>0</v>
      </c>
      <c r="DA458" s="26">
        <v>0</v>
      </c>
      <c r="DC458" s="24">
        <v>1</v>
      </c>
      <c r="DD458" s="24">
        <v>1</v>
      </c>
      <c r="DE458" s="24">
        <v>0</v>
      </c>
      <c r="DF458" s="24">
        <v>0</v>
      </c>
      <c r="DG458" s="24">
        <v>-1</v>
      </c>
      <c r="DI458" s="24">
        <v>0</v>
      </c>
      <c r="DJ458" s="24">
        <v>0</v>
      </c>
      <c r="DL458" s="24">
        <v>0</v>
      </c>
      <c r="DM458" s="24">
        <v>0</v>
      </c>
      <c r="DO458" s="24">
        <v>0</v>
      </c>
      <c r="DP458" s="24">
        <v>0</v>
      </c>
      <c r="DQ458" s="24">
        <v>0</v>
      </c>
      <c r="DR458" s="24">
        <v>0</v>
      </c>
      <c r="DS458" s="24">
        <v>0</v>
      </c>
      <c r="DT458" s="24">
        <v>0</v>
      </c>
      <c r="DV458" s="24">
        <v>0</v>
      </c>
      <c r="DW458" s="24">
        <v>0</v>
      </c>
      <c r="DX458" s="24">
        <v>0</v>
      </c>
      <c r="DY458" s="24">
        <v>0</v>
      </c>
      <c r="DZ458" s="24">
        <v>0</v>
      </c>
    </row>
    <row r="459" spans="1:130">
      <c r="A459" s="24" t="s">
        <v>142</v>
      </c>
      <c r="B459" s="24" t="s">
        <v>142</v>
      </c>
      <c r="C459" s="24" t="s">
        <v>142</v>
      </c>
      <c r="D459" s="24" t="s">
        <v>142</v>
      </c>
      <c r="E459" s="24">
        <v>60109</v>
      </c>
      <c r="F459" s="24" t="s">
        <v>950</v>
      </c>
      <c r="G459" s="24">
        <v>0</v>
      </c>
      <c r="H459" s="24">
        <v>560109</v>
      </c>
      <c r="I459" s="24" t="s">
        <v>950</v>
      </c>
      <c r="J459" s="24" t="s">
        <v>950</v>
      </c>
      <c r="K459" s="24" t="s">
        <v>473</v>
      </c>
      <c r="M459" s="24">
        <v>0</v>
      </c>
      <c r="N459" s="24">
        <v>0</v>
      </c>
      <c r="P459" s="25">
        <v>12</v>
      </c>
      <c r="Q459" s="25">
        <v>0</v>
      </c>
      <c r="R459" s="24">
        <v>0</v>
      </c>
      <c r="S459" s="25">
        <v>0</v>
      </c>
      <c r="T459" s="24"/>
      <c r="U459" s="24">
        <v>3</v>
      </c>
      <c r="V459" s="25">
        <v>1026</v>
      </c>
      <c r="W459" s="24">
        <v>0</v>
      </c>
      <c r="X459" s="24">
        <v>60101</v>
      </c>
      <c r="Y459" s="24">
        <v>0</v>
      </c>
      <c r="Z459" s="24">
        <v>1000</v>
      </c>
      <c r="AB459" s="24">
        <v>30001</v>
      </c>
      <c r="AC459" s="24">
        <v>-1</v>
      </c>
      <c r="AD459" s="24">
        <v>-1</v>
      </c>
      <c r="AE459" s="24">
        <v>-1</v>
      </c>
      <c r="AG459" s="24">
        <v>1</v>
      </c>
      <c r="AH459" s="24">
        <v>0</v>
      </c>
      <c r="AI459" s="24">
        <v>0</v>
      </c>
      <c r="AJ459" s="24">
        <v>0</v>
      </c>
      <c r="AK459" s="24">
        <v>0</v>
      </c>
      <c r="AL459" s="24">
        <v>0</v>
      </c>
      <c r="AM459" s="24">
        <v>0</v>
      </c>
      <c r="AN459" s="24">
        <v>0</v>
      </c>
      <c r="AO459" s="24">
        <v>0</v>
      </c>
      <c r="AP459" s="24">
        <v>0</v>
      </c>
      <c r="AQ459" s="24">
        <v>0</v>
      </c>
      <c r="AR459" s="24">
        <v>0</v>
      </c>
      <c r="AS459" s="24">
        <v>0</v>
      </c>
      <c r="AT459" s="24">
        <v>0</v>
      </c>
      <c r="AU459" s="24">
        <v>0</v>
      </c>
      <c r="AV459" s="24">
        <v>0</v>
      </c>
      <c r="AW459" s="24">
        <v>0</v>
      </c>
      <c r="AX459" s="24">
        <v>0</v>
      </c>
      <c r="AY459" s="24">
        <v>0</v>
      </c>
      <c r="BA459" s="24">
        <v>0</v>
      </c>
      <c r="BB459" s="24">
        <v>2000</v>
      </c>
      <c r="BC459" s="24">
        <v>2000</v>
      </c>
      <c r="BD459" s="24">
        <v>200</v>
      </c>
      <c r="BE459" s="24">
        <v>0</v>
      </c>
      <c r="BF459" s="24">
        <v>1</v>
      </c>
      <c r="BG459" s="25">
        <v>1025</v>
      </c>
      <c r="BH459" s="24">
        <v>4</v>
      </c>
      <c r="BI459" s="24">
        <v>60109</v>
      </c>
      <c r="BJ459" s="24">
        <v>1</v>
      </c>
      <c r="BK459" s="24">
        <v>1</v>
      </c>
      <c r="BL459" s="25">
        <v>126</v>
      </c>
      <c r="BM459" s="24">
        <v>0</v>
      </c>
      <c r="BO459" s="25">
        <v>1</v>
      </c>
      <c r="BP459" s="24">
        <v>0</v>
      </c>
      <c r="BQ459" s="24">
        <v>0</v>
      </c>
      <c r="BR459" s="24">
        <v>5</v>
      </c>
      <c r="BS459" s="24">
        <v>15</v>
      </c>
      <c r="BT459" s="24">
        <v>20</v>
      </c>
      <c r="BU459" s="24">
        <v>10</v>
      </c>
      <c r="BV459" s="24">
        <v>0</v>
      </c>
      <c r="BW459" s="24">
        <v>0</v>
      </c>
      <c r="BX459" s="24">
        <v>1</v>
      </c>
      <c r="BZ459" s="24">
        <v>-1</v>
      </c>
      <c r="CA459" s="24">
        <v>0</v>
      </c>
      <c r="CB459" s="24">
        <v>0</v>
      </c>
      <c r="CC459" s="24">
        <v>0</v>
      </c>
      <c r="CD459" s="24">
        <v>0</v>
      </c>
      <c r="CE459" s="24">
        <v>0</v>
      </c>
      <c r="CG459" s="24">
        <v>0</v>
      </c>
      <c r="CH459" s="24">
        <v>0</v>
      </c>
      <c r="CI459" s="24">
        <v>0</v>
      </c>
      <c r="CJ459" s="24">
        <v>0</v>
      </c>
      <c r="CK459" s="24">
        <v>0</v>
      </c>
      <c r="CL459" s="24">
        <v>0</v>
      </c>
      <c r="CM459" s="24">
        <v>0</v>
      </c>
      <c r="CN459" s="24">
        <v>0</v>
      </c>
      <c r="CO459" s="24">
        <v>0</v>
      </c>
      <c r="CQ459" s="24">
        <v>0</v>
      </c>
      <c r="CR459" s="24">
        <v>0</v>
      </c>
      <c r="CS459" s="24">
        <v>0</v>
      </c>
      <c r="CT459" s="24">
        <v>0</v>
      </c>
      <c r="CV459" s="24">
        <v>0</v>
      </c>
      <c r="CW459" s="24">
        <v>0</v>
      </c>
      <c r="CX459" s="24">
        <v>-1</v>
      </c>
      <c r="CY459" s="24">
        <v>0</v>
      </c>
      <c r="CZ459" s="24">
        <v>0</v>
      </c>
      <c r="DA459" s="26">
        <v>0</v>
      </c>
      <c r="DC459" s="24">
        <v>1</v>
      </c>
      <c r="DD459" s="24">
        <v>1</v>
      </c>
      <c r="DE459" s="24">
        <v>0</v>
      </c>
      <c r="DF459" s="24">
        <v>0</v>
      </c>
      <c r="DG459" s="24">
        <v>-1</v>
      </c>
      <c r="DI459" s="24">
        <v>0</v>
      </c>
      <c r="DJ459" s="24">
        <v>0</v>
      </c>
      <c r="DL459" s="24">
        <v>0</v>
      </c>
      <c r="DM459" s="24">
        <v>0</v>
      </c>
      <c r="DO459" s="24">
        <v>0</v>
      </c>
      <c r="DP459" s="24">
        <v>0</v>
      </c>
      <c r="DQ459" s="24">
        <v>0</v>
      </c>
      <c r="DR459" s="24">
        <v>0</v>
      </c>
      <c r="DS459" s="24">
        <v>0</v>
      </c>
      <c r="DT459" s="24">
        <v>0</v>
      </c>
      <c r="DV459" s="24">
        <v>0</v>
      </c>
      <c r="DW459" s="24">
        <v>0</v>
      </c>
      <c r="DX459" s="24">
        <v>0</v>
      </c>
      <c r="DY459" s="24">
        <v>0</v>
      </c>
      <c r="DZ459" s="24">
        <v>0</v>
      </c>
    </row>
    <row r="460" spans="1:130">
      <c r="A460" s="24" t="s">
        <v>142</v>
      </c>
      <c r="B460" s="24" t="s">
        <v>142</v>
      </c>
      <c r="C460" s="24" t="s">
        <v>142</v>
      </c>
      <c r="D460" s="24" t="s">
        <v>142</v>
      </c>
      <c r="E460" s="24">
        <v>60110</v>
      </c>
      <c r="F460" s="24" t="s">
        <v>951</v>
      </c>
      <c r="G460" s="24">
        <v>0</v>
      </c>
      <c r="H460" s="24">
        <v>560110</v>
      </c>
      <c r="I460" s="24" t="s">
        <v>951</v>
      </c>
      <c r="J460" s="24" t="s">
        <v>951</v>
      </c>
      <c r="K460" s="24" t="s">
        <v>473</v>
      </c>
      <c r="M460" s="24">
        <v>0</v>
      </c>
      <c r="N460" s="24">
        <v>0</v>
      </c>
      <c r="P460" s="25">
        <v>12</v>
      </c>
      <c r="Q460" s="25">
        <v>0</v>
      </c>
      <c r="R460" s="24">
        <v>0</v>
      </c>
      <c r="S460" s="25">
        <v>0</v>
      </c>
      <c r="T460" s="24"/>
      <c r="U460" s="24">
        <v>3</v>
      </c>
      <c r="V460" s="25">
        <v>1026</v>
      </c>
      <c r="W460" s="24">
        <v>0</v>
      </c>
      <c r="X460" s="24">
        <v>60103</v>
      </c>
      <c r="Y460" s="24">
        <v>0</v>
      </c>
      <c r="Z460" s="24">
        <v>1000</v>
      </c>
      <c r="AB460" s="24">
        <v>30001</v>
      </c>
      <c r="AC460" s="24">
        <v>-1</v>
      </c>
      <c r="AD460" s="24">
        <v>-1</v>
      </c>
      <c r="AE460" s="24">
        <v>-1</v>
      </c>
      <c r="AG460" s="24">
        <v>1</v>
      </c>
      <c r="AH460" s="24">
        <v>0</v>
      </c>
      <c r="AI460" s="24">
        <v>0</v>
      </c>
      <c r="AJ460" s="24">
        <v>0</v>
      </c>
      <c r="AK460" s="24">
        <v>0</v>
      </c>
      <c r="AL460" s="24">
        <v>0</v>
      </c>
      <c r="AM460" s="24">
        <v>0</v>
      </c>
      <c r="AN460" s="24">
        <v>0</v>
      </c>
      <c r="AO460" s="24">
        <v>0</v>
      </c>
      <c r="AP460" s="24">
        <v>0</v>
      </c>
      <c r="AQ460" s="24">
        <v>0</v>
      </c>
      <c r="AR460" s="24">
        <v>0</v>
      </c>
      <c r="AS460" s="24">
        <v>0</v>
      </c>
      <c r="AT460" s="24">
        <v>0</v>
      </c>
      <c r="AU460" s="24">
        <v>0</v>
      </c>
      <c r="AV460" s="24">
        <v>0</v>
      </c>
      <c r="AW460" s="24">
        <v>0</v>
      </c>
      <c r="AX460" s="24">
        <v>0</v>
      </c>
      <c r="AY460" s="24">
        <v>0</v>
      </c>
      <c r="BA460" s="24">
        <v>0</v>
      </c>
      <c r="BB460" s="24">
        <v>2000</v>
      </c>
      <c r="BC460" s="24">
        <v>2000</v>
      </c>
      <c r="BD460" s="24">
        <v>200</v>
      </c>
      <c r="BE460" s="24">
        <v>0</v>
      </c>
      <c r="BF460" s="24">
        <v>1</v>
      </c>
      <c r="BG460" s="25">
        <v>1025</v>
      </c>
      <c r="BH460" s="24">
        <v>4</v>
      </c>
      <c r="BI460" s="24">
        <v>60110</v>
      </c>
      <c r="BJ460" s="24">
        <v>1</v>
      </c>
      <c r="BK460" s="24">
        <v>1</v>
      </c>
      <c r="BL460" s="25">
        <v>126</v>
      </c>
      <c r="BM460" s="24">
        <v>0</v>
      </c>
      <c r="BO460" s="25">
        <v>1</v>
      </c>
      <c r="BP460" s="24">
        <v>0</v>
      </c>
      <c r="BQ460" s="24">
        <v>0</v>
      </c>
      <c r="BR460" s="24">
        <v>5</v>
      </c>
      <c r="BS460" s="24">
        <v>15</v>
      </c>
      <c r="BT460" s="24">
        <v>20</v>
      </c>
      <c r="BU460" s="24">
        <v>10</v>
      </c>
      <c r="BV460" s="24">
        <v>0</v>
      </c>
      <c r="BW460" s="24">
        <v>0</v>
      </c>
      <c r="BX460" s="24">
        <v>1</v>
      </c>
      <c r="BZ460" s="24">
        <v>-1</v>
      </c>
      <c r="CA460" s="24">
        <v>0</v>
      </c>
      <c r="CB460" s="24">
        <v>0</v>
      </c>
      <c r="CC460" s="24">
        <v>0</v>
      </c>
      <c r="CD460" s="24">
        <v>0</v>
      </c>
      <c r="CE460" s="24">
        <v>0</v>
      </c>
      <c r="CG460" s="24">
        <v>0</v>
      </c>
      <c r="CH460" s="24">
        <v>0</v>
      </c>
      <c r="CI460" s="24">
        <v>0</v>
      </c>
      <c r="CJ460" s="24">
        <v>0</v>
      </c>
      <c r="CK460" s="24">
        <v>0</v>
      </c>
      <c r="CL460" s="24">
        <v>0</v>
      </c>
      <c r="CM460" s="24">
        <v>0</v>
      </c>
      <c r="CN460" s="24">
        <v>0</v>
      </c>
      <c r="CO460" s="24">
        <v>0</v>
      </c>
      <c r="CQ460" s="24">
        <v>0</v>
      </c>
      <c r="CR460" s="24">
        <v>0</v>
      </c>
      <c r="CS460" s="24">
        <v>0</v>
      </c>
      <c r="CT460" s="24">
        <v>0</v>
      </c>
      <c r="CV460" s="24">
        <v>0</v>
      </c>
      <c r="CW460" s="24">
        <v>0</v>
      </c>
      <c r="CX460" s="24">
        <v>-1</v>
      </c>
      <c r="CY460" s="24">
        <v>0</v>
      </c>
      <c r="CZ460" s="24">
        <v>0</v>
      </c>
      <c r="DA460" s="26">
        <v>0</v>
      </c>
      <c r="DC460" s="24">
        <v>1</v>
      </c>
      <c r="DD460" s="24">
        <v>1</v>
      </c>
      <c r="DE460" s="24">
        <v>0</v>
      </c>
      <c r="DF460" s="24">
        <v>0</v>
      </c>
      <c r="DG460" s="24">
        <v>-1</v>
      </c>
      <c r="DI460" s="24">
        <v>0</v>
      </c>
      <c r="DJ460" s="24">
        <v>0</v>
      </c>
      <c r="DL460" s="24">
        <v>0</v>
      </c>
      <c r="DM460" s="24">
        <v>0</v>
      </c>
      <c r="DO460" s="24">
        <v>0</v>
      </c>
      <c r="DP460" s="24">
        <v>0</v>
      </c>
      <c r="DQ460" s="24">
        <v>0</v>
      </c>
      <c r="DR460" s="24">
        <v>0</v>
      </c>
      <c r="DS460" s="24">
        <v>0</v>
      </c>
      <c r="DT460" s="24">
        <v>0</v>
      </c>
      <c r="DV460" s="24">
        <v>0</v>
      </c>
      <c r="DW460" s="24">
        <v>0</v>
      </c>
      <c r="DX460" s="24">
        <v>0</v>
      </c>
      <c r="DY460" s="24">
        <v>0</v>
      </c>
      <c r="DZ460" s="24">
        <v>0</v>
      </c>
    </row>
    <row r="461" spans="1:130">
      <c r="A461" s="24" t="s">
        <v>142</v>
      </c>
      <c r="B461" s="24" t="s">
        <v>142</v>
      </c>
      <c r="C461" s="24" t="s">
        <v>142</v>
      </c>
      <c r="D461" s="24" t="s">
        <v>142</v>
      </c>
      <c r="E461" s="24">
        <v>60111</v>
      </c>
      <c r="F461" s="24" t="s">
        <v>1003</v>
      </c>
      <c r="G461" s="24">
        <v>0</v>
      </c>
      <c r="H461" s="24">
        <v>560111</v>
      </c>
      <c r="I461" s="24" t="s">
        <v>432</v>
      </c>
      <c r="J461" s="24" t="s">
        <v>1003</v>
      </c>
      <c r="K461" s="24">
        <v>0</v>
      </c>
      <c r="M461" s="24">
        <v>102</v>
      </c>
      <c r="N461" s="24">
        <v>0</v>
      </c>
      <c r="P461" s="25">
        <v>2</v>
      </c>
      <c r="Q461" s="25">
        <v>2097408</v>
      </c>
      <c r="R461" s="24">
        <v>0</v>
      </c>
      <c r="S461" s="25">
        <v>0</v>
      </c>
      <c r="T461" s="24"/>
      <c r="U461" s="24">
        <v>0</v>
      </c>
      <c r="V461" s="25">
        <v>0</v>
      </c>
      <c r="W461" s="24">
        <v>0</v>
      </c>
      <c r="X461" s="24">
        <v>0</v>
      </c>
      <c r="Y461" s="24">
        <v>0</v>
      </c>
      <c r="Z461" s="24">
        <v>0</v>
      </c>
      <c r="AB461" s="24">
        <v>10001</v>
      </c>
      <c r="AC461" s="24">
        <v>-1</v>
      </c>
      <c r="AD461" s="24">
        <v>-1</v>
      </c>
      <c r="AE461" s="24">
        <v>-1</v>
      </c>
      <c r="AG461" s="24">
        <v>1</v>
      </c>
      <c r="AH461" s="24">
        <v>0</v>
      </c>
      <c r="AI461" s="24">
        <v>0</v>
      </c>
      <c r="AJ461" s="24">
        <v>0</v>
      </c>
      <c r="AK461" s="24">
        <v>0</v>
      </c>
      <c r="AL461" s="24">
        <v>0</v>
      </c>
      <c r="AM461" s="24">
        <v>0</v>
      </c>
      <c r="AN461" s="24">
        <v>0</v>
      </c>
      <c r="AO461" s="24">
        <v>0</v>
      </c>
      <c r="AP461" s="24">
        <v>0</v>
      </c>
      <c r="AQ461" s="24">
        <v>0</v>
      </c>
      <c r="AR461" s="24">
        <v>0</v>
      </c>
      <c r="AS461" s="24">
        <v>0</v>
      </c>
      <c r="AT461" s="24">
        <v>0</v>
      </c>
      <c r="AU461" s="24">
        <v>0</v>
      </c>
      <c r="AV461" s="24">
        <v>0</v>
      </c>
      <c r="AW461" s="24">
        <v>0</v>
      </c>
      <c r="AX461" s="24">
        <v>0</v>
      </c>
      <c r="AY461" s="24">
        <v>0</v>
      </c>
      <c r="BA461" s="24">
        <v>0</v>
      </c>
      <c r="BB461" s="24">
        <v>10000</v>
      </c>
      <c r="BC461" s="24">
        <v>10000</v>
      </c>
      <c r="BD461" s="24">
        <v>0</v>
      </c>
      <c r="BE461" s="24">
        <v>1600</v>
      </c>
      <c r="BF461" s="24">
        <v>1</v>
      </c>
      <c r="BG461" s="25">
        <v>512</v>
      </c>
      <c r="BH461" s="24">
        <v>3</v>
      </c>
      <c r="BI461" s="24">
        <v>0</v>
      </c>
      <c r="BJ461" s="24">
        <v>0</v>
      </c>
      <c r="BK461" s="24">
        <v>0</v>
      </c>
      <c r="BL461" s="25">
        <v>126</v>
      </c>
      <c r="BM461" s="24">
        <v>0</v>
      </c>
      <c r="BO461" s="25">
        <v>1</v>
      </c>
      <c r="BP461" s="24">
        <v>100</v>
      </c>
      <c r="BQ461" s="24">
        <v>0</v>
      </c>
      <c r="BR461" s="24">
        <v>1</v>
      </c>
      <c r="BS461" s="24">
        <v>0</v>
      </c>
      <c r="BT461" s="24">
        <v>0</v>
      </c>
      <c r="BU461" s="24">
        <v>0</v>
      </c>
      <c r="BV461" s="24">
        <v>0</v>
      </c>
      <c r="BW461" s="24">
        <v>0</v>
      </c>
      <c r="BX461" s="24">
        <v>0</v>
      </c>
      <c r="BZ461" s="24">
        <v>-1</v>
      </c>
      <c r="CA461" s="24">
        <v>0</v>
      </c>
      <c r="CB461" s="24">
        <v>0</v>
      </c>
      <c r="CC461" s="24">
        <v>0</v>
      </c>
      <c r="CD461" s="24">
        <v>0</v>
      </c>
      <c r="CE461" s="24">
        <v>0</v>
      </c>
      <c r="CG461" s="24">
        <v>-1</v>
      </c>
      <c r="CH461" s="24">
        <v>0</v>
      </c>
      <c r="CI461" s="24">
        <v>0</v>
      </c>
      <c r="CJ461" s="24">
        <v>0</v>
      </c>
      <c r="CK461" s="24">
        <v>0</v>
      </c>
      <c r="CL461" s="24">
        <v>0</v>
      </c>
      <c r="CM461" s="24">
        <v>0</v>
      </c>
      <c r="CN461" s="24">
        <v>0</v>
      </c>
      <c r="CO461" s="24">
        <v>0</v>
      </c>
      <c r="CQ461" s="24">
        <v>0</v>
      </c>
      <c r="CR461" s="24">
        <v>0</v>
      </c>
      <c r="CS461" s="24">
        <v>0</v>
      </c>
      <c r="CT461" s="24">
        <v>0</v>
      </c>
      <c r="CV461" s="24">
        <v>5203</v>
      </c>
      <c r="CW461" s="24">
        <v>0</v>
      </c>
      <c r="CX461" s="24">
        <v>-1</v>
      </c>
      <c r="CY461" s="24">
        <v>0</v>
      </c>
      <c r="CZ461" s="24">
        <v>10</v>
      </c>
      <c r="DA461" s="26">
        <v>0</v>
      </c>
      <c r="DC461" s="24">
        <v>1</v>
      </c>
      <c r="DD461" s="24">
        <v>1</v>
      </c>
      <c r="DE461" s="24">
        <v>0</v>
      </c>
      <c r="DF461" s="24">
        <v>0</v>
      </c>
      <c r="DG461" s="24">
        <v>-1</v>
      </c>
      <c r="DI461" s="24">
        <v>0</v>
      </c>
      <c r="DJ461" s="24">
        <v>0</v>
      </c>
      <c r="DL461" s="24">
        <v>0</v>
      </c>
      <c r="DM461" s="24">
        <v>0</v>
      </c>
      <c r="DO461" s="24">
        <v>0</v>
      </c>
      <c r="DP461" s="24">
        <v>0</v>
      </c>
      <c r="DQ461" s="24">
        <v>0</v>
      </c>
      <c r="DR461" s="24">
        <v>0</v>
      </c>
      <c r="DS461" s="24">
        <v>0</v>
      </c>
      <c r="DT461" s="24">
        <v>0</v>
      </c>
      <c r="DV461" s="24">
        <v>0</v>
      </c>
      <c r="DW461" s="24">
        <v>0</v>
      </c>
      <c r="DX461" s="24">
        <v>0</v>
      </c>
      <c r="DY461" s="24">
        <v>0</v>
      </c>
      <c r="DZ461" s="24">
        <v>0</v>
      </c>
    </row>
    <row r="462" spans="1:130">
      <c r="A462" s="24" t="s">
        <v>142</v>
      </c>
      <c r="B462" s="24" t="s">
        <v>142</v>
      </c>
      <c r="C462" s="24" t="s">
        <v>142</v>
      </c>
      <c r="D462" s="24" t="s">
        <v>142</v>
      </c>
      <c r="E462" s="24">
        <v>60112</v>
      </c>
      <c r="F462" s="24" t="s">
        <v>1115</v>
      </c>
      <c r="G462" s="24">
        <v>0</v>
      </c>
      <c r="H462" s="24">
        <v>560112</v>
      </c>
      <c r="I462" s="24" t="s">
        <v>1115</v>
      </c>
      <c r="J462" s="24" t="s">
        <v>1115</v>
      </c>
      <c r="K462" s="24">
        <v>0</v>
      </c>
      <c r="M462" s="24">
        <v>102</v>
      </c>
      <c r="N462" s="24">
        <v>0</v>
      </c>
      <c r="P462" s="25">
        <v>2</v>
      </c>
      <c r="Q462" s="25">
        <v>655360</v>
      </c>
      <c r="R462" s="24">
        <v>0</v>
      </c>
      <c r="S462" s="25">
        <v>0</v>
      </c>
      <c r="T462" s="24"/>
      <c r="U462" s="24">
        <v>0</v>
      </c>
      <c r="V462" s="25">
        <v>0</v>
      </c>
      <c r="W462" s="24">
        <v>0</v>
      </c>
      <c r="X462" s="24">
        <v>0</v>
      </c>
      <c r="Y462" s="24">
        <v>0</v>
      </c>
      <c r="Z462" s="24">
        <v>0</v>
      </c>
      <c r="AB462" s="24">
        <v>10001</v>
      </c>
      <c r="AC462" s="24">
        <v>-1</v>
      </c>
      <c r="AD462" s="24">
        <v>-1</v>
      </c>
      <c r="AE462" s="24">
        <v>-1</v>
      </c>
      <c r="AG462" s="24">
        <v>1</v>
      </c>
      <c r="AH462" s="24">
        <v>0</v>
      </c>
      <c r="AI462" s="24">
        <v>0</v>
      </c>
      <c r="AJ462" s="24">
        <v>0</v>
      </c>
      <c r="AK462" s="24">
        <v>0</v>
      </c>
      <c r="AL462" s="24">
        <v>0</v>
      </c>
      <c r="AM462" s="24">
        <v>0</v>
      </c>
      <c r="AN462" s="24">
        <v>0</v>
      </c>
      <c r="AO462" s="24">
        <v>0</v>
      </c>
      <c r="AP462" s="24">
        <v>0</v>
      </c>
      <c r="AQ462" s="24">
        <v>0</v>
      </c>
      <c r="AR462" s="24">
        <v>0</v>
      </c>
      <c r="AS462" s="24">
        <v>0</v>
      </c>
      <c r="AT462" s="24">
        <v>0</v>
      </c>
      <c r="AU462" s="24">
        <v>0</v>
      </c>
      <c r="AV462" s="24">
        <v>0</v>
      </c>
      <c r="AW462" s="24">
        <v>0</v>
      </c>
      <c r="AX462" s="24">
        <v>0</v>
      </c>
      <c r="AY462" s="24">
        <v>0</v>
      </c>
      <c r="BA462" s="24">
        <v>0</v>
      </c>
      <c r="BB462" s="24">
        <v>2000</v>
      </c>
      <c r="BC462" s="24">
        <v>2000</v>
      </c>
      <c r="BD462" s="24">
        <v>0</v>
      </c>
      <c r="BE462" s="24">
        <v>0</v>
      </c>
      <c r="BF462" s="24">
        <v>0</v>
      </c>
      <c r="BG462" s="25">
        <v>1</v>
      </c>
      <c r="BH462" s="24">
        <v>1</v>
      </c>
      <c r="BI462" s="24">
        <v>0</v>
      </c>
      <c r="BJ462" s="24">
        <v>0</v>
      </c>
      <c r="BK462" s="24">
        <v>0</v>
      </c>
      <c r="BL462" s="25">
        <v>126</v>
      </c>
      <c r="BM462" s="24">
        <v>0</v>
      </c>
      <c r="BO462" s="25">
        <v>16</v>
      </c>
      <c r="BP462" s="24">
        <v>4</v>
      </c>
      <c r="BQ462" s="24">
        <v>0</v>
      </c>
      <c r="BR462" s="24">
        <v>1</v>
      </c>
      <c r="BS462" s="24">
        <v>0</v>
      </c>
      <c r="BT462" s="24">
        <v>0</v>
      </c>
      <c r="BU462" s="24">
        <v>0</v>
      </c>
      <c r="BV462" s="24">
        <v>6</v>
      </c>
      <c r="BW462" s="24">
        <v>0</v>
      </c>
      <c r="BX462" s="24">
        <v>1</v>
      </c>
      <c r="BZ462" s="24">
        <v>-1</v>
      </c>
      <c r="CA462" s="24">
        <v>0</v>
      </c>
      <c r="CB462" s="24">
        <v>0</v>
      </c>
      <c r="CC462" s="24">
        <v>0</v>
      </c>
      <c r="CD462" s="24">
        <v>0</v>
      </c>
      <c r="CE462" s="24">
        <v>0</v>
      </c>
      <c r="CG462" s="24">
        <v>-1</v>
      </c>
      <c r="CH462" s="24">
        <v>0</v>
      </c>
      <c r="CI462" s="24">
        <v>0</v>
      </c>
      <c r="CJ462" s="24">
        <v>0</v>
      </c>
      <c r="CK462" s="24">
        <v>0</v>
      </c>
      <c r="CL462" s="24">
        <v>0</v>
      </c>
      <c r="CM462" s="24">
        <v>0</v>
      </c>
      <c r="CN462" s="24">
        <v>0</v>
      </c>
      <c r="CO462" s="24">
        <v>0</v>
      </c>
      <c r="CQ462" s="24">
        <v>0</v>
      </c>
      <c r="CR462" s="24">
        <v>0</v>
      </c>
      <c r="CS462" s="24">
        <v>0</v>
      </c>
      <c r="CT462" s="24">
        <v>0</v>
      </c>
      <c r="CV462" s="24">
        <v>5202</v>
      </c>
      <c r="CW462" s="24">
        <v>0</v>
      </c>
      <c r="CX462" s="24">
        <v>-1</v>
      </c>
      <c r="CY462" s="24">
        <v>1</v>
      </c>
      <c r="CZ462" s="24">
        <v>1</v>
      </c>
      <c r="DA462" s="26">
        <v>0</v>
      </c>
      <c r="DC462" s="24">
        <v>0</v>
      </c>
      <c r="DD462" s="24">
        <v>0</v>
      </c>
      <c r="DE462" s="24">
        <v>0</v>
      </c>
      <c r="DF462" s="24">
        <v>0</v>
      </c>
      <c r="DG462" s="24">
        <v>0</v>
      </c>
      <c r="DI462" s="24">
        <v>0</v>
      </c>
      <c r="DJ462" s="24">
        <v>0</v>
      </c>
      <c r="DL462" s="24">
        <v>0</v>
      </c>
      <c r="DM462" s="24">
        <v>0</v>
      </c>
      <c r="DO462" s="24">
        <v>0</v>
      </c>
      <c r="DP462" s="24">
        <v>0</v>
      </c>
      <c r="DQ462" s="24">
        <v>0</v>
      </c>
      <c r="DR462" s="24">
        <v>0</v>
      </c>
      <c r="DS462" s="24">
        <v>0</v>
      </c>
      <c r="DT462" s="24">
        <v>0</v>
      </c>
      <c r="DV462" s="24">
        <v>0</v>
      </c>
      <c r="DW462" s="24">
        <v>0</v>
      </c>
      <c r="DX462" s="24">
        <v>0</v>
      </c>
      <c r="DY462" s="24">
        <v>0</v>
      </c>
      <c r="DZ462" s="24">
        <v>0</v>
      </c>
    </row>
    <row r="463" spans="1:130">
      <c r="A463" s="24" t="s">
        <v>142</v>
      </c>
      <c r="B463" s="24" t="s">
        <v>142</v>
      </c>
      <c r="C463" s="24" t="s">
        <v>142</v>
      </c>
      <c r="D463" s="24" t="s">
        <v>142</v>
      </c>
      <c r="E463" s="24">
        <v>60037</v>
      </c>
      <c r="F463" s="24" t="s">
        <v>956</v>
      </c>
      <c r="G463" s="24">
        <v>0</v>
      </c>
      <c r="H463" s="24">
        <v>560037</v>
      </c>
      <c r="I463" s="24" t="s">
        <v>956</v>
      </c>
      <c r="J463" s="24" t="s">
        <v>956</v>
      </c>
      <c r="K463" s="24">
        <v>0</v>
      </c>
      <c r="M463" s="24">
        <v>102</v>
      </c>
      <c r="N463" s="24">
        <v>0</v>
      </c>
      <c r="P463" s="25">
        <v>2</v>
      </c>
      <c r="Q463" s="25">
        <v>655360</v>
      </c>
      <c r="R463" s="24">
        <v>0</v>
      </c>
      <c r="S463" s="25">
        <v>0</v>
      </c>
      <c r="T463" s="24"/>
      <c r="U463" s="24">
        <v>0</v>
      </c>
      <c r="V463" s="25">
        <v>0</v>
      </c>
      <c r="W463" s="24">
        <v>0</v>
      </c>
      <c r="X463" s="24">
        <v>0</v>
      </c>
      <c r="Y463" s="24">
        <v>0</v>
      </c>
      <c r="Z463" s="24">
        <v>0</v>
      </c>
      <c r="AB463" s="24">
        <v>10001</v>
      </c>
      <c r="AC463" s="24">
        <v>-1</v>
      </c>
      <c r="AD463" s="24">
        <v>-1</v>
      </c>
      <c r="AE463" s="24">
        <v>-1</v>
      </c>
      <c r="AG463" s="24">
        <v>1</v>
      </c>
      <c r="AH463" s="24">
        <v>0</v>
      </c>
      <c r="AI463" s="24">
        <v>0</v>
      </c>
      <c r="AJ463" s="24">
        <v>0</v>
      </c>
      <c r="AK463" s="24">
        <v>0</v>
      </c>
      <c r="AL463" s="24">
        <v>0</v>
      </c>
      <c r="AM463" s="24">
        <v>0</v>
      </c>
      <c r="AN463" s="24">
        <v>0</v>
      </c>
      <c r="AO463" s="24">
        <v>0</v>
      </c>
      <c r="AP463" s="24">
        <v>0</v>
      </c>
      <c r="AQ463" s="24">
        <v>0</v>
      </c>
      <c r="AR463" s="24">
        <v>0</v>
      </c>
      <c r="AS463" s="24">
        <v>0</v>
      </c>
      <c r="AT463" s="24">
        <v>0</v>
      </c>
      <c r="AU463" s="24">
        <v>0</v>
      </c>
      <c r="AV463" s="24">
        <v>0</v>
      </c>
      <c r="AW463" s="24">
        <v>0</v>
      </c>
      <c r="AX463" s="24">
        <v>0</v>
      </c>
      <c r="AY463" s="24">
        <v>0</v>
      </c>
      <c r="BA463" s="24">
        <v>0</v>
      </c>
      <c r="BB463" s="24">
        <v>2467</v>
      </c>
      <c r="BC463" s="24">
        <v>2467</v>
      </c>
      <c r="BD463" s="24">
        <v>0</v>
      </c>
      <c r="BE463" s="24">
        <v>0</v>
      </c>
      <c r="BF463" s="24">
        <v>0</v>
      </c>
      <c r="BG463" s="25">
        <v>1</v>
      </c>
      <c r="BH463" s="24">
        <v>1</v>
      </c>
      <c r="BI463" s="24">
        <v>0</v>
      </c>
      <c r="BJ463" s="24">
        <v>0</v>
      </c>
      <c r="BK463" s="24">
        <v>0</v>
      </c>
      <c r="BL463" s="25">
        <v>126</v>
      </c>
      <c r="BM463" s="24">
        <v>0</v>
      </c>
      <c r="BO463" s="25">
        <v>16</v>
      </c>
      <c r="BP463" s="24">
        <v>4</v>
      </c>
      <c r="BQ463" s="24">
        <v>0</v>
      </c>
      <c r="BR463" s="24">
        <v>1</v>
      </c>
      <c r="BS463" s="24">
        <v>0</v>
      </c>
      <c r="BT463" s="24">
        <v>0</v>
      </c>
      <c r="BU463" s="24">
        <v>0</v>
      </c>
      <c r="BV463" s="24">
        <v>6</v>
      </c>
      <c r="BW463" s="24">
        <v>0</v>
      </c>
      <c r="BX463" s="24">
        <v>1</v>
      </c>
      <c r="BZ463" s="24">
        <v>-1</v>
      </c>
      <c r="CA463" s="24">
        <v>0</v>
      </c>
      <c r="CB463" s="24">
        <v>0</v>
      </c>
      <c r="CC463" s="24">
        <v>0</v>
      </c>
      <c r="CD463" s="24">
        <v>0</v>
      </c>
      <c r="CE463" s="24">
        <v>0</v>
      </c>
      <c r="CG463" s="24">
        <v>-1</v>
      </c>
      <c r="CH463" s="24">
        <v>0</v>
      </c>
      <c r="CI463" s="24">
        <v>0</v>
      </c>
      <c r="CJ463" s="24">
        <v>0</v>
      </c>
      <c r="CK463" s="24">
        <v>0</v>
      </c>
      <c r="CL463" s="24">
        <v>0</v>
      </c>
      <c r="CM463" s="24">
        <v>0</v>
      </c>
      <c r="CN463" s="24">
        <v>0</v>
      </c>
      <c r="CO463" s="24">
        <v>0</v>
      </c>
      <c r="CQ463" s="24">
        <v>0</v>
      </c>
      <c r="CR463" s="24">
        <v>0</v>
      </c>
      <c r="CS463" s="24">
        <v>0</v>
      </c>
      <c r="CT463" s="24">
        <v>0</v>
      </c>
      <c r="CV463" s="24">
        <v>5119</v>
      </c>
      <c r="CW463" s="24">
        <v>0</v>
      </c>
      <c r="CX463" s="24">
        <v>-1</v>
      </c>
      <c r="CY463" s="24">
        <v>1</v>
      </c>
      <c r="CZ463" s="24">
        <v>1</v>
      </c>
      <c r="DA463" s="26">
        <v>0</v>
      </c>
      <c r="DC463" s="24">
        <v>0</v>
      </c>
      <c r="DD463" s="24">
        <v>0</v>
      </c>
      <c r="DE463" s="24">
        <v>0</v>
      </c>
      <c r="DF463" s="24">
        <v>0</v>
      </c>
      <c r="DG463" s="24">
        <v>0</v>
      </c>
      <c r="DI463" s="24">
        <v>0</v>
      </c>
      <c r="DJ463" s="24">
        <v>0</v>
      </c>
      <c r="DL463" s="24">
        <v>0</v>
      </c>
      <c r="DM463" s="24">
        <v>0</v>
      </c>
      <c r="DO463" s="24">
        <v>0</v>
      </c>
      <c r="DP463" s="24">
        <v>0</v>
      </c>
      <c r="DQ463" s="24">
        <v>0</v>
      </c>
      <c r="DR463" s="24">
        <v>0</v>
      </c>
      <c r="DS463" s="24">
        <v>0</v>
      </c>
      <c r="DT463" s="24">
        <v>0</v>
      </c>
      <c r="DV463" s="24">
        <v>0</v>
      </c>
      <c r="DW463" s="24">
        <v>0</v>
      </c>
      <c r="DX463" s="24">
        <v>0</v>
      </c>
      <c r="DY463" s="24">
        <v>0</v>
      </c>
      <c r="DZ463" s="24">
        <v>0</v>
      </c>
    </row>
    <row r="464" spans="1:130">
      <c r="S464" s="25"/>
      <c r="T464" s="24"/>
      <c r="CY464" s="24"/>
      <c r="DA464" s="26"/>
    </row>
    <row r="465" spans="1:130">
      <c r="A465" s="24" t="s">
        <v>142</v>
      </c>
      <c r="B465" s="24" t="s">
        <v>142</v>
      </c>
      <c r="C465" s="24" t="s">
        <v>142</v>
      </c>
      <c r="D465" s="24" t="s">
        <v>142</v>
      </c>
      <c r="E465" s="24">
        <v>60113</v>
      </c>
      <c r="F465" s="24" t="s">
        <v>1109</v>
      </c>
      <c r="G465" s="24">
        <v>0</v>
      </c>
      <c r="H465" s="24">
        <v>560113</v>
      </c>
      <c r="I465" s="24" t="s">
        <v>1109</v>
      </c>
      <c r="J465" s="24" t="s">
        <v>1109</v>
      </c>
      <c r="K465" s="24">
        <v>0</v>
      </c>
      <c r="M465" s="24">
        <v>102</v>
      </c>
      <c r="N465" s="24">
        <v>0</v>
      </c>
      <c r="P465" s="25">
        <v>2</v>
      </c>
      <c r="Q465" s="25">
        <v>655360</v>
      </c>
      <c r="R465" s="24">
        <v>0</v>
      </c>
      <c r="S465" s="25">
        <v>0</v>
      </c>
      <c r="T465" s="24"/>
      <c r="U465" s="24">
        <v>0</v>
      </c>
      <c r="V465" s="25">
        <v>0</v>
      </c>
      <c r="W465" s="24">
        <v>0</v>
      </c>
      <c r="X465" s="24">
        <v>0</v>
      </c>
      <c r="Y465" s="24">
        <v>0</v>
      </c>
      <c r="Z465" s="24">
        <v>0</v>
      </c>
      <c r="AB465" s="24">
        <v>10008</v>
      </c>
      <c r="AC465" s="24">
        <v>-1</v>
      </c>
      <c r="AD465" s="24">
        <v>-1</v>
      </c>
      <c r="AE465" s="24">
        <v>-1</v>
      </c>
      <c r="AG465" s="24">
        <v>1</v>
      </c>
      <c r="AH465" s="24">
        <v>0</v>
      </c>
      <c r="AI465" s="24">
        <v>0</v>
      </c>
      <c r="AJ465" s="24">
        <v>0</v>
      </c>
      <c r="AK465" s="24">
        <v>0</v>
      </c>
      <c r="AL465" s="24">
        <v>0</v>
      </c>
      <c r="AM465" s="24">
        <v>0</v>
      </c>
      <c r="AN465" s="24">
        <v>0</v>
      </c>
      <c r="AO465" s="24">
        <v>0</v>
      </c>
      <c r="AP465" s="24">
        <v>0</v>
      </c>
      <c r="AQ465" s="24">
        <v>0</v>
      </c>
      <c r="AR465" s="24">
        <v>0</v>
      </c>
      <c r="AS465" s="24">
        <v>0</v>
      </c>
      <c r="AT465" s="24">
        <v>0</v>
      </c>
      <c r="AU465" s="24">
        <v>0</v>
      </c>
      <c r="AV465" s="24">
        <v>0</v>
      </c>
      <c r="AW465" s="24">
        <v>0</v>
      </c>
      <c r="AX465" s="24">
        <v>0</v>
      </c>
      <c r="AY465" s="24">
        <v>0</v>
      </c>
      <c r="BA465" s="24">
        <v>0</v>
      </c>
      <c r="BB465" s="24">
        <v>2900</v>
      </c>
      <c r="BC465" s="24">
        <v>2900</v>
      </c>
      <c r="BD465" s="24">
        <v>1000</v>
      </c>
      <c r="BE465" s="24">
        <v>0</v>
      </c>
      <c r="BF465" s="24">
        <v>1</v>
      </c>
      <c r="BG465" s="25">
        <v>1</v>
      </c>
      <c r="BH465" s="24">
        <v>4</v>
      </c>
      <c r="BI465" s="24">
        <v>60004</v>
      </c>
      <c r="BJ465" s="24">
        <v>1</v>
      </c>
      <c r="BK465" s="24">
        <v>1</v>
      </c>
      <c r="BL465" s="25">
        <v>126</v>
      </c>
      <c r="BM465" s="24">
        <v>0</v>
      </c>
      <c r="BO465" s="25">
        <v>16</v>
      </c>
      <c r="BP465" s="24">
        <v>6</v>
      </c>
      <c r="BQ465" s="24">
        <v>0</v>
      </c>
      <c r="BR465" s="24">
        <v>3</v>
      </c>
      <c r="BS465" s="24">
        <v>0</v>
      </c>
      <c r="BT465" s="24">
        <v>70</v>
      </c>
      <c r="BU465" s="24">
        <v>30</v>
      </c>
      <c r="BV465" s="24">
        <v>6</v>
      </c>
      <c r="BW465" s="24">
        <v>0</v>
      </c>
      <c r="BX465" s="24">
        <v>4</v>
      </c>
      <c r="BZ465" s="24">
        <v>60113</v>
      </c>
      <c r="CA465" s="24">
        <v>0</v>
      </c>
      <c r="CB465" s="24">
        <v>0</v>
      </c>
      <c r="CC465" s="24">
        <v>0</v>
      </c>
      <c r="CD465" s="24">
        <v>0</v>
      </c>
      <c r="CE465" s="24">
        <v>0</v>
      </c>
      <c r="CG465" s="24">
        <v>-1</v>
      </c>
      <c r="CH465" s="24">
        <v>0</v>
      </c>
      <c r="CI465" s="24">
        <v>0</v>
      </c>
      <c r="CJ465" s="24">
        <v>0</v>
      </c>
      <c r="CK465" s="24">
        <v>0</v>
      </c>
      <c r="CL465" s="24">
        <v>0</v>
      </c>
      <c r="CM465" s="24">
        <v>0</v>
      </c>
      <c r="CN465" s="24">
        <v>0</v>
      </c>
      <c r="CO465" s="24">
        <v>0</v>
      </c>
      <c r="CQ465" s="24">
        <v>1</v>
      </c>
      <c r="CR465" s="24">
        <v>0</v>
      </c>
      <c r="CS465" s="24">
        <v>0</v>
      </c>
      <c r="CT465" s="24">
        <v>0</v>
      </c>
      <c r="CV465" s="24">
        <v>5201</v>
      </c>
      <c r="CW465" s="24">
        <v>0</v>
      </c>
      <c r="CX465" s="24">
        <v>-1</v>
      </c>
      <c r="CY465" s="24">
        <v>1</v>
      </c>
      <c r="CZ465" s="24">
        <v>1</v>
      </c>
      <c r="DA465" s="26">
        <v>0</v>
      </c>
      <c r="DC465" s="24">
        <v>0</v>
      </c>
      <c r="DD465" s="24">
        <v>0</v>
      </c>
      <c r="DE465" s="24">
        <v>0</v>
      </c>
      <c r="DF465" s="24">
        <v>0</v>
      </c>
      <c r="DG465" s="24">
        <v>0</v>
      </c>
      <c r="DI465" s="24">
        <v>0</v>
      </c>
      <c r="DJ465" s="24">
        <v>0</v>
      </c>
      <c r="DL465" s="24">
        <v>0</v>
      </c>
      <c r="DM465" s="24">
        <v>0</v>
      </c>
      <c r="DO465" s="24">
        <v>0</v>
      </c>
      <c r="DP465" s="24">
        <v>0</v>
      </c>
      <c r="DQ465" s="24">
        <v>0</v>
      </c>
      <c r="DR465" s="24">
        <v>0</v>
      </c>
      <c r="DS465" s="24">
        <v>0</v>
      </c>
      <c r="DT465" s="24">
        <v>0</v>
      </c>
      <c r="DV465" s="24">
        <v>0</v>
      </c>
      <c r="DW465" s="24">
        <v>0</v>
      </c>
      <c r="DX465" s="24">
        <v>0</v>
      </c>
      <c r="DY465" s="24">
        <v>0</v>
      </c>
      <c r="DZ465" s="24">
        <v>0</v>
      </c>
    </row>
    <row r="466" spans="1:130">
      <c r="A466" s="24" t="s">
        <v>142</v>
      </c>
      <c r="B466" s="24" t="s">
        <v>142</v>
      </c>
      <c r="C466" s="24" t="s">
        <v>142</v>
      </c>
      <c r="D466" s="24" t="s">
        <v>142</v>
      </c>
      <c r="E466" s="24">
        <v>60114</v>
      </c>
      <c r="F466" s="24" t="s">
        <v>1110</v>
      </c>
      <c r="G466" s="24">
        <v>0</v>
      </c>
      <c r="H466" s="24">
        <v>560114</v>
      </c>
      <c r="I466" s="24" t="s">
        <v>1110</v>
      </c>
      <c r="J466" s="24" t="s">
        <v>1110</v>
      </c>
      <c r="K466" s="24">
        <v>0</v>
      </c>
      <c r="M466" s="24">
        <v>102</v>
      </c>
      <c r="N466" s="24">
        <v>0</v>
      </c>
      <c r="P466" s="25">
        <v>2</v>
      </c>
      <c r="Q466" s="25">
        <v>655360</v>
      </c>
      <c r="R466" s="24">
        <v>0</v>
      </c>
      <c r="S466" s="25">
        <v>0</v>
      </c>
      <c r="T466" s="24"/>
      <c r="U466" s="24">
        <v>0</v>
      </c>
      <c r="V466" s="25">
        <v>0</v>
      </c>
      <c r="W466" s="24">
        <v>0</v>
      </c>
      <c r="X466" s="24">
        <v>0</v>
      </c>
      <c r="Y466" s="24">
        <v>0</v>
      </c>
      <c r="Z466" s="24">
        <v>0</v>
      </c>
      <c r="AB466" s="24">
        <v>10008</v>
      </c>
      <c r="AC466" s="24">
        <v>-1</v>
      </c>
      <c r="AD466" s="24">
        <v>-1</v>
      </c>
      <c r="AE466" s="24">
        <v>-1</v>
      </c>
      <c r="AG466" s="24">
        <v>1</v>
      </c>
      <c r="AH466" s="24">
        <v>0</v>
      </c>
      <c r="AI466" s="24">
        <v>0</v>
      </c>
      <c r="AJ466" s="24">
        <v>0</v>
      </c>
      <c r="AK466" s="24">
        <v>0</v>
      </c>
      <c r="AL466" s="24">
        <v>0</v>
      </c>
      <c r="AM466" s="24">
        <v>0</v>
      </c>
      <c r="AN466" s="24">
        <v>0</v>
      </c>
      <c r="AO466" s="24">
        <v>0</v>
      </c>
      <c r="AP466" s="24">
        <v>0</v>
      </c>
      <c r="AQ466" s="24">
        <v>0</v>
      </c>
      <c r="AR466" s="24">
        <v>0</v>
      </c>
      <c r="AS466" s="24">
        <v>0</v>
      </c>
      <c r="AT466" s="24">
        <v>0</v>
      </c>
      <c r="AU466" s="24">
        <v>0</v>
      </c>
      <c r="AV466" s="24">
        <v>0</v>
      </c>
      <c r="AW466" s="24">
        <v>0</v>
      </c>
      <c r="AX466" s="24">
        <v>0</v>
      </c>
      <c r="AY466" s="24">
        <v>0</v>
      </c>
      <c r="BA466" s="24">
        <v>0</v>
      </c>
      <c r="BB466" s="24">
        <v>1567</v>
      </c>
      <c r="BC466" s="24">
        <v>1567</v>
      </c>
      <c r="BD466" s="24">
        <v>800</v>
      </c>
      <c r="BE466" s="24">
        <v>0</v>
      </c>
      <c r="BF466" s="24">
        <v>1</v>
      </c>
      <c r="BG466" s="25">
        <v>1</v>
      </c>
      <c r="BH466" s="24">
        <v>1</v>
      </c>
      <c r="BI466" s="24">
        <v>0</v>
      </c>
      <c r="BJ466" s="24">
        <v>0</v>
      </c>
      <c r="BK466" s="24">
        <v>0</v>
      </c>
      <c r="BL466" s="25">
        <v>126</v>
      </c>
      <c r="BM466" s="24">
        <v>0</v>
      </c>
      <c r="BO466" s="25">
        <v>16</v>
      </c>
      <c r="BP466" s="24">
        <v>6</v>
      </c>
      <c r="BQ466" s="24">
        <v>0</v>
      </c>
      <c r="BR466" s="24">
        <v>5</v>
      </c>
      <c r="BS466" s="24">
        <v>0</v>
      </c>
      <c r="BT466" s="24">
        <v>90</v>
      </c>
      <c r="BU466" s="24">
        <v>5</v>
      </c>
      <c r="BV466" s="24">
        <v>6</v>
      </c>
      <c r="BW466" s="24">
        <v>0</v>
      </c>
      <c r="BX466" s="24">
        <v>4</v>
      </c>
      <c r="BZ466" s="24">
        <v>60114</v>
      </c>
      <c r="CA466" s="24">
        <v>0</v>
      </c>
      <c r="CB466" s="24">
        <v>0</v>
      </c>
      <c r="CC466" s="24">
        <v>0</v>
      </c>
      <c r="CD466" s="24">
        <v>0</v>
      </c>
      <c r="CE466" s="24">
        <v>0</v>
      </c>
      <c r="CG466" s="24">
        <v>-1</v>
      </c>
      <c r="CH466" s="24">
        <v>0</v>
      </c>
      <c r="CI466" s="24">
        <v>0</v>
      </c>
      <c r="CJ466" s="24">
        <v>0</v>
      </c>
      <c r="CK466" s="24">
        <v>0</v>
      </c>
      <c r="CL466" s="24">
        <v>0</v>
      </c>
      <c r="CM466" s="24">
        <v>0</v>
      </c>
      <c r="CN466" s="24">
        <v>0</v>
      </c>
      <c r="CO466" s="24">
        <v>0</v>
      </c>
      <c r="CQ466" s="24">
        <v>0</v>
      </c>
      <c r="CR466" s="24">
        <v>0</v>
      </c>
      <c r="CS466" s="24">
        <v>0</v>
      </c>
      <c r="CT466" s="24">
        <v>0</v>
      </c>
      <c r="CV466" s="24">
        <v>5211</v>
      </c>
      <c r="CW466" s="24">
        <v>0</v>
      </c>
      <c r="CX466" s="24">
        <v>-1</v>
      </c>
      <c r="CY466" s="24">
        <v>1</v>
      </c>
      <c r="CZ466" s="24">
        <v>1</v>
      </c>
      <c r="DA466" s="26">
        <v>0</v>
      </c>
      <c r="DC466" s="24">
        <v>0</v>
      </c>
      <c r="DD466" s="24">
        <v>0</v>
      </c>
      <c r="DE466" s="24">
        <v>0</v>
      </c>
      <c r="DF466" s="24">
        <v>0</v>
      </c>
      <c r="DG466" s="24">
        <v>0</v>
      </c>
      <c r="DI466" s="24">
        <v>0</v>
      </c>
      <c r="DJ466" s="24">
        <v>0</v>
      </c>
      <c r="DL466" s="24">
        <v>0</v>
      </c>
      <c r="DM466" s="24">
        <v>0</v>
      </c>
      <c r="DO466" s="24">
        <v>0</v>
      </c>
      <c r="DP466" s="24">
        <v>0</v>
      </c>
      <c r="DQ466" s="24">
        <v>0</v>
      </c>
      <c r="DR466" s="24">
        <v>0</v>
      </c>
      <c r="DS466" s="24">
        <v>0</v>
      </c>
      <c r="DT466" s="24">
        <v>0</v>
      </c>
      <c r="DV466" s="24">
        <v>0</v>
      </c>
      <c r="DW466" s="24">
        <v>0</v>
      </c>
      <c r="DX466" s="24">
        <v>0</v>
      </c>
      <c r="DY466" s="24">
        <v>0</v>
      </c>
      <c r="DZ466" s="24">
        <v>0</v>
      </c>
    </row>
    <row r="467" spans="1:130">
      <c r="A467" s="24" t="s">
        <v>142</v>
      </c>
      <c r="B467" s="24" t="s">
        <v>142</v>
      </c>
      <c r="C467" s="24" t="s">
        <v>142</v>
      </c>
      <c r="D467" s="24" t="s">
        <v>142</v>
      </c>
      <c r="E467" s="24">
        <v>60115</v>
      </c>
      <c r="F467" s="24" t="s">
        <v>1111</v>
      </c>
      <c r="G467" s="24">
        <v>0</v>
      </c>
      <c r="H467" s="24">
        <v>560115</v>
      </c>
      <c r="I467" s="24" t="s">
        <v>1111</v>
      </c>
      <c r="J467" s="24" t="s">
        <v>1111</v>
      </c>
      <c r="K467" s="24">
        <v>0</v>
      </c>
      <c r="M467" s="24">
        <v>102</v>
      </c>
      <c r="N467" s="24">
        <v>0</v>
      </c>
      <c r="P467" s="25">
        <v>2</v>
      </c>
      <c r="Q467" s="25">
        <v>655360</v>
      </c>
      <c r="R467" s="24">
        <v>0</v>
      </c>
      <c r="S467" s="25">
        <v>0</v>
      </c>
      <c r="T467" s="24"/>
      <c r="U467" s="24">
        <v>0</v>
      </c>
      <c r="V467" s="25">
        <v>0</v>
      </c>
      <c r="W467" s="24">
        <v>0</v>
      </c>
      <c r="X467" s="24">
        <v>0</v>
      </c>
      <c r="Y467" s="24">
        <v>0</v>
      </c>
      <c r="Z467" s="24">
        <v>0</v>
      </c>
      <c r="AB467" s="24">
        <v>10008</v>
      </c>
      <c r="AC467" s="24">
        <v>-1</v>
      </c>
      <c r="AD467" s="24">
        <v>-1</v>
      </c>
      <c r="AE467" s="24">
        <v>-1</v>
      </c>
      <c r="AG467" s="24">
        <v>1</v>
      </c>
      <c r="AH467" s="24">
        <v>0</v>
      </c>
      <c r="AI467" s="24">
        <v>0</v>
      </c>
      <c r="AJ467" s="24">
        <v>0</v>
      </c>
      <c r="AK467" s="24">
        <v>0</v>
      </c>
      <c r="AL467" s="24">
        <v>0</v>
      </c>
      <c r="AM467" s="24">
        <v>0</v>
      </c>
      <c r="AN467" s="24">
        <v>0</v>
      </c>
      <c r="AO467" s="24">
        <v>0</v>
      </c>
      <c r="AP467" s="24">
        <v>0</v>
      </c>
      <c r="AQ467" s="24">
        <v>0</v>
      </c>
      <c r="AR467" s="24">
        <v>0</v>
      </c>
      <c r="AS467" s="24">
        <v>0</v>
      </c>
      <c r="AT467" s="24">
        <v>0</v>
      </c>
      <c r="AU467" s="24">
        <v>0</v>
      </c>
      <c r="AV467" s="24">
        <v>0</v>
      </c>
      <c r="AW467" s="24">
        <v>0</v>
      </c>
      <c r="AX467" s="24">
        <v>0</v>
      </c>
      <c r="AY467" s="24">
        <v>0</v>
      </c>
      <c r="BA467" s="24">
        <v>0</v>
      </c>
      <c r="BB467" s="24">
        <v>2867</v>
      </c>
      <c r="BC467" s="24">
        <v>2867</v>
      </c>
      <c r="BD467" s="24">
        <v>430</v>
      </c>
      <c r="BE467" s="24">
        <v>450</v>
      </c>
      <c r="BF467" s="24">
        <v>3</v>
      </c>
      <c r="BG467" s="25">
        <v>1</v>
      </c>
      <c r="BH467" s="24">
        <v>1</v>
      </c>
      <c r="BI467" s="24">
        <v>0</v>
      </c>
      <c r="BJ467" s="24">
        <v>0</v>
      </c>
      <c r="BK467" s="24">
        <v>0</v>
      </c>
      <c r="BL467" s="25">
        <v>126</v>
      </c>
      <c r="BM467" s="24">
        <v>0</v>
      </c>
      <c r="BO467" s="25">
        <v>16</v>
      </c>
      <c r="BP467" s="24">
        <v>6</v>
      </c>
      <c r="BQ467" s="24">
        <v>0</v>
      </c>
      <c r="BR467" s="24">
        <v>3</v>
      </c>
      <c r="BS467" s="24">
        <v>0</v>
      </c>
      <c r="BT467" s="24">
        <v>70</v>
      </c>
      <c r="BU467" s="24">
        <v>30</v>
      </c>
      <c r="BV467" s="24">
        <v>6</v>
      </c>
      <c r="BW467" s="24">
        <v>0</v>
      </c>
      <c r="BX467" s="24">
        <v>4</v>
      </c>
      <c r="BZ467" s="24">
        <v>60115</v>
      </c>
      <c r="CA467" s="24">
        <v>0</v>
      </c>
      <c r="CB467" s="24">
        <v>0</v>
      </c>
      <c r="CC467" s="24">
        <v>0</v>
      </c>
      <c r="CD467" s="24">
        <v>0</v>
      </c>
      <c r="CE467" s="24">
        <v>0</v>
      </c>
      <c r="CG467" s="24">
        <v>-1</v>
      </c>
      <c r="CH467" s="24">
        <v>0</v>
      </c>
      <c r="CI467" s="24">
        <v>0</v>
      </c>
      <c r="CJ467" s="24">
        <v>0</v>
      </c>
      <c r="CK467" s="24">
        <v>0</v>
      </c>
      <c r="CL467" s="24">
        <v>0</v>
      </c>
      <c r="CM467" s="24">
        <v>0</v>
      </c>
      <c r="CN467" s="24">
        <v>0</v>
      </c>
      <c r="CO467" s="24">
        <v>0</v>
      </c>
      <c r="CQ467" s="24">
        <v>3</v>
      </c>
      <c r="CR467" s="24">
        <v>0</v>
      </c>
      <c r="CS467" s="24">
        <v>0</v>
      </c>
      <c r="CT467" s="24">
        <v>0</v>
      </c>
      <c r="CV467" s="24">
        <v>5221</v>
      </c>
      <c r="CW467" s="24">
        <v>0</v>
      </c>
      <c r="CX467" s="24">
        <v>-1</v>
      </c>
      <c r="CY467" s="24">
        <v>1</v>
      </c>
      <c r="CZ467" s="24">
        <v>1</v>
      </c>
      <c r="DA467" s="26">
        <v>0</v>
      </c>
      <c r="DC467" s="24">
        <v>0</v>
      </c>
      <c r="DD467" s="24">
        <v>0</v>
      </c>
      <c r="DE467" s="24">
        <v>0</v>
      </c>
      <c r="DF467" s="24">
        <v>0</v>
      </c>
      <c r="DG467" s="24">
        <v>0</v>
      </c>
      <c r="DI467" s="24">
        <v>0</v>
      </c>
      <c r="DJ467" s="24">
        <v>0</v>
      </c>
      <c r="DL467" s="24">
        <v>0</v>
      </c>
      <c r="DM467" s="24">
        <v>0</v>
      </c>
      <c r="DO467" s="24">
        <v>0</v>
      </c>
      <c r="DP467" s="24">
        <v>0</v>
      </c>
      <c r="DQ467" s="24">
        <v>0</v>
      </c>
      <c r="DR467" s="24">
        <v>0</v>
      </c>
      <c r="DS467" s="24">
        <v>0</v>
      </c>
      <c r="DT467" s="24">
        <v>0</v>
      </c>
      <c r="DV467" s="24">
        <v>0</v>
      </c>
      <c r="DW467" s="24">
        <v>0</v>
      </c>
      <c r="DX467" s="24">
        <v>0</v>
      </c>
      <c r="DY467" s="24">
        <v>0</v>
      </c>
      <c r="DZ467" s="24">
        <v>0</v>
      </c>
    </row>
    <row r="468" spans="1:130">
      <c r="A468" s="24" t="s">
        <v>142</v>
      </c>
      <c r="B468" s="24" t="s">
        <v>142</v>
      </c>
      <c r="C468" s="24" t="s">
        <v>142</v>
      </c>
      <c r="D468" s="24" t="s">
        <v>142</v>
      </c>
      <c r="E468" s="24">
        <v>60116</v>
      </c>
      <c r="F468" s="24" t="s">
        <v>1112</v>
      </c>
      <c r="G468" s="24">
        <v>0</v>
      </c>
      <c r="H468" s="24">
        <v>560116</v>
      </c>
      <c r="I468" s="24" t="s">
        <v>1112</v>
      </c>
      <c r="J468" s="24" t="s">
        <v>1112</v>
      </c>
      <c r="K468" s="24">
        <v>0</v>
      </c>
      <c r="M468" s="24">
        <v>0</v>
      </c>
      <c r="N468" s="24">
        <v>0</v>
      </c>
      <c r="P468" s="25">
        <v>2</v>
      </c>
      <c r="Q468" s="25">
        <v>4</v>
      </c>
      <c r="R468" s="24">
        <v>0</v>
      </c>
      <c r="S468" s="25">
        <v>0</v>
      </c>
      <c r="T468" s="24"/>
      <c r="U468" s="24">
        <v>0</v>
      </c>
      <c r="V468" s="25">
        <v>0</v>
      </c>
      <c r="W468" s="24">
        <v>0</v>
      </c>
      <c r="X468" s="24">
        <v>0</v>
      </c>
      <c r="Y468" s="24">
        <v>0</v>
      </c>
      <c r="Z468" s="24">
        <v>0</v>
      </c>
      <c r="AB468" s="24">
        <v>10001</v>
      </c>
      <c r="AC468" s="24">
        <v>-1</v>
      </c>
      <c r="AD468" s="24">
        <v>-1</v>
      </c>
      <c r="AE468" s="24">
        <v>-1</v>
      </c>
      <c r="AG468" s="24">
        <v>1</v>
      </c>
      <c r="AH468" s="24">
        <v>0</v>
      </c>
      <c r="AI468" s="24">
        <v>0</v>
      </c>
      <c r="AJ468" s="24">
        <v>0</v>
      </c>
      <c r="AK468" s="24">
        <v>0</v>
      </c>
      <c r="AL468" s="24">
        <v>3</v>
      </c>
      <c r="AM468" s="24">
        <v>0</v>
      </c>
      <c r="AN468" s="24">
        <v>0</v>
      </c>
      <c r="AO468" s="24">
        <v>0</v>
      </c>
      <c r="AP468" s="24">
        <v>0</v>
      </c>
      <c r="AQ468" s="24">
        <v>0</v>
      </c>
      <c r="AR468" s="24">
        <v>0</v>
      </c>
      <c r="AS468" s="24">
        <v>0</v>
      </c>
      <c r="AT468" s="24">
        <v>0</v>
      </c>
      <c r="AU468" s="24">
        <v>0</v>
      </c>
      <c r="AV468" s="24">
        <v>0</v>
      </c>
      <c r="AW468" s="24">
        <v>0</v>
      </c>
      <c r="AX468" s="24">
        <v>0</v>
      </c>
      <c r="AY468" s="24">
        <v>0</v>
      </c>
      <c r="BA468" s="24">
        <v>0</v>
      </c>
      <c r="BB468" s="24">
        <v>3333</v>
      </c>
      <c r="BC468" s="24">
        <v>3333</v>
      </c>
      <c r="BD468" s="24">
        <v>200</v>
      </c>
      <c r="BE468" s="24">
        <v>0</v>
      </c>
      <c r="BF468" s="24">
        <v>1</v>
      </c>
      <c r="BG468" s="25">
        <v>2</v>
      </c>
      <c r="BH468" s="24">
        <v>2</v>
      </c>
      <c r="BI468" s="24">
        <v>0</v>
      </c>
      <c r="BJ468" s="24">
        <v>0</v>
      </c>
      <c r="BK468" s="24">
        <v>0</v>
      </c>
      <c r="BL468" s="25">
        <v>126</v>
      </c>
      <c r="BM468" s="24">
        <v>0</v>
      </c>
      <c r="BO468" s="25">
        <v>1</v>
      </c>
      <c r="BP468" s="24">
        <v>100</v>
      </c>
      <c r="BQ468" s="24">
        <v>0</v>
      </c>
      <c r="BR468" s="24">
        <v>2</v>
      </c>
      <c r="BS468" s="24">
        <v>500</v>
      </c>
      <c r="BT468" s="24">
        <v>0</v>
      </c>
      <c r="BU468" s="24">
        <v>0</v>
      </c>
      <c r="BV468" s="24">
        <v>5</v>
      </c>
      <c r="BW468" s="24">
        <v>0</v>
      </c>
      <c r="BX468" s="24">
        <v>5</v>
      </c>
      <c r="BZ468" s="24">
        <v>60116</v>
      </c>
      <c r="CA468" s="24">
        <v>0</v>
      </c>
      <c r="CB468" s="24">
        <v>0</v>
      </c>
      <c r="CC468" s="24">
        <v>0</v>
      </c>
      <c r="CD468" s="24">
        <v>0</v>
      </c>
      <c r="CE468" s="24">
        <v>0</v>
      </c>
      <c r="CG468" s="24">
        <v>-1</v>
      </c>
      <c r="CH468" s="24">
        <v>0</v>
      </c>
      <c r="CI468" s="24">
        <v>0</v>
      </c>
      <c r="CJ468" s="24">
        <v>0</v>
      </c>
      <c r="CK468" s="24">
        <v>0</v>
      </c>
      <c r="CL468" s="24">
        <v>0</v>
      </c>
      <c r="CM468" s="24">
        <v>0</v>
      </c>
      <c r="CN468" s="24">
        <v>0</v>
      </c>
      <c r="CO468" s="24">
        <v>0</v>
      </c>
      <c r="CQ468" s="24">
        <v>0</v>
      </c>
      <c r="CR468" s="24">
        <v>0</v>
      </c>
      <c r="CS468" s="24">
        <v>0</v>
      </c>
      <c r="CT468" s="24">
        <v>0</v>
      </c>
      <c r="CV468" s="24">
        <v>5212</v>
      </c>
      <c r="CW468" s="24">
        <v>0</v>
      </c>
      <c r="CX468" s="24">
        <v>-1</v>
      </c>
      <c r="CY468" s="24">
        <v>0</v>
      </c>
      <c r="CZ468" s="24">
        <v>0</v>
      </c>
      <c r="DA468" s="26">
        <v>0</v>
      </c>
      <c r="DC468" s="24">
        <v>0</v>
      </c>
      <c r="DD468" s="24">
        <v>0</v>
      </c>
      <c r="DE468" s="24">
        <v>0</v>
      </c>
      <c r="DF468" s="24">
        <v>0</v>
      </c>
      <c r="DG468" s="24">
        <v>0</v>
      </c>
      <c r="DI468" s="24">
        <v>0</v>
      </c>
      <c r="DJ468" s="24">
        <v>0</v>
      </c>
      <c r="DL468" s="24">
        <v>0</v>
      </c>
      <c r="DM468" s="24">
        <v>0</v>
      </c>
      <c r="DO468" s="24">
        <v>0</v>
      </c>
      <c r="DP468" s="24">
        <v>0</v>
      </c>
      <c r="DQ468" s="24">
        <v>0</v>
      </c>
      <c r="DR468" s="24">
        <v>0</v>
      </c>
      <c r="DS468" s="24">
        <v>0</v>
      </c>
      <c r="DT468" s="24">
        <v>0</v>
      </c>
      <c r="DV468" s="24">
        <v>0</v>
      </c>
      <c r="DW468" s="24">
        <v>0</v>
      </c>
      <c r="DX468" s="24">
        <v>0</v>
      </c>
      <c r="DY468" s="24">
        <v>0</v>
      </c>
      <c r="DZ468" s="24">
        <v>0</v>
      </c>
    </row>
    <row r="469" spans="1:130">
      <c r="A469" s="24" t="s">
        <v>142</v>
      </c>
      <c r="B469" s="24" t="s">
        <v>142</v>
      </c>
      <c r="C469" s="24" t="s">
        <v>142</v>
      </c>
      <c r="D469" s="24" t="s">
        <v>142</v>
      </c>
      <c r="E469" s="24">
        <v>60117</v>
      </c>
      <c r="F469" s="24" t="s">
        <v>1113</v>
      </c>
      <c r="G469" s="24">
        <v>0</v>
      </c>
      <c r="H469" s="24">
        <v>560117</v>
      </c>
      <c r="I469" s="24" t="s">
        <v>1113</v>
      </c>
      <c r="J469" s="24" t="s">
        <v>1113</v>
      </c>
      <c r="K469" s="24">
        <v>0</v>
      </c>
      <c r="M469" s="24">
        <v>102</v>
      </c>
      <c r="N469" s="24">
        <v>0</v>
      </c>
      <c r="P469" s="25">
        <v>2</v>
      </c>
      <c r="Q469" s="25">
        <v>524544</v>
      </c>
      <c r="R469" s="24">
        <v>0</v>
      </c>
      <c r="S469" s="25">
        <v>2</v>
      </c>
      <c r="T469" s="24"/>
      <c r="U469" s="24">
        <v>0</v>
      </c>
      <c r="V469" s="25">
        <v>0</v>
      </c>
      <c r="W469" s="24">
        <v>0</v>
      </c>
      <c r="X469" s="24">
        <v>0</v>
      </c>
      <c r="Y469" s="24">
        <v>0</v>
      </c>
      <c r="Z469" s="24">
        <v>0</v>
      </c>
      <c r="AB469" s="24">
        <v>10001</v>
      </c>
      <c r="AC469" s="24">
        <v>-1</v>
      </c>
      <c r="AD469" s="24">
        <v>-1</v>
      </c>
      <c r="AE469" s="24">
        <v>-1</v>
      </c>
      <c r="AG469" s="24">
        <v>1</v>
      </c>
      <c r="AH469" s="24">
        <v>0</v>
      </c>
      <c r="AI469" s="24">
        <v>0</v>
      </c>
      <c r="AJ469" s="24">
        <v>0</v>
      </c>
      <c r="AK469" s="24">
        <v>0</v>
      </c>
      <c r="AL469" s="24">
        <v>0</v>
      </c>
      <c r="AM469" s="24">
        <v>0</v>
      </c>
      <c r="AN469" s="24">
        <v>0</v>
      </c>
      <c r="AO469" s="24">
        <v>0</v>
      </c>
      <c r="AP469" s="24">
        <v>0</v>
      </c>
      <c r="AQ469" s="24">
        <v>0</v>
      </c>
      <c r="AR469" s="24">
        <v>0</v>
      </c>
      <c r="AS469" s="24">
        <v>0</v>
      </c>
      <c r="AT469" s="24">
        <v>0</v>
      </c>
      <c r="AU469" s="24">
        <v>0</v>
      </c>
      <c r="AV469" s="24">
        <v>0</v>
      </c>
      <c r="AW469" s="24">
        <v>0</v>
      </c>
      <c r="AX469" s="24">
        <v>0</v>
      </c>
      <c r="AY469" s="24">
        <v>0</v>
      </c>
      <c r="BA469" s="24">
        <v>0</v>
      </c>
      <c r="BB469" s="24">
        <v>2000</v>
      </c>
      <c r="BC469" s="24">
        <v>2000</v>
      </c>
      <c r="BD469" s="24">
        <v>1800</v>
      </c>
      <c r="BE469" s="24">
        <v>0</v>
      </c>
      <c r="BF469" s="24">
        <v>1</v>
      </c>
      <c r="BG469" s="25">
        <v>17</v>
      </c>
      <c r="BH469" s="24">
        <v>1</v>
      </c>
      <c r="BI469" s="24">
        <v>0</v>
      </c>
      <c r="BJ469" s="24">
        <v>0</v>
      </c>
      <c r="BK469" s="24">
        <v>0</v>
      </c>
      <c r="BL469" s="25">
        <v>126</v>
      </c>
      <c r="BM469" s="24">
        <v>0</v>
      </c>
      <c r="BO469" s="25">
        <v>1</v>
      </c>
      <c r="BP469" s="24">
        <v>20</v>
      </c>
      <c r="BQ469" s="24">
        <v>0</v>
      </c>
      <c r="BR469" s="24">
        <v>2</v>
      </c>
      <c r="BS469" s="24">
        <v>50</v>
      </c>
      <c r="BT469" s="24">
        <v>0</v>
      </c>
      <c r="BU469" s="24">
        <v>0</v>
      </c>
      <c r="BV469" s="24">
        <v>6</v>
      </c>
      <c r="BW469" s="24">
        <v>0</v>
      </c>
      <c r="BX469" s="24">
        <v>4</v>
      </c>
      <c r="BZ469" s="24">
        <v>60117</v>
      </c>
      <c r="CA469" s="24">
        <v>0</v>
      </c>
      <c r="CB469" s="24">
        <v>0</v>
      </c>
      <c r="CC469" s="24">
        <v>0</v>
      </c>
      <c r="CD469" s="24">
        <v>0</v>
      </c>
      <c r="CE469" s="24">
        <v>0</v>
      </c>
      <c r="CG469" s="24">
        <v>-1</v>
      </c>
      <c r="CH469" s="24">
        <v>0</v>
      </c>
      <c r="CI469" s="24">
        <v>0</v>
      </c>
      <c r="CJ469" s="24">
        <v>0</v>
      </c>
      <c r="CK469" s="24">
        <v>0</v>
      </c>
      <c r="CL469" s="24">
        <v>0</v>
      </c>
      <c r="CM469" s="24">
        <v>0</v>
      </c>
      <c r="CN469" s="24">
        <v>0</v>
      </c>
      <c r="CO469" s="24">
        <v>0</v>
      </c>
      <c r="CQ469" s="24">
        <v>0</v>
      </c>
      <c r="CR469" s="24">
        <v>0</v>
      </c>
      <c r="CS469" s="24">
        <v>0</v>
      </c>
      <c r="CT469" s="24">
        <v>0</v>
      </c>
      <c r="CV469" s="24">
        <v>100104</v>
      </c>
      <c r="CW469" s="24">
        <v>0</v>
      </c>
      <c r="CX469" s="24">
        <v>-1</v>
      </c>
      <c r="CY469" s="24">
        <v>1</v>
      </c>
      <c r="CZ469" s="24">
        <v>2</v>
      </c>
      <c r="DA469" s="26">
        <v>0</v>
      </c>
      <c r="DC469" s="24">
        <v>0</v>
      </c>
      <c r="DD469" s="24">
        <v>0</v>
      </c>
      <c r="DE469" s="24">
        <v>0</v>
      </c>
      <c r="DF469" s="24">
        <v>0</v>
      </c>
      <c r="DG469" s="24">
        <v>0</v>
      </c>
      <c r="DI469" s="24">
        <v>0</v>
      </c>
      <c r="DJ469" s="24">
        <v>0</v>
      </c>
      <c r="DL469" s="24">
        <v>0</v>
      </c>
      <c r="DM469" s="24">
        <v>0</v>
      </c>
      <c r="DO469" s="24">
        <v>0</v>
      </c>
      <c r="DP469" s="24">
        <v>0</v>
      </c>
      <c r="DQ469" s="24">
        <v>0</v>
      </c>
      <c r="DR469" s="24">
        <v>0</v>
      </c>
      <c r="DS469" s="24">
        <v>0</v>
      </c>
      <c r="DT469" s="24">
        <v>0</v>
      </c>
      <c r="DV469" s="24">
        <v>0</v>
      </c>
      <c r="DW469" s="24">
        <v>0</v>
      </c>
      <c r="DX469" s="24">
        <v>0</v>
      </c>
      <c r="DY469" s="24">
        <v>0</v>
      </c>
      <c r="DZ469" s="24">
        <v>0</v>
      </c>
    </row>
    <row r="470" spans="1:130">
      <c r="A470" s="24" t="s">
        <v>142</v>
      </c>
      <c r="B470" s="24" t="s">
        <v>142</v>
      </c>
      <c r="C470" s="24" t="s">
        <v>142</v>
      </c>
      <c r="D470" s="24" t="s">
        <v>142</v>
      </c>
      <c r="E470" s="24">
        <v>60118</v>
      </c>
      <c r="F470" s="24" t="s">
        <v>736</v>
      </c>
      <c r="G470" s="24">
        <v>0</v>
      </c>
      <c r="H470" s="24">
        <v>560118</v>
      </c>
      <c r="I470" s="24" t="s">
        <v>736</v>
      </c>
      <c r="J470" s="24" t="s">
        <v>736</v>
      </c>
      <c r="K470" s="24">
        <v>0</v>
      </c>
      <c r="M470" s="24">
        <v>102</v>
      </c>
      <c r="N470" s="24">
        <v>0</v>
      </c>
      <c r="P470" s="25">
        <v>12</v>
      </c>
      <c r="Q470" s="25">
        <v>0</v>
      </c>
      <c r="R470" s="24">
        <v>0</v>
      </c>
      <c r="S470" s="25">
        <v>0</v>
      </c>
      <c r="T470" s="24"/>
      <c r="U470" s="24">
        <v>3</v>
      </c>
      <c r="V470" s="25">
        <v>2</v>
      </c>
      <c r="W470" s="24">
        <v>0</v>
      </c>
      <c r="X470" s="24">
        <v>15106</v>
      </c>
      <c r="Y470" s="24">
        <v>0</v>
      </c>
      <c r="Z470" s="24">
        <v>1000</v>
      </c>
      <c r="AB470" s="24">
        <v>30001</v>
      </c>
      <c r="AC470" s="24">
        <v>-1</v>
      </c>
      <c r="AD470" s="24">
        <v>-1</v>
      </c>
      <c r="AE470" s="24">
        <v>-1</v>
      </c>
      <c r="AG470" s="24">
        <v>1</v>
      </c>
      <c r="AH470" s="24">
        <v>0</v>
      </c>
      <c r="AI470" s="24">
        <v>0</v>
      </c>
      <c r="AJ470" s="24">
        <v>0</v>
      </c>
      <c r="AK470" s="24">
        <v>0</v>
      </c>
      <c r="AL470" s="24">
        <v>0</v>
      </c>
      <c r="AM470" s="24">
        <v>0</v>
      </c>
      <c r="AN470" s="24">
        <v>0</v>
      </c>
      <c r="AO470" s="24">
        <v>0</v>
      </c>
      <c r="AP470" s="24">
        <v>0</v>
      </c>
      <c r="AQ470" s="24">
        <v>0</v>
      </c>
      <c r="AR470" s="24">
        <v>0</v>
      </c>
      <c r="AS470" s="24">
        <v>0</v>
      </c>
      <c r="AT470" s="24">
        <v>0</v>
      </c>
      <c r="AU470" s="24">
        <v>0</v>
      </c>
      <c r="AV470" s="24">
        <v>0</v>
      </c>
      <c r="AW470" s="24">
        <v>0</v>
      </c>
      <c r="AX470" s="24">
        <v>0</v>
      </c>
      <c r="AY470" s="24">
        <v>0</v>
      </c>
      <c r="BA470" s="24">
        <v>0</v>
      </c>
      <c r="BB470" s="24">
        <v>500</v>
      </c>
      <c r="BC470" s="24">
        <v>667</v>
      </c>
      <c r="BD470" s="24">
        <v>400</v>
      </c>
      <c r="BE470" s="24">
        <v>0</v>
      </c>
      <c r="BF470" s="24">
        <v>1</v>
      </c>
      <c r="BG470" s="25">
        <v>1024</v>
      </c>
      <c r="BH470" s="24">
        <v>4</v>
      </c>
      <c r="BI470" s="24">
        <v>60004</v>
      </c>
      <c r="BJ470" s="24">
        <v>1</v>
      </c>
      <c r="BK470" s="24">
        <v>1</v>
      </c>
      <c r="BL470" s="25">
        <v>126</v>
      </c>
      <c r="BM470" s="24">
        <v>0</v>
      </c>
      <c r="BO470" s="25">
        <v>1</v>
      </c>
      <c r="BP470" s="24">
        <v>0</v>
      </c>
      <c r="BQ470" s="24">
        <v>0</v>
      </c>
      <c r="BR470" s="24">
        <v>2</v>
      </c>
      <c r="BS470" s="24">
        <v>50</v>
      </c>
      <c r="BT470" s="24">
        <v>0</v>
      </c>
      <c r="BU470" s="24">
        <v>0</v>
      </c>
      <c r="BV470" s="24">
        <v>6</v>
      </c>
      <c r="BW470" s="24">
        <v>0</v>
      </c>
      <c r="BX470" s="24">
        <v>4</v>
      </c>
      <c r="BZ470" s="24">
        <v>-1</v>
      </c>
      <c r="CA470" s="24">
        <v>0</v>
      </c>
      <c r="CB470" s="24">
        <v>0</v>
      </c>
      <c r="CC470" s="24">
        <v>0</v>
      </c>
      <c r="CD470" s="24">
        <v>0</v>
      </c>
      <c r="CE470" s="24">
        <v>0</v>
      </c>
      <c r="CG470" s="24">
        <v>-1</v>
      </c>
      <c r="CH470" s="24">
        <v>0</v>
      </c>
      <c r="CI470" s="24">
        <v>0</v>
      </c>
      <c r="CJ470" s="24">
        <v>0</v>
      </c>
      <c r="CK470" s="24">
        <v>0</v>
      </c>
      <c r="CL470" s="24">
        <v>0</v>
      </c>
      <c r="CM470" s="24">
        <v>0</v>
      </c>
      <c r="CN470" s="24">
        <v>0</v>
      </c>
      <c r="CO470" s="24">
        <v>0</v>
      </c>
      <c r="CQ470" s="24">
        <v>0</v>
      </c>
      <c r="CR470" s="24">
        <v>0</v>
      </c>
      <c r="CS470" s="24">
        <v>0</v>
      </c>
      <c r="CT470" s="24">
        <v>0</v>
      </c>
      <c r="CV470" s="24">
        <v>0</v>
      </c>
      <c r="CW470" s="24">
        <v>0</v>
      </c>
      <c r="CX470" s="24">
        <v>-1</v>
      </c>
      <c r="CY470" s="24">
        <v>0</v>
      </c>
      <c r="CZ470" s="24">
        <v>0</v>
      </c>
      <c r="DA470" s="26">
        <v>0</v>
      </c>
      <c r="DC470" s="24">
        <v>0</v>
      </c>
      <c r="DD470" s="24">
        <v>0</v>
      </c>
      <c r="DE470" s="24">
        <v>0</v>
      </c>
      <c r="DF470" s="24">
        <v>0</v>
      </c>
      <c r="DG470" s="24">
        <v>0</v>
      </c>
      <c r="DI470" s="24">
        <v>0</v>
      </c>
      <c r="DJ470" s="24">
        <v>0</v>
      </c>
      <c r="DL470" s="24">
        <v>0</v>
      </c>
      <c r="DM470" s="24">
        <v>0</v>
      </c>
      <c r="DO470" s="24">
        <v>0</v>
      </c>
      <c r="DP470" s="24">
        <v>0</v>
      </c>
      <c r="DQ470" s="24">
        <v>0</v>
      </c>
      <c r="DR470" s="24">
        <v>0</v>
      </c>
      <c r="DS470" s="24">
        <v>0</v>
      </c>
      <c r="DT470" s="24">
        <v>0</v>
      </c>
      <c r="DV470" s="24">
        <v>0</v>
      </c>
      <c r="DW470" s="24">
        <v>0</v>
      </c>
      <c r="DX470" s="24">
        <v>0</v>
      </c>
      <c r="DY470" s="24">
        <v>0</v>
      </c>
      <c r="DZ470" s="24">
        <v>0</v>
      </c>
    </row>
    <row r="471" spans="1:130">
      <c r="A471" s="24" t="s">
        <v>142</v>
      </c>
      <c r="B471" s="24" t="s">
        <v>142</v>
      </c>
      <c r="C471" s="24" t="s">
        <v>142</v>
      </c>
      <c r="D471" s="24" t="s">
        <v>142</v>
      </c>
      <c r="E471" s="24">
        <v>60119</v>
      </c>
      <c r="F471" s="24" t="s">
        <v>1114</v>
      </c>
      <c r="G471" s="24">
        <v>0</v>
      </c>
      <c r="H471" s="24">
        <v>560119</v>
      </c>
      <c r="I471" s="24" t="s">
        <v>1114</v>
      </c>
      <c r="J471" s="24" t="s">
        <v>1114</v>
      </c>
      <c r="K471" s="24">
        <v>0</v>
      </c>
      <c r="M471" s="24">
        <v>102</v>
      </c>
      <c r="N471" s="24">
        <v>0</v>
      </c>
      <c r="P471" s="25">
        <v>2</v>
      </c>
      <c r="Q471" s="25">
        <v>524544</v>
      </c>
      <c r="R471" s="24">
        <v>0</v>
      </c>
      <c r="S471" s="25">
        <v>2</v>
      </c>
      <c r="T471" s="24"/>
      <c r="U471" s="24">
        <v>0</v>
      </c>
      <c r="V471" s="25">
        <v>0</v>
      </c>
      <c r="W471" s="24">
        <v>0</v>
      </c>
      <c r="X471" s="24">
        <v>0</v>
      </c>
      <c r="Y471" s="24">
        <v>0</v>
      </c>
      <c r="Z471" s="24">
        <v>0</v>
      </c>
      <c r="AB471" s="24">
        <v>10001</v>
      </c>
      <c r="AC471" s="24">
        <v>-1</v>
      </c>
      <c r="AD471" s="24">
        <v>-1</v>
      </c>
      <c r="AE471" s="24">
        <v>-1</v>
      </c>
      <c r="AG471" s="24">
        <v>1</v>
      </c>
      <c r="AH471" s="24">
        <v>0</v>
      </c>
      <c r="AI471" s="24">
        <v>0</v>
      </c>
      <c r="AJ471" s="24">
        <v>0</v>
      </c>
      <c r="AK471" s="24">
        <v>0</v>
      </c>
      <c r="AL471" s="24">
        <v>0</v>
      </c>
      <c r="AM471" s="24">
        <v>0</v>
      </c>
      <c r="AN471" s="24">
        <v>0</v>
      </c>
      <c r="AO471" s="24">
        <v>0</v>
      </c>
      <c r="AP471" s="24">
        <v>0</v>
      </c>
      <c r="AQ471" s="24">
        <v>0</v>
      </c>
      <c r="AR471" s="24">
        <v>0</v>
      </c>
      <c r="AS471" s="24">
        <v>0</v>
      </c>
      <c r="AT471" s="24">
        <v>0</v>
      </c>
      <c r="AU471" s="24">
        <v>0</v>
      </c>
      <c r="AV471" s="24">
        <v>0</v>
      </c>
      <c r="AW471" s="24">
        <v>0</v>
      </c>
      <c r="AX471" s="24">
        <v>0</v>
      </c>
      <c r="AY471" s="24">
        <v>0</v>
      </c>
      <c r="BA471" s="24">
        <v>0</v>
      </c>
      <c r="BB471" s="24">
        <v>2933</v>
      </c>
      <c r="BC471" s="24">
        <v>2933</v>
      </c>
      <c r="BD471" s="24">
        <v>1173</v>
      </c>
      <c r="BE471" s="24">
        <v>0</v>
      </c>
      <c r="BF471" s="24">
        <v>1</v>
      </c>
      <c r="BG471" s="25">
        <v>17</v>
      </c>
      <c r="BH471" s="24">
        <v>1</v>
      </c>
      <c r="BI471" s="24">
        <v>0</v>
      </c>
      <c r="BJ471" s="24">
        <v>0</v>
      </c>
      <c r="BK471" s="24">
        <v>0</v>
      </c>
      <c r="BL471" s="25">
        <v>126</v>
      </c>
      <c r="BM471" s="24">
        <v>0</v>
      </c>
      <c r="BO471" s="25">
        <v>1</v>
      </c>
      <c r="BP471" s="24">
        <v>20</v>
      </c>
      <c r="BQ471" s="24">
        <v>0</v>
      </c>
      <c r="BR471" s="24">
        <v>2</v>
      </c>
      <c r="BS471" s="24">
        <v>80</v>
      </c>
      <c r="BT471" s="24">
        <v>0</v>
      </c>
      <c r="BU471" s="24">
        <v>0</v>
      </c>
      <c r="BV471" s="24">
        <v>6</v>
      </c>
      <c r="BW471" s="24">
        <v>0</v>
      </c>
      <c r="BX471" s="24">
        <v>4</v>
      </c>
      <c r="BZ471" s="24">
        <v>60119</v>
      </c>
      <c r="CA471" s="24">
        <v>0</v>
      </c>
      <c r="CB471" s="24">
        <v>0</v>
      </c>
      <c r="CC471" s="24">
        <v>0</v>
      </c>
      <c r="CD471" s="24">
        <v>0</v>
      </c>
      <c r="CE471" s="24">
        <v>0</v>
      </c>
      <c r="CG471" s="24">
        <v>-1</v>
      </c>
      <c r="CH471" s="24">
        <v>0</v>
      </c>
      <c r="CI471" s="24">
        <v>0</v>
      </c>
      <c r="CJ471" s="24">
        <v>0</v>
      </c>
      <c r="CK471" s="24">
        <v>0</v>
      </c>
      <c r="CL471" s="24">
        <v>0</v>
      </c>
      <c r="CM471" s="24">
        <v>0</v>
      </c>
      <c r="CN471" s="24">
        <v>0</v>
      </c>
      <c r="CO471" s="24">
        <v>0</v>
      </c>
      <c r="CQ471" s="24">
        <v>0</v>
      </c>
      <c r="CR471" s="24">
        <v>0</v>
      </c>
      <c r="CS471" s="24">
        <v>0</v>
      </c>
      <c r="CT471" s="24">
        <v>0</v>
      </c>
      <c r="CV471" s="24">
        <v>5222</v>
      </c>
      <c r="CW471" s="24">
        <v>0</v>
      </c>
      <c r="CX471" s="24">
        <v>-1</v>
      </c>
      <c r="CY471" s="24">
        <v>1</v>
      </c>
      <c r="CZ471" s="24">
        <v>2</v>
      </c>
      <c r="DA471" s="26">
        <v>0</v>
      </c>
      <c r="DC471" s="24">
        <v>0</v>
      </c>
      <c r="DD471" s="24">
        <v>0</v>
      </c>
      <c r="DE471" s="24">
        <v>0</v>
      </c>
      <c r="DF471" s="24">
        <v>0</v>
      </c>
      <c r="DG471" s="24">
        <v>0</v>
      </c>
      <c r="DI471" s="24">
        <v>0</v>
      </c>
      <c r="DJ471" s="24">
        <v>0</v>
      </c>
      <c r="DL471" s="24">
        <v>0</v>
      </c>
      <c r="DM471" s="24">
        <v>0</v>
      </c>
      <c r="DO471" s="24">
        <v>0</v>
      </c>
      <c r="DP471" s="24">
        <v>0</v>
      </c>
      <c r="DQ471" s="24">
        <v>0</v>
      </c>
      <c r="DR471" s="24">
        <v>0</v>
      </c>
      <c r="DS471" s="24">
        <v>0</v>
      </c>
      <c r="DT471" s="24">
        <v>0</v>
      </c>
      <c r="DV471" s="24">
        <v>0</v>
      </c>
      <c r="DW471" s="24">
        <v>0</v>
      </c>
      <c r="DX471" s="24">
        <v>0</v>
      </c>
      <c r="DY471" s="24">
        <v>0</v>
      </c>
      <c r="DZ471" s="24">
        <v>0</v>
      </c>
    </row>
    <row r="472" spans="1:130">
      <c r="A472" s="24" t="s">
        <v>142</v>
      </c>
      <c r="B472" s="24" t="s">
        <v>142</v>
      </c>
      <c r="C472" s="24" t="s">
        <v>142</v>
      </c>
      <c r="D472" s="24" t="s">
        <v>142</v>
      </c>
      <c r="E472" s="24">
        <v>60120</v>
      </c>
      <c r="F472" s="24" t="s">
        <v>1193</v>
      </c>
      <c r="G472" s="24">
        <v>0</v>
      </c>
      <c r="H472" s="24">
        <v>560120</v>
      </c>
      <c r="I472" s="24" t="s">
        <v>1193</v>
      </c>
      <c r="J472" s="24" t="s">
        <v>1193</v>
      </c>
      <c r="K472" s="24">
        <v>0</v>
      </c>
      <c r="M472" s="24">
        <v>102</v>
      </c>
      <c r="N472" s="24">
        <v>0</v>
      </c>
      <c r="P472" s="25">
        <v>2</v>
      </c>
      <c r="Q472" s="25">
        <v>655360</v>
      </c>
      <c r="R472" s="24">
        <v>0</v>
      </c>
      <c r="S472" s="25">
        <v>0</v>
      </c>
      <c r="T472" s="24"/>
      <c r="U472" s="24">
        <v>0</v>
      </c>
      <c r="V472" s="25">
        <v>0</v>
      </c>
      <c r="W472" s="24">
        <v>0</v>
      </c>
      <c r="X472" s="24">
        <v>0</v>
      </c>
      <c r="Y472" s="24">
        <v>0</v>
      </c>
      <c r="Z472" s="24">
        <v>0</v>
      </c>
      <c r="AB472" s="24">
        <v>10001</v>
      </c>
      <c r="AC472" s="24">
        <v>-1</v>
      </c>
      <c r="AD472" s="24">
        <v>-1</v>
      </c>
      <c r="AE472" s="24">
        <v>-1</v>
      </c>
      <c r="AG472" s="24">
        <v>1</v>
      </c>
      <c r="AH472" s="24">
        <v>0</v>
      </c>
      <c r="AI472" s="24">
        <v>0</v>
      </c>
      <c r="AJ472" s="24">
        <v>0</v>
      </c>
      <c r="AK472" s="24">
        <v>0</v>
      </c>
      <c r="AL472" s="24">
        <v>0</v>
      </c>
      <c r="AM472" s="24">
        <v>0</v>
      </c>
      <c r="AN472" s="24">
        <v>0</v>
      </c>
      <c r="AO472" s="24">
        <v>0</v>
      </c>
      <c r="AP472" s="24">
        <v>0</v>
      </c>
      <c r="AQ472" s="24">
        <v>0</v>
      </c>
      <c r="AR472" s="24">
        <v>0</v>
      </c>
      <c r="AS472" s="24">
        <v>0</v>
      </c>
      <c r="AT472" s="24">
        <v>0</v>
      </c>
      <c r="AU472" s="24">
        <v>0</v>
      </c>
      <c r="AV472" s="24">
        <v>0</v>
      </c>
      <c r="AW472" s="24">
        <v>0</v>
      </c>
      <c r="AX472" s="24">
        <v>0</v>
      </c>
      <c r="AY472" s="24">
        <v>0</v>
      </c>
      <c r="BA472" s="24">
        <v>0</v>
      </c>
      <c r="BB472" s="24">
        <v>900</v>
      </c>
      <c r="BC472" s="24">
        <v>900</v>
      </c>
      <c r="BD472" s="24">
        <v>0</v>
      </c>
      <c r="BE472" s="24">
        <v>0</v>
      </c>
      <c r="BF472" s="24">
        <v>0</v>
      </c>
      <c r="BG472" s="25">
        <v>1</v>
      </c>
      <c r="BH472" s="24">
        <v>1</v>
      </c>
      <c r="BI472" s="24">
        <v>0</v>
      </c>
      <c r="BJ472" s="24">
        <v>0</v>
      </c>
      <c r="BK472" s="24">
        <v>0</v>
      </c>
      <c r="BL472" s="25">
        <v>126</v>
      </c>
      <c r="BM472" s="24">
        <v>0</v>
      </c>
      <c r="BO472" s="25">
        <v>16</v>
      </c>
      <c r="BP472" s="24">
        <v>4</v>
      </c>
      <c r="BQ472" s="24">
        <v>0</v>
      </c>
      <c r="BR472" s="24">
        <v>1</v>
      </c>
      <c r="BS472" s="24">
        <v>0</v>
      </c>
      <c r="BT472" s="24">
        <v>0</v>
      </c>
      <c r="BU472" s="24">
        <v>0</v>
      </c>
      <c r="BV472" s="24">
        <v>6</v>
      </c>
      <c r="BW472" s="24">
        <v>0</v>
      </c>
      <c r="BX472" s="24">
        <v>1</v>
      </c>
      <c r="BZ472" s="24">
        <v>-1</v>
      </c>
      <c r="CA472" s="24">
        <v>0</v>
      </c>
      <c r="CB472" s="24">
        <v>0</v>
      </c>
      <c r="CC472" s="24">
        <v>0</v>
      </c>
      <c r="CD472" s="24">
        <v>0</v>
      </c>
      <c r="CE472" s="24">
        <v>0</v>
      </c>
      <c r="CG472" s="24">
        <v>-1</v>
      </c>
      <c r="CH472" s="24">
        <v>0</v>
      </c>
      <c r="CI472" s="24">
        <v>0</v>
      </c>
      <c r="CJ472" s="24">
        <v>0</v>
      </c>
      <c r="CK472" s="24">
        <v>0</v>
      </c>
      <c r="CL472" s="24">
        <v>0</v>
      </c>
      <c r="CM472" s="24">
        <v>0</v>
      </c>
      <c r="CN472" s="24">
        <v>0</v>
      </c>
      <c r="CO472" s="24">
        <v>0</v>
      </c>
      <c r="CQ472" s="24">
        <v>0</v>
      </c>
      <c r="CR472" s="24">
        <v>0</v>
      </c>
      <c r="CS472" s="24">
        <v>0</v>
      </c>
      <c r="CT472" s="24">
        <v>0</v>
      </c>
      <c r="CV472" s="34">
        <v>5202</v>
      </c>
      <c r="CW472" s="34">
        <v>0</v>
      </c>
      <c r="CX472" s="24">
        <v>-1</v>
      </c>
      <c r="CY472" s="24">
        <v>1</v>
      </c>
      <c r="CZ472" s="24">
        <v>1</v>
      </c>
      <c r="DA472" s="26">
        <v>0</v>
      </c>
      <c r="DC472" s="24">
        <v>0</v>
      </c>
      <c r="DD472" s="24">
        <v>0</v>
      </c>
      <c r="DE472" s="24">
        <v>0</v>
      </c>
      <c r="DF472" s="24">
        <v>0</v>
      </c>
      <c r="DG472" s="24">
        <v>0</v>
      </c>
      <c r="DI472" s="24">
        <v>0</v>
      </c>
      <c r="DJ472" s="24">
        <v>0</v>
      </c>
      <c r="DL472" s="24">
        <v>0</v>
      </c>
      <c r="DM472" s="24">
        <v>0</v>
      </c>
      <c r="DO472" s="24">
        <v>0</v>
      </c>
      <c r="DP472" s="24">
        <v>0</v>
      </c>
      <c r="DQ472" s="24">
        <v>0</v>
      </c>
      <c r="DR472" s="24">
        <v>0</v>
      </c>
      <c r="DS472" s="24">
        <v>0</v>
      </c>
      <c r="DT472" s="24">
        <v>0</v>
      </c>
      <c r="DV472" s="24">
        <v>0</v>
      </c>
      <c r="DW472" s="24">
        <v>0</v>
      </c>
      <c r="DX472" s="24">
        <v>0</v>
      </c>
      <c r="DY472" s="24">
        <v>0</v>
      </c>
      <c r="DZ472" s="24">
        <v>0</v>
      </c>
    </row>
    <row r="473" spans="1:130">
      <c r="A473" s="24" t="s">
        <v>142</v>
      </c>
      <c r="B473" s="24" t="s">
        <v>142</v>
      </c>
      <c r="C473" s="24" t="s">
        <v>142</v>
      </c>
      <c r="D473" s="24" t="s">
        <v>142</v>
      </c>
      <c r="E473" s="24">
        <v>60121</v>
      </c>
      <c r="F473" s="24" t="s">
        <v>1194</v>
      </c>
      <c r="G473" s="24">
        <v>0</v>
      </c>
      <c r="H473" s="24">
        <v>560121</v>
      </c>
      <c r="I473" s="24" t="s">
        <v>1194</v>
      </c>
      <c r="J473" s="24" t="s">
        <v>1194</v>
      </c>
      <c r="K473" s="24">
        <v>0</v>
      </c>
      <c r="M473" s="24">
        <v>102</v>
      </c>
      <c r="N473" s="24">
        <v>0</v>
      </c>
      <c r="P473" s="25">
        <v>2</v>
      </c>
      <c r="Q473" s="25">
        <v>655360</v>
      </c>
      <c r="R473" s="24">
        <v>0</v>
      </c>
      <c r="S473" s="25">
        <v>0</v>
      </c>
      <c r="T473" s="24"/>
      <c r="U473" s="24">
        <v>0</v>
      </c>
      <c r="V473" s="25">
        <v>0</v>
      </c>
      <c r="W473" s="24">
        <v>0</v>
      </c>
      <c r="X473" s="24">
        <v>0</v>
      </c>
      <c r="Y473" s="24">
        <v>0</v>
      </c>
      <c r="Z473" s="24">
        <v>0</v>
      </c>
      <c r="AB473" s="24">
        <v>10001</v>
      </c>
      <c r="AC473" s="24">
        <v>-1</v>
      </c>
      <c r="AD473" s="24">
        <v>-1</v>
      </c>
      <c r="AE473" s="24">
        <v>-1</v>
      </c>
      <c r="AG473" s="24">
        <v>1</v>
      </c>
      <c r="AH473" s="24">
        <v>0</v>
      </c>
      <c r="AI473" s="24">
        <v>0</v>
      </c>
      <c r="AJ473" s="24">
        <v>0</v>
      </c>
      <c r="AK473" s="24">
        <v>0</v>
      </c>
      <c r="AL473" s="24">
        <v>0</v>
      </c>
      <c r="AM473" s="24">
        <v>0</v>
      </c>
      <c r="AN473" s="24">
        <v>0</v>
      </c>
      <c r="AO473" s="24">
        <v>0</v>
      </c>
      <c r="AP473" s="24">
        <v>0</v>
      </c>
      <c r="AQ473" s="24">
        <v>0</v>
      </c>
      <c r="AR473" s="24">
        <v>0</v>
      </c>
      <c r="AS473" s="24">
        <v>0</v>
      </c>
      <c r="AT473" s="24">
        <v>0</v>
      </c>
      <c r="AU473" s="24">
        <v>0</v>
      </c>
      <c r="AV473" s="24">
        <v>0</v>
      </c>
      <c r="AW473" s="24">
        <v>0</v>
      </c>
      <c r="AX473" s="24">
        <v>0</v>
      </c>
      <c r="AY473" s="24">
        <v>0</v>
      </c>
      <c r="BA473" s="24">
        <v>0</v>
      </c>
      <c r="BB473" s="24">
        <v>1300</v>
      </c>
      <c r="BC473" s="24">
        <v>1300</v>
      </c>
      <c r="BD473" s="24">
        <v>0</v>
      </c>
      <c r="BE473" s="24">
        <v>0</v>
      </c>
      <c r="BF473" s="24">
        <v>0</v>
      </c>
      <c r="BG473" s="25">
        <v>1</v>
      </c>
      <c r="BH473" s="24">
        <v>1</v>
      </c>
      <c r="BI473" s="24">
        <v>0</v>
      </c>
      <c r="BJ473" s="24">
        <v>0</v>
      </c>
      <c r="BK473" s="24">
        <v>0</v>
      </c>
      <c r="BL473" s="25">
        <v>126</v>
      </c>
      <c r="BM473" s="24">
        <v>0</v>
      </c>
      <c r="BO473" s="25">
        <v>16</v>
      </c>
      <c r="BP473" s="24">
        <v>4</v>
      </c>
      <c r="BQ473" s="24">
        <v>0</v>
      </c>
      <c r="BR473" s="24">
        <v>1</v>
      </c>
      <c r="BS473" s="24">
        <v>0</v>
      </c>
      <c r="BT473" s="24">
        <v>0</v>
      </c>
      <c r="BU473" s="24">
        <v>0</v>
      </c>
      <c r="BV473" s="24">
        <v>6</v>
      </c>
      <c r="BW473" s="24">
        <v>0</v>
      </c>
      <c r="BX473" s="24">
        <v>1</v>
      </c>
      <c r="BZ473" s="24">
        <v>-1</v>
      </c>
      <c r="CA473" s="24">
        <v>0</v>
      </c>
      <c r="CB473" s="24">
        <v>0</v>
      </c>
      <c r="CC473" s="24">
        <v>0</v>
      </c>
      <c r="CD473" s="24">
        <v>0</v>
      </c>
      <c r="CE473" s="24">
        <v>0</v>
      </c>
      <c r="CG473" s="24">
        <v>-1</v>
      </c>
      <c r="CH473" s="24">
        <v>0</v>
      </c>
      <c r="CI473" s="24">
        <v>0</v>
      </c>
      <c r="CJ473" s="24">
        <v>0</v>
      </c>
      <c r="CK473" s="24">
        <v>0</v>
      </c>
      <c r="CL473" s="24">
        <v>0</v>
      </c>
      <c r="CM473" s="24">
        <v>0</v>
      </c>
      <c r="CN473" s="24">
        <v>0</v>
      </c>
      <c r="CO473" s="24">
        <v>0</v>
      </c>
      <c r="CQ473" s="24">
        <v>0</v>
      </c>
      <c r="CR473" s="24">
        <v>0</v>
      </c>
      <c r="CS473" s="24">
        <v>0</v>
      </c>
      <c r="CT473" s="24">
        <v>0</v>
      </c>
      <c r="CV473" s="34">
        <v>5204</v>
      </c>
      <c r="CW473" s="34">
        <v>0</v>
      </c>
      <c r="CX473" s="24">
        <v>-1</v>
      </c>
      <c r="CY473" s="24">
        <v>1</v>
      </c>
      <c r="CZ473" s="24">
        <v>1</v>
      </c>
      <c r="DA473" s="26">
        <v>0</v>
      </c>
      <c r="DC473" s="24">
        <v>0</v>
      </c>
      <c r="DD473" s="24">
        <v>0</v>
      </c>
      <c r="DE473" s="24">
        <v>0</v>
      </c>
      <c r="DF473" s="24">
        <v>0</v>
      </c>
      <c r="DG473" s="24">
        <v>0</v>
      </c>
      <c r="DI473" s="24">
        <v>0</v>
      </c>
      <c r="DJ473" s="24">
        <v>0</v>
      </c>
      <c r="DL473" s="24">
        <v>0</v>
      </c>
      <c r="DM473" s="24">
        <v>0</v>
      </c>
      <c r="DO473" s="24">
        <v>0</v>
      </c>
      <c r="DP473" s="24">
        <v>0</v>
      </c>
      <c r="DQ473" s="24">
        <v>0</v>
      </c>
      <c r="DR473" s="24">
        <v>0</v>
      </c>
      <c r="DS473" s="24">
        <v>0</v>
      </c>
      <c r="DT473" s="24">
        <v>0</v>
      </c>
      <c r="DV473" s="24">
        <v>0</v>
      </c>
      <c r="DW473" s="24">
        <v>0</v>
      </c>
      <c r="DX473" s="24">
        <v>0</v>
      </c>
      <c r="DY473" s="24">
        <v>0</v>
      </c>
      <c r="DZ473" s="24">
        <v>0</v>
      </c>
    </row>
    <row r="474" spans="1:130">
      <c r="S474" s="25"/>
      <c r="T474" s="24"/>
      <c r="CY474" s="24"/>
      <c r="CZ474" s="26"/>
    </row>
    <row r="475" spans="1:130">
      <c r="CY475" s="24"/>
      <c r="CZ475" s="26"/>
    </row>
    <row r="476" spans="1:130">
      <c r="S476" s="25"/>
      <c r="T476" s="24"/>
      <c r="CY476" s="24"/>
      <c r="CZ476" s="26"/>
    </row>
    <row r="477" spans="1:130">
      <c r="S477" s="25"/>
      <c r="T477" s="24"/>
      <c r="CY477" s="24"/>
      <c r="CZ477" s="26"/>
    </row>
    <row r="478" spans="1:130">
      <c r="S478" s="25"/>
      <c r="T478" s="24"/>
      <c r="CY478" s="24"/>
      <c r="CZ478" s="26"/>
    </row>
    <row r="479" spans="1:130">
      <c r="A479" s="24" t="s">
        <v>142</v>
      </c>
      <c r="B479" s="24" t="s">
        <v>142</v>
      </c>
      <c r="C479" s="24" t="s">
        <v>142</v>
      </c>
      <c r="D479" s="24" t="s">
        <v>142</v>
      </c>
      <c r="E479" s="24">
        <v>70000</v>
      </c>
      <c r="F479" s="24" t="s">
        <v>848</v>
      </c>
      <c r="G479" s="24">
        <v>0</v>
      </c>
      <c r="H479" s="24">
        <v>570000</v>
      </c>
      <c r="I479" s="24" t="s">
        <v>845</v>
      </c>
      <c r="J479" s="24" t="s">
        <v>845</v>
      </c>
      <c r="K479" s="24">
        <v>0</v>
      </c>
      <c r="M479" s="24">
        <v>0</v>
      </c>
      <c r="N479" s="24">
        <v>0</v>
      </c>
      <c r="P479" s="25">
        <v>2</v>
      </c>
      <c r="Q479" s="25">
        <v>512</v>
      </c>
      <c r="R479" s="24">
        <v>0</v>
      </c>
      <c r="S479" s="25">
        <v>0</v>
      </c>
      <c r="T479" s="24"/>
      <c r="U479" s="24">
        <v>0</v>
      </c>
      <c r="V479" s="25">
        <v>0</v>
      </c>
      <c r="W479" s="24">
        <v>0</v>
      </c>
      <c r="X479" s="24">
        <v>0</v>
      </c>
      <c r="Y479" s="24">
        <v>0</v>
      </c>
      <c r="Z479" s="24">
        <v>0</v>
      </c>
      <c r="AB479" s="24">
        <v>10001</v>
      </c>
      <c r="AC479" s="24">
        <v>-1</v>
      </c>
      <c r="AD479" s="24">
        <v>-1</v>
      </c>
      <c r="AE479" s="24">
        <v>-1</v>
      </c>
      <c r="AG479" s="24">
        <v>2</v>
      </c>
      <c r="AH479" s="24">
        <v>0</v>
      </c>
      <c r="AI479" s="24">
        <v>0</v>
      </c>
      <c r="AJ479" s="24">
        <v>0</v>
      </c>
      <c r="AK479" s="24">
        <v>0</v>
      </c>
      <c r="AL479" s="24">
        <v>3</v>
      </c>
      <c r="AM479" s="24">
        <v>0</v>
      </c>
      <c r="AN479" s="24">
        <v>0</v>
      </c>
      <c r="AO479" s="24">
        <v>0</v>
      </c>
      <c r="AP479" s="24">
        <v>5000</v>
      </c>
      <c r="AQ479" s="24">
        <v>0</v>
      </c>
      <c r="AR479" s="24">
        <v>1000</v>
      </c>
      <c r="AS479" s="24">
        <v>1000</v>
      </c>
      <c r="AT479" s="24">
        <v>5</v>
      </c>
      <c r="AU479" s="24">
        <v>7006</v>
      </c>
      <c r="AV479" s="24">
        <v>0</v>
      </c>
      <c r="AW479" s="24">
        <v>0</v>
      </c>
      <c r="AX479" s="24">
        <v>0</v>
      </c>
      <c r="AY479" s="24">
        <v>0</v>
      </c>
      <c r="BA479" s="24">
        <v>0</v>
      </c>
      <c r="BB479" s="24">
        <v>300</v>
      </c>
      <c r="BC479" s="24">
        <v>300</v>
      </c>
      <c r="BD479" s="24">
        <v>0</v>
      </c>
      <c r="BE479" s="24">
        <v>0</v>
      </c>
      <c r="BF479" s="24">
        <v>0</v>
      </c>
      <c r="BG479" s="25">
        <v>1</v>
      </c>
      <c r="BH479" s="24">
        <v>1</v>
      </c>
      <c r="BI479" s="24">
        <v>0</v>
      </c>
      <c r="BJ479" s="24">
        <v>0</v>
      </c>
      <c r="BK479" s="24">
        <v>0</v>
      </c>
      <c r="BL479" s="25">
        <v>126</v>
      </c>
      <c r="BM479" s="24">
        <v>0</v>
      </c>
      <c r="BO479" s="25">
        <v>1</v>
      </c>
      <c r="BP479" s="24">
        <v>5</v>
      </c>
      <c r="BQ479" s="24">
        <v>0</v>
      </c>
      <c r="BR479" s="24">
        <v>2</v>
      </c>
      <c r="BS479" s="24">
        <v>50</v>
      </c>
      <c r="BT479" s="24">
        <v>0</v>
      </c>
      <c r="BU479" s="24">
        <v>0</v>
      </c>
      <c r="BV479" s="24">
        <v>6</v>
      </c>
      <c r="BW479" s="24">
        <v>0</v>
      </c>
      <c r="BX479" s="24">
        <v>4</v>
      </c>
      <c r="BZ479" s="24">
        <v>70000</v>
      </c>
      <c r="CA479" s="24">
        <v>0</v>
      </c>
      <c r="CB479" s="24">
        <v>0</v>
      </c>
      <c r="CC479" s="24">
        <v>0</v>
      </c>
      <c r="CD479" s="24">
        <v>0</v>
      </c>
      <c r="CE479" s="24">
        <v>0</v>
      </c>
      <c r="CG479" s="24">
        <v>-1</v>
      </c>
      <c r="CH479" s="24">
        <v>0</v>
      </c>
      <c r="CI479" s="24">
        <v>0</v>
      </c>
      <c r="CJ479" s="24">
        <v>0</v>
      </c>
      <c r="CK479" s="24">
        <v>0</v>
      </c>
      <c r="CL479" s="24">
        <v>0</v>
      </c>
      <c r="CM479" s="24">
        <v>0</v>
      </c>
      <c r="CN479" s="24">
        <v>0</v>
      </c>
      <c r="CO479" s="24">
        <v>0</v>
      </c>
      <c r="CQ479" s="24">
        <v>0</v>
      </c>
      <c r="CR479" s="24">
        <v>0</v>
      </c>
      <c r="CS479" s="24">
        <v>0</v>
      </c>
      <c r="CT479" s="24">
        <v>0</v>
      </c>
      <c r="CV479" s="24">
        <v>0</v>
      </c>
      <c r="CW479" s="24">
        <v>0</v>
      </c>
      <c r="CX479" s="24">
        <v>-1</v>
      </c>
      <c r="CY479" s="26">
        <v>0</v>
      </c>
      <c r="CZ479" s="24">
        <v>0</v>
      </c>
      <c r="DA479" s="24">
        <v>0</v>
      </c>
      <c r="DC479" s="24">
        <v>0</v>
      </c>
      <c r="DD479" s="24">
        <v>0</v>
      </c>
      <c r="DE479" s="24">
        <v>0</v>
      </c>
      <c r="DF479" s="24">
        <v>0</v>
      </c>
      <c r="DG479" s="24">
        <v>0</v>
      </c>
      <c r="DI479" s="24">
        <v>0</v>
      </c>
      <c r="DJ479" s="24">
        <v>0</v>
      </c>
      <c r="DL479" s="24">
        <v>0</v>
      </c>
      <c r="DM479" s="24">
        <v>0</v>
      </c>
      <c r="DO479" s="24">
        <v>0</v>
      </c>
      <c r="DP479" s="24">
        <v>0</v>
      </c>
      <c r="DQ479" s="24">
        <v>0</v>
      </c>
      <c r="DR479" s="24">
        <v>0</v>
      </c>
      <c r="DS479" s="24">
        <v>0</v>
      </c>
      <c r="DT479" s="24">
        <v>0</v>
      </c>
      <c r="DV479" s="24">
        <v>0</v>
      </c>
      <c r="DW479" s="24">
        <v>0</v>
      </c>
      <c r="DX479" s="24">
        <v>0</v>
      </c>
      <c r="DY479" s="24">
        <v>0</v>
      </c>
      <c r="DZ479" s="24">
        <v>0</v>
      </c>
    </row>
    <row r="480" spans="1:130">
      <c r="A480" s="24" t="s">
        <v>142</v>
      </c>
      <c r="B480" s="24" t="s">
        <v>142</v>
      </c>
      <c r="C480" s="24" t="s">
        <v>142</v>
      </c>
      <c r="D480" s="24" t="s">
        <v>142</v>
      </c>
      <c r="E480" s="24">
        <v>70001</v>
      </c>
      <c r="F480" s="24" t="s">
        <v>855</v>
      </c>
      <c r="G480" s="24">
        <v>0</v>
      </c>
      <c r="H480" s="24">
        <v>570001</v>
      </c>
      <c r="I480" s="24" t="s">
        <v>847</v>
      </c>
      <c r="J480" s="24" t="s">
        <v>847</v>
      </c>
      <c r="K480" s="24">
        <v>0</v>
      </c>
      <c r="M480" s="24">
        <v>0</v>
      </c>
      <c r="N480" s="24">
        <v>0</v>
      </c>
      <c r="P480" s="25">
        <v>2</v>
      </c>
      <c r="Q480" s="25">
        <v>0</v>
      </c>
      <c r="R480" s="24">
        <v>0</v>
      </c>
      <c r="S480" s="25">
        <v>0</v>
      </c>
      <c r="T480" s="24"/>
      <c r="U480" s="24">
        <v>0</v>
      </c>
      <c r="V480" s="25">
        <v>0</v>
      </c>
      <c r="W480" s="24">
        <v>0</v>
      </c>
      <c r="X480" s="24">
        <v>0</v>
      </c>
      <c r="Y480" s="24">
        <v>0</v>
      </c>
      <c r="Z480" s="24">
        <v>0</v>
      </c>
      <c r="AB480" s="24">
        <v>10001</v>
      </c>
      <c r="AC480" s="24">
        <v>-1</v>
      </c>
      <c r="AD480" s="24">
        <v>-1</v>
      </c>
      <c r="AE480" s="24">
        <v>-1</v>
      </c>
      <c r="AG480" s="24">
        <v>1</v>
      </c>
      <c r="AH480" s="24">
        <v>0</v>
      </c>
      <c r="AI480" s="24">
        <v>0</v>
      </c>
      <c r="AJ480" s="24">
        <v>0</v>
      </c>
      <c r="AK480" s="24">
        <v>0</v>
      </c>
      <c r="AL480" s="24">
        <v>0</v>
      </c>
      <c r="AM480" s="24">
        <v>0</v>
      </c>
      <c r="AN480" s="24">
        <v>0</v>
      </c>
      <c r="AO480" s="24">
        <v>0</v>
      </c>
      <c r="AP480" s="24">
        <v>0</v>
      </c>
      <c r="AQ480" s="24">
        <v>0</v>
      </c>
      <c r="AR480" s="24">
        <v>0</v>
      </c>
      <c r="AS480" s="24">
        <v>0</v>
      </c>
      <c r="AT480" s="24">
        <v>0</v>
      </c>
      <c r="AU480" s="24">
        <v>0</v>
      </c>
      <c r="AV480" s="24">
        <v>0</v>
      </c>
      <c r="AW480" s="24">
        <v>0</v>
      </c>
      <c r="AX480" s="24">
        <v>0</v>
      </c>
      <c r="AY480" s="24">
        <v>0</v>
      </c>
      <c r="BA480" s="24">
        <v>0</v>
      </c>
      <c r="BB480" s="24">
        <v>500</v>
      </c>
      <c r="BC480" s="24">
        <v>1000</v>
      </c>
      <c r="BD480" s="24">
        <v>0</v>
      </c>
      <c r="BE480" s="24">
        <v>0</v>
      </c>
      <c r="BF480" s="24">
        <v>1</v>
      </c>
      <c r="BG480" s="25">
        <v>0</v>
      </c>
      <c r="BH480" s="24">
        <v>1</v>
      </c>
      <c r="BI480" s="24">
        <v>0</v>
      </c>
      <c r="BJ480" s="24">
        <v>0</v>
      </c>
      <c r="BK480" s="24">
        <v>0</v>
      </c>
      <c r="BL480" s="25">
        <v>126</v>
      </c>
      <c r="BM480" s="24">
        <v>0</v>
      </c>
      <c r="BO480" s="25">
        <v>16</v>
      </c>
      <c r="BP480" s="24">
        <v>0</v>
      </c>
      <c r="BQ480" s="24">
        <v>0</v>
      </c>
      <c r="BR480" s="24">
        <v>2</v>
      </c>
      <c r="BS480" s="24">
        <v>60</v>
      </c>
      <c r="BT480" s="24">
        <v>0</v>
      </c>
      <c r="BU480" s="24">
        <v>0</v>
      </c>
      <c r="BV480" s="24">
        <v>6</v>
      </c>
      <c r="BW480" s="24">
        <v>0</v>
      </c>
      <c r="BX480" s="24">
        <v>4</v>
      </c>
      <c r="BZ480" s="24">
        <v>-1</v>
      </c>
      <c r="CA480" s="24">
        <v>0</v>
      </c>
      <c r="CB480" s="24">
        <v>-1</v>
      </c>
      <c r="CC480" s="24">
        <v>-1</v>
      </c>
      <c r="CD480" s="24">
        <v>-1</v>
      </c>
      <c r="CE480" s="24">
        <v>-1</v>
      </c>
      <c r="CG480" s="24">
        <v>0</v>
      </c>
      <c r="CH480" s="24">
        <v>0</v>
      </c>
      <c r="CI480" s="24">
        <v>0</v>
      </c>
      <c r="CJ480" s="24">
        <v>0</v>
      </c>
      <c r="CK480" s="24">
        <v>1</v>
      </c>
      <c r="CL480" s="24">
        <v>2</v>
      </c>
      <c r="CM480" s="24">
        <v>0</v>
      </c>
      <c r="CN480" s="24">
        <v>1000</v>
      </c>
      <c r="CO480" s="24">
        <v>1000</v>
      </c>
      <c r="CQ480" s="24">
        <v>0</v>
      </c>
      <c r="CR480" s="24">
        <v>0</v>
      </c>
      <c r="CS480" s="24">
        <v>0</v>
      </c>
      <c r="CT480" s="24">
        <v>0</v>
      </c>
      <c r="CV480" s="24">
        <v>0</v>
      </c>
      <c r="CW480" s="24">
        <v>10</v>
      </c>
      <c r="CX480" s="24">
        <v>-1</v>
      </c>
      <c r="CY480" s="26">
        <v>3</v>
      </c>
      <c r="CZ480" s="24">
        <v>10</v>
      </c>
      <c r="DA480" s="24">
        <v>0</v>
      </c>
      <c r="DC480" s="24">
        <v>0</v>
      </c>
      <c r="DD480" s="24">
        <v>0</v>
      </c>
      <c r="DE480" s="24">
        <v>0</v>
      </c>
      <c r="DF480" s="24">
        <v>0</v>
      </c>
      <c r="DG480" s="24">
        <v>-1</v>
      </c>
      <c r="DI480" s="24">
        <v>0</v>
      </c>
      <c r="DJ480" s="24">
        <v>0</v>
      </c>
      <c r="DL480" s="24">
        <v>0</v>
      </c>
      <c r="DM480" s="24">
        <v>0</v>
      </c>
      <c r="DO480" s="24">
        <v>0</v>
      </c>
      <c r="DP480" s="24">
        <v>0</v>
      </c>
      <c r="DQ480" s="24">
        <v>0</v>
      </c>
      <c r="DR480" s="24">
        <v>0</v>
      </c>
      <c r="DS480" s="24">
        <v>0</v>
      </c>
      <c r="DT480" s="24">
        <v>0</v>
      </c>
      <c r="DV480" s="24">
        <v>0</v>
      </c>
      <c r="DW480" s="24">
        <v>0</v>
      </c>
      <c r="DX480" s="24">
        <v>0</v>
      </c>
      <c r="DY480" s="24">
        <v>0</v>
      </c>
      <c r="DZ480" s="24">
        <v>0</v>
      </c>
    </row>
  </sheetData>
  <dataConsolidate/>
  <phoneticPr fontId="1" type="noConversion"/>
  <conditionalFormatting sqref="A5">
    <cfRule type="cellIs" dxfId="1" priority="1" operator="greaterThan">
      <formula>0</formula>
    </cfRule>
  </conditionalFormatting>
  <dataValidations xWindow="1137" yWindow="620" count="2">
    <dataValidation allowBlank="1" showErrorMessage="1" error="只能是整数" sqref="CV252:CV260 CY371:CY379 K393:K404 K481:K1048576 G371:G379 G252:G260 DC371:DZ379 CY252:DW260"/>
    <dataValidation type="whole" allowBlank="1" showErrorMessage="1" error="只能是整数" sqref="CR243:CX245 CB243:CF249 U247:X249 U243:X245 Y243:Y249 BW243:BW249 Z247:AA249 Z243:AA245 AC243:AE245 S243:S251 BP247:BQ251 CZ371:DB379 AB243:AB251 U250:AA251 M247:R251 M243:R245 CR247:CX251 CW252:CX260 AC247:AE249 U252:AB260 AC251:AE259 M252:S260 CV371:CX379 M371:S379 BP252:BR260 BV250:BX260 BS247:BU260 BX247:BX249 BX243:CF245 CG252:CU260 CG243:CQ251 BY247:CF260 AF243:BO260 BO243:BV245 BO250:BR251 EA247:XFD260 BO247:BV249 K371:K379 EA371:XFD379 DW247:DZ251 K243:K245 DW243:XFD245 K247:K260 DX252:DZ260 U371:CS379">
      <formula1>-1</formula1>
      <formula2>99999999999</formula2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J138"/>
  <sheetViews>
    <sheetView workbookViewId="0">
      <pane xSplit="10" ySplit="7" topLeftCell="K103" activePane="bottomRight" state="frozen"/>
      <selection pane="topRight" activeCell="G1" sqref="G1"/>
      <selection pane="bottomLeft" activeCell="A6" sqref="A6"/>
      <selection pane="bottomRight" activeCell="M21" sqref="M21"/>
    </sheetView>
  </sheetViews>
  <sheetFormatPr defaultColWidth="9" defaultRowHeight="14.25"/>
  <cols>
    <col min="1" max="1" width="5.5" style="1" bestFit="1" customWidth="1"/>
    <col min="2" max="2" width="2.25" style="1" bestFit="1" customWidth="1"/>
    <col min="3" max="4" width="2.25" style="1" customWidth="1"/>
    <col min="5" max="5" width="6.5" style="1" bestFit="1" customWidth="1"/>
    <col min="6" max="6" width="24" style="1" bestFit="1" customWidth="1"/>
    <col min="7" max="7" width="12.25" style="1" bestFit="1" customWidth="1"/>
    <col min="8" max="8" width="24" style="1" bestFit="1" customWidth="1"/>
    <col min="9" max="9" width="10.875" style="1" bestFit="1" customWidth="1"/>
    <col min="10" max="10" width="24" style="1" bestFit="1" customWidth="1"/>
    <col min="11" max="11" width="13" style="8" bestFit="1" customWidth="1"/>
    <col min="12" max="12" width="12.25" style="8" bestFit="1" customWidth="1"/>
    <col min="13" max="13" width="13.125" style="8" bestFit="1" customWidth="1"/>
    <col min="14" max="14" width="15.625" style="8" customWidth="1"/>
    <col min="15" max="15" width="17.125" style="8" bestFit="1" customWidth="1"/>
    <col min="16" max="16" width="16" style="1" bestFit="1" customWidth="1"/>
    <col min="17" max="17" width="21.25" style="1" bestFit="1" customWidth="1"/>
    <col min="18" max="18" width="13.5" style="1" bestFit="1" customWidth="1"/>
    <col min="19" max="19" width="12.75" style="1" bestFit="1" customWidth="1"/>
    <col min="20" max="20" width="17.25" style="1" bestFit="1" customWidth="1"/>
    <col min="21" max="21" width="12.5" style="1" bestFit="1" customWidth="1"/>
    <col min="22" max="22" width="20.25" style="1" bestFit="1" customWidth="1"/>
    <col min="23" max="23" width="14.375" style="1" bestFit="1" customWidth="1"/>
    <col min="24" max="24" width="20.25" style="1" bestFit="1" customWidth="1"/>
    <col min="25" max="27" width="19.875" style="1" bestFit="1" customWidth="1"/>
    <col min="28" max="28" width="12.125" style="1" bestFit="1" customWidth="1"/>
    <col min="29" max="29" width="16.375" style="1" bestFit="1" customWidth="1"/>
    <col min="30" max="30" width="15.5" style="1" bestFit="1" customWidth="1"/>
    <col min="31" max="31" width="17.875" style="1" bestFit="1" customWidth="1"/>
    <col min="32" max="32" width="18.875" style="1" bestFit="1" customWidth="1"/>
    <col min="33" max="33" width="21.25" style="1" bestFit="1" customWidth="1"/>
    <col min="34" max="34" width="21" style="1" customWidth="1"/>
    <col min="35" max="35" width="14.625" style="1" customWidth="1"/>
    <col min="36" max="36" width="14.625" style="12" customWidth="1"/>
    <col min="37" max="16384" width="9" style="1"/>
  </cols>
  <sheetData>
    <row r="1" spans="1:36" ht="8.1" customHeight="1">
      <c r="A1" s="6" t="s">
        <v>151</v>
      </c>
      <c r="E1" s="1" t="s">
        <v>143</v>
      </c>
      <c r="G1" s="1" t="s">
        <v>143</v>
      </c>
      <c r="I1" s="1" t="s">
        <v>143</v>
      </c>
      <c r="K1" s="1" t="s">
        <v>143</v>
      </c>
      <c r="L1" s="1" t="s">
        <v>143</v>
      </c>
      <c r="M1" s="1" t="s">
        <v>143</v>
      </c>
      <c r="N1" s="1" t="s">
        <v>143</v>
      </c>
      <c r="O1" s="1" t="s">
        <v>143</v>
      </c>
      <c r="P1" s="1" t="s">
        <v>143</v>
      </c>
      <c r="Q1" s="1" t="s">
        <v>143</v>
      </c>
      <c r="R1" s="1" t="s">
        <v>143</v>
      </c>
      <c r="S1" s="1" t="s">
        <v>143</v>
      </c>
      <c r="T1" s="1" t="s">
        <v>143</v>
      </c>
      <c r="U1" s="1" t="s">
        <v>143</v>
      </c>
      <c r="V1" s="1" t="s">
        <v>143</v>
      </c>
      <c r="W1" s="1" t="s">
        <v>143</v>
      </c>
      <c r="X1" s="1" t="s">
        <v>143</v>
      </c>
      <c r="Y1" s="1" t="s">
        <v>143</v>
      </c>
      <c r="Z1" s="1" t="s">
        <v>143</v>
      </c>
      <c r="AA1" s="1" t="s">
        <v>143</v>
      </c>
      <c r="AB1" s="1" t="s">
        <v>143</v>
      </c>
      <c r="AC1" s="1" t="s">
        <v>143</v>
      </c>
      <c r="AD1" s="1" t="s">
        <v>143</v>
      </c>
      <c r="AE1" s="1" t="s">
        <v>143</v>
      </c>
      <c r="AF1" s="1" t="s">
        <v>143</v>
      </c>
      <c r="AG1" s="1" t="s">
        <v>143</v>
      </c>
    </row>
    <row r="2" spans="1:36" ht="8.1" customHeight="1">
      <c r="A2" s="6" t="s">
        <v>152</v>
      </c>
      <c r="E2" s="1" t="s">
        <v>143</v>
      </c>
      <c r="G2" s="1" t="s">
        <v>143</v>
      </c>
      <c r="I2" s="1" t="s">
        <v>143</v>
      </c>
      <c r="K2" s="1" t="s">
        <v>143</v>
      </c>
      <c r="L2" s="1" t="s">
        <v>143</v>
      </c>
      <c r="M2" s="1" t="s">
        <v>143</v>
      </c>
      <c r="N2" s="1" t="s">
        <v>143</v>
      </c>
      <c r="O2" s="1" t="s">
        <v>143</v>
      </c>
      <c r="P2" s="1" t="s">
        <v>143</v>
      </c>
      <c r="Q2" s="1" t="s">
        <v>143</v>
      </c>
      <c r="R2" s="1" t="s">
        <v>143</v>
      </c>
      <c r="S2" s="1" t="s">
        <v>143</v>
      </c>
      <c r="T2" s="1" t="s">
        <v>143</v>
      </c>
      <c r="U2" s="1" t="s">
        <v>143</v>
      </c>
      <c r="V2" s="1" t="s">
        <v>143</v>
      </c>
      <c r="W2" s="1" t="s">
        <v>143</v>
      </c>
      <c r="X2" s="1" t="s">
        <v>143</v>
      </c>
      <c r="Y2" s="1" t="s">
        <v>143</v>
      </c>
      <c r="Z2" s="1" t="s">
        <v>143</v>
      </c>
      <c r="AA2" s="1" t="s">
        <v>143</v>
      </c>
      <c r="AB2" s="1" t="s">
        <v>143</v>
      </c>
      <c r="AC2" s="1" t="s">
        <v>143</v>
      </c>
      <c r="AD2" s="1" t="s">
        <v>143</v>
      </c>
      <c r="AE2" s="1" t="s">
        <v>143</v>
      </c>
      <c r="AF2" s="1" t="s">
        <v>143</v>
      </c>
      <c r="AG2" s="1" t="s">
        <v>143</v>
      </c>
      <c r="AH2" s="1" t="s">
        <v>143</v>
      </c>
      <c r="AI2" s="1" t="s">
        <v>143</v>
      </c>
      <c r="AJ2" s="12" t="s">
        <v>143</v>
      </c>
    </row>
    <row r="3" spans="1:36" ht="8.1" customHeight="1">
      <c r="A3" s="6" t="s">
        <v>153</v>
      </c>
      <c r="G3" s="1" t="s">
        <v>150</v>
      </c>
      <c r="H3" s="1" t="s">
        <v>150</v>
      </c>
      <c r="K3" s="1"/>
      <c r="L3" s="1"/>
      <c r="M3" s="1"/>
      <c r="N3" s="1"/>
      <c r="O3" s="1"/>
    </row>
    <row r="4" spans="1:36" ht="8.1" customHeight="1">
      <c r="A4" s="6" t="s">
        <v>154</v>
      </c>
      <c r="I4" s="1" t="s">
        <v>150</v>
      </c>
      <c r="J4" s="1" t="s">
        <v>150</v>
      </c>
      <c r="K4" s="1"/>
      <c r="L4" s="1"/>
      <c r="M4" s="1"/>
      <c r="N4" s="1"/>
      <c r="O4" s="1"/>
    </row>
    <row r="5" spans="1:36" s="2" customFormat="1">
      <c r="A5" s="2" t="e">
        <f>MODE(E:E)</f>
        <v>#N/A</v>
      </c>
      <c r="E5" s="2" t="s">
        <v>125</v>
      </c>
      <c r="F5" s="2" t="s">
        <v>116</v>
      </c>
      <c r="G5" s="2" t="s">
        <v>148</v>
      </c>
      <c r="H5" s="2" t="s">
        <v>114</v>
      </c>
      <c r="I5" s="2" t="s">
        <v>145</v>
      </c>
      <c r="J5" s="2" t="s">
        <v>115</v>
      </c>
      <c r="K5" s="2" t="s">
        <v>138</v>
      </c>
      <c r="L5" s="2" t="s">
        <v>1201</v>
      </c>
      <c r="M5" s="2" t="s">
        <v>83</v>
      </c>
      <c r="N5" s="2" t="s">
        <v>139</v>
      </c>
      <c r="O5" s="2" t="s">
        <v>140</v>
      </c>
      <c r="P5" s="2" t="s">
        <v>141</v>
      </c>
      <c r="Q5" s="2" t="s">
        <v>81</v>
      </c>
      <c r="R5" s="2" t="s">
        <v>85</v>
      </c>
      <c r="S5" s="2" t="s">
        <v>87</v>
      </c>
      <c r="T5" s="2" t="s">
        <v>89</v>
      </c>
      <c r="U5" s="2" t="s">
        <v>90</v>
      </c>
      <c r="V5" s="2" t="s">
        <v>94</v>
      </c>
      <c r="W5" s="2" t="s">
        <v>92</v>
      </c>
      <c r="X5" s="2" t="s">
        <v>96</v>
      </c>
      <c r="Y5" s="2" t="s">
        <v>1147</v>
      </c>
      <c r="Z5" s="2" t="s">
        <v>99</v>
      </c>
      <c r="AA5" s="2" t="s">
        <v>101</v>
      </c>
      <c r="AB5" s="2" t="s">
        <v>103</v>
      </c>
      <c r="AC5" s="2" t="s">
        <v>105</v>
      </c>
      <c r="AD5" s="2" t="s">
        <v>107</v>
      </c>
      <c r="AE5" s="2" t="s">
        <v>109</v>
      </c>
      <c r="AF5" s="2" t="s">
        <v>111</v>
      </c>
      <c r="AG5" s="2" t="s">
        <v>127</v>
      </c>
      <c r="AH5" s="2" t="s">
        <v>588</v>
      </c>
      <c r="AI5" s="2" t="s">
        <v>589</v>
      </c>
      <c r="AJ5" s="2" t="s">
        <v>944</v>
      </c>
    </row>
    <row r="6" spans="1:36" s="3" customFormat="1">
      <c r="A6" s="3" t="s">
        <v>143</v>
      </c>
      <c r="B6" s="3" t="s">
        <v>143</v>
      </c>
      <c r="C6" s="3" t="s">
        <v>150</v>
      </c>
      <c r="D6" s="3" t="s">
        <v>150</v>
      </c>
      <c r="E6" s="3" t="s">
        <v>125</v>
      </c>
      <c r="F6" s="3" t="s">
        <v>122</v>
      </c>
      <c r="G6" s="3" t="s">
        <v>147</v>
      </c>
      <c r="H6" s="3" t="s">
        <v>149</v>
      </c>
      <c r="I6" s="3" t="s">
        <v>157</v>
      </c>
      <c r="J6" s="3" t="s">
        <v>146</v>
      </c>
      <c r="K6" s="3" t="s">
        <v>254</v>
      </c>
      <c r="L6" s="3" t="s">
        <v>255</v>
      </c>
      <c r="M6" s="4" t="s">
        <v>84</v>
      </c>
      <c r="N6" s="3" t="s">
        <v>256</v>
      </c>
      <c r="O6" s="3" t="s">
        <v>257</v>
      </c>
      <c r="P6" s="3" t="s">
        <v>80</v>
      </c>
      <c r="Q6" s="3" t="s">
        <v>82</v>
      </c>
      <c r="R6" s="3" t="s">
        <v>86</v>
      </c>
      <c r="S6" s="4" t="s">
        <v>88</v>
      </c>
      <c r="T6" s="3" t="s">
        <v>577</v>
      </c>
      <c r="U6" s="3" t="s">
        <v>91</v>
      </c>
      <c r="V6" s="3" t="s">
        <v>95</v>
      </c>
      <c r="W6" s="3" t="s">
        <v>93</v>
      </c>
      <c r="X6" s="3" t="s">
        <v>97</v>
      </c>
      <c r="Y6" s="3" t="s">
        <v>98</v>
      </c>
      <c r="Z6" s="3" t="s">
        <v>100</v>
      </c>
      <c r="AA6" s="3" t="s">
        <v>102</v>
      </c>
      <c r="AB6" s="3" t="s">
        <v>104</v>
      </c>
      <c r="AC6" s="3" t="s">
        <v>106</v>
      </c>
      <c r="AD6" s="3" t="s">
        <v>108</v>
      </c>
      <c r="AE6" s="3" t="s">
        <v>110</v>
      </c>
      <c r="AF6" s="3" t="s">
        <v>112</v>
      </c>
      <c r="AG6" s="3" t="s">
        <v>113</v>
      </c>
      <c r="AH6" s="4" t="s">
        <v>270</v>
      </c>
      <c r="AI6" s="4" t="s">
        <v>590</v>
      </c>
      <c r="AJ6" s="4" t="s">
        <v>945</v>
      </c>
    </row>
    <row r="7" spans="1:36" s="5" customFormat="1">
      <c r="A7" s="5" t="s">
        <v>143</v>
      </c>
      <c r="B7" s="5" t="s">
        <v>143</v>
      </c>
      <c r="C7" s="5" t="s">
        <v>150</v>
      </c>
      <c r="D7" s="5" t="s">
        <v>150</v>
      </c>
      <c r="E7" s="5" t="s">
        <v>126</v>
      </c>
      <c r="F7" s="5" t="s">
        <v>124</v>
      </c>
      <c r="G7" s="5" t="s">
        <v>123</v>
      </c>
      <c r="H7" s="5" t="s">
        <v>124</v>
      </c>
      <c r="I7" s="5" t="s">
        <v>123</v>
      </c>
      <c r="J7" s="5" t="s">
        <v>124</v>
      </c>
      <c r="K7" s="5" t="s">
        <v>40</v>
      </c>
      <c r="L7" s="5" t="s">
        <v>40</v>
      </c>
      <c r="M7" s="5" t="s">
        <v>40</v>
      </c>
      <c r="N7" s="5" t="s">
        <v>40</v>
      </c>
      <c r="O7" s="5" t="s">
        <v>40</v>
      </c>
      <c r="P7" s="5" t="s">
        <v>40</v>
      </c>
      <c r="Q7" s="5" t="s">
        <v>40</v>
      </c>
      <c r="R7" s="5" t="s">
        <v>40</v>
      </c>
      <c r="S7" s="5" t="s">
        <v>40</v>
      </c>
      <c r="T7" s="5" t="s">
        <v>40</v>
      </c>
      <c r="U7" s="5" t="s">
        <v>40</v>
      </c>
      <c r="V7" s="5" t="s">
        <v>40</v>
      </c>
      <c r="W7" s="5" t="s">
        <v>40</v>
      </c>
      <c r="X7" s="5" t="s">
        <v>40</v>
      </c>
      <c r="Y7" s="5" t="s">
        <v>40</v>
      </c>
      <c r="Z7" s="5" t="s">
        <v>40</v>
      </c>
      <c r="AA7" s="5" t="s">
        <v>40</v>
      </c>
      <c r="AB7" s="5" t="s">
        <v>40</v>
      </c>
      <c r="AC7" s="5" t="s">
        <v>40</v>
      </c>
      <c r="AD7" s="5" t="s">
        <v>40</v>
      </c>
      <c r="AE7" s="5" t="s">
        <v>40</v>
      </c>
      <c r="AF7" s="5" t="s">
        <v>40</v>
      </c>
      <c r="AG7" s="5" t="s">
        <v>40</v>
      </c>
      <c r="AH7" s="5" t="s">
        <v>124</v>
      </c>
      <c r="AI7" s="5" t="s">
        <v>124</v>
      </c>
      <c r="AJ7" s="5" t="s">
        <v>40</v>
      </c>
    </row>
    <row r="8" spans="1:36" s="5" customFormat="1">
      <c r="F8" s="7" t="s">
        <v>161</v>
      </c>
    </row>
    <row r="10" spans="1:36">
      <c r="A10" s="1" t="s">
        <v>143</v>
      </c>
      <c r="B10" s="1" t="s">
        <v>143</v>
      </c>
      <c r="C10" s="1" t="s">
        <v>143</v>
      </c>
      <c r="D10" s="1" t="s">
        <v>143</v>
      </c>
      <c r="E10" s="1">
        <v>100</v>
      </c>
      <c r="F10" s="1" t="s">
        <v>493</v>
      </c>
      <c r="G10" s="1">
        <f>IF( AND(H10&lt;&gt;"",E10&lt;&gt;""),600000+E10,"")</f>
        <v>600100</v>
      </c>
      <c r="H10" s="1" t="s">
        <v>668</v>
      </c>
      <c r="I10" s="1">
        <f>IF( AND(J10&lt;&gt;"",E10&lt;&gt;""),900000+E10,"")</f>
        <v>900100</v>
      </c>
      <c r="J10" s="1" t="s">
        <v>668</v>
      </c>
      <c r="K10" s="8">
        <v>1</v>
      </c>
      <c r="L10" s="8">
        <v>1</v>
      </c>
      <c r="M10" s="8">
        <v>262144</v>
      </c>
      <c r="N10" s="8">
        <v>2</v>
      </c>
      <c r="O10" s="8">
        <v>0</v>
      </c>
      <c r="P10" s="1">
        <v>0</v>
      </c>
      <c r="Q10" s="1">
        <v>0</v>
      </c>
      <c r="R10" s="1">
        <v>0</v>
      </c>
      <c r="S10" s="1">
        <v>1</v>
      </c>
      <c r="T10" s="1">
        <v>600000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0</v>
      </c>
      <c r="AJ10" s="12">
        <v>0</v>
      </c>
    </row>
    <row r="11" spans="1:36">
      <c r="A11" s="1" t="s">
        <v>143</v>
      </c>
      <c r="B11" s="1" t="s">
        <v>143</v>
      </c>
      <c r="C11" s="1" t="s">
        <v>143</v>
      </c>
      <c r="D11" s="1" t="s">
        <v>143</v>
      </c>
      <c r="E11" s="1">
        <v>101</v>
      </c>
      <c r="F11" s="1" t="s">
        <v>494</v>
      </c>
      <c r="G11" s="1">
        <f t="shared" ref="G11:G122" si="0">IF( AND(H11&lt;&gt;"",E11&lt;&gt;""),600000+E11,"")</f>
        <v>600101</v>
      </c>
      <c r="H11" s="1" t="s">
        <v>669</v>
      </c>
      <c r="I11" s="1">
        <f t="shared" ref="I11:I122" si="1">IF( AND(J11&lt;&gt;"",E11&lt;&gt;""),900000+E11,"")</f>
        <v>900101</v>
      </c>
      <c r="J11" s="1" t="s">
        <v>669</v>
      </c>
      <c r="K11" s="8">
        <v>1</v>
      </c>
      <c r="L11" s="8">
        <v>1</v>
      </c>
      <c r="M11" s="8">
        <v>0</v>
      </c>
      <c r="N11" s="8">
        <v>2</v>
      </c>
      <c r="O11" s="8">
        <v>0</v>
      </c>
      <c r="P11" s="1">
        <v>0</v>
      </c>
      <c r="Q11" s="1">
        <v>0</v>
      </c>
      <c r="R11" s="1">
        <v>0</v>
      </c>
      <c r="S11" s="1">
        <v>1</v>
      </c>
      <c r="T11" s="1">
        <v>600000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0</v>
      </c>
      <c r="AD11" s="1">
        <v>0</v>
      </c>
      <c r="AE11" s="1">
        <v>0</v>
      </c>
      <c r="AF11" s="1">
        <v>0</v>
      </c>
      <c r="AG11" s="1">
        <v>0</v>
      </c>
      <c r="AH11" s="12">
        <v>0</v>
      </c>
      <c r="AI11" s="1">
        <v>0</v>
      </c>
      <c r="AJ11" s="12">
        <v>0</v>
      </c>
    </row>
    <row r="12" spans="1:36">
      <c r="A12" s="1" t="s">
        <v>143</v>
      </c>
      <c r="B12" s="1" t="s">
        <v>143</v>
      </c>
      <c r="C12" s="1" t="s">
        <v>143</v>
      </c>
      <c r="D12" s="1" t="s">
        <v>143</v>
      </c>
      <c r="E12" s="1">
        <v>102</v>
      </c>
      <c r="F12" s="1" t="s">
        <v>495</v>
      </c>
      <c r="G12" s="1">
        <f t="shared" si="0"/>
        <v>600102</v>
      </c>
      <c r="H12" s="1" t="s">
        <v>670</v>
      </c>
      <c r="I12" s="1">
        <f t="shared" si="1"/>
        <v>900102</v>
      </c>
      <c r="J12" s="1" t="s">
        <v>670</v>
      </c>
      <c r="K12" s="8">
        <v>1</v>
      </c>
      <c r="L12" s="8">
        <v>1</v>
      </c>
      <c r="M12" s="8">
        <v>0</v>
      </c>
      <c r="N12" s="8">
        <v>2</v>
      </c>
      <c r="O12" s="8">
        <v>0</v>
      </c>
      <c r="P12" s="1">
        <v>0</v>
      </c>
      <c r="Q12" s="1">
        <v>0</v>
      </c>
      <c r="R12" s="1">
        <v>0</v>
      </c>
      <c r="S12" s="1">
        <v>1</v>
      </c>
      <c r="T12" s="1">
        <v>600000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2">
        <v>0</v>
      </c>
      <c r="AI12" s="1">
        <v>0</v>
      </c>
      <c r="AJ12" s="12">
        <v>0</v>
      </c>
    </row>
    <row r="13" spans="1:36" s="12" customFormat="1">
      <c r="A13" s="12" t="s">
        <v>143</v>
      </c>
      <c r="B13" s="12" t="s">
        <v>143</v>
      </c>
      <c r="C13" s="12" t="s">
        <v>143</v>
      </c>
      <c r="D13" s="12" t="s">
        <v>143</v>
      </c>
      <c r="E13" s="12">
        <v>103</v>
      </c>
      <c r="F13" s="12" t="s">
        <v>756</v>
      </c>
      <c r="G13" s="12">
        <f t="shared" ref="G13" si="2">IF( AND(H13&lt;&gt;"",E13&lt;&gt;""),600000+E13,"")</f>
        <v>600103</v>
      </c>
      <c r="H13" s="12" t="s">
        <v>756</v>
      </c>
      <c r="I13" s="12">
        <f t="shared" ref="I13" si="3">IF( AND(J13&lt;&gt;"",E13&lt;&gt;""),900000+E13,"")</f>
        <v>900103</v>
      </c>
      <c r="J13" s="12" t="s">
        <v>756</v>
      </c>
      <c r="K13" s="13">
        <v>1</v>
      </c>
      <c r="L13" s="13">
        <v>4353</v>
      </c>
      <c r="M13" s="13">
        <v>0</v>
      </c>
      <c r="N13" s="13">
        <v>3</v>
      </c>
      <c r="O13" s="13">
        <v>0</v>
      </c>
      <c r="P13" s="12">
        <v>0</v>
      </c>
      <c r="Q13" s="12">
        <v>0</v>
      </c>
      <c r="R13" s="12">
        <v>0</v>
      </c>
      <c r="S13" s="12">
        <v>1</v>
      </c>
      <c r="T13" s="12">
        <v>600000</v>
      </c>
      <c r="U13" s="12">
        <v>0</v>
      </c>
      <c r="V13" s="12">
        <v>0</v>
      </c>
      <c r="W13" s="12">
        <v>0</v>
      </c>
      <c r="X13" s="12">
        <v>0</v>
      </c>
      <c r="Y13" s="12">
        <v>0</v>
      </c>
      <c r="Z13" s="12">
        <v>0</v>
      </c>
      <c r="AA13" s="12">
        <v>0</v>
      </c>
      <c r="AB13" s="12">
        <v>0</v>
      </c>
      <c r="AC13" s="12">
        <v>0</v>
      </c>
      <c r="AD13" s="12">
        <v>0</v>
      </c>
      <c r="AE13" s="12">
        <v>0</v>
      </c>
      <c r="AF13" s="12">
        <v>0</v>
      </c>
      <c r="AG13" s="12">
        <v>0</v>
      </c>
      <c r="AH13" s="12">
        <v>0</v>
      </c>
      <c r="AI13" s="12">
        <v>0</v>
      </c>
      <c r="AJ13" s="12">
        <v>0</v>
      </c>
    </row>
    <row r="14" spans="1:36">
      <c r="A14" s="1" t="s">
        <v>142</v>
      </c>
      <c r="B14" s="1" t="s">
        <v>142</v>
      </c>
      <c r="C14" s="1" t="s">
        <v>142</v>
      </c>
      <c r="D14" s="1" t="s">
        <v>142</v>
      </c>
      <c r="E14" s="1">
        <v>105</v>
      </c>
      <c r="F14" s="1" t="s">
        <v>1196</v>
      </c>
      <c r="G14" s="1">
        <v>600105</v>
      </c>
      <c r="H14" s="1" t="s">
        <v>1117</v>
      </c>
      <c r="I14" s="1">
        <v>900105</v>
      </c>
      <c r="J14" s="1" t="s">
        <v>1117</v>
      </c>
      <c r="K14" s="8">
        <v>1</v>
      </c>
      <c r="L14" s="8">
        <v>1</v>
      </c>
      <c r="M14" s="8">
        <v>0</v>
      </c>
      <c r="N14" s="8">
        <v>2</v>
      </c>
      <c r="O14" s="8">
        <v>0</v>
      </c>
      <c r="P14" s="1">
        <v>0</v>
      </c>
      <c r="Q14" s="1">
        <v>0</v>
      </c>
      <c r="R14" s="1">
        <v>0</v>
      </c>
      <c r="S14" s="1">
        <v>1</v>
      </c>
      <c r="T14" s="1">
        <v>600000</v>
      </c>
      <c r="U14" s="1">
        <v>105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2">
        <v>0</v>
      </c>
      <c r="AI14" s="1">
        <v>0</v>
      </c>
      <c r="AJ14" s="12">
        <v>0</v>
      </c>
    </row>
    <row r="15" spans="1:36" s="12" customFormat="1">
      <c r="A15" s="12" t="s">
        <v>1195</v>
      </c>
      <c r="B15" s="12" t="s">
        <v>1195</v>
      </c>
      <c r="C15" s="12" t="s">
        <v>1195</v>
      </c>
      <c r="D15" s="12" t="s">
        <v>1195</v>
      </c>
      <c r="E15" s="1">
        <v>106</v>
      </c>
      <c r="F15" s="1" t="s">
        <v>1197</v>
      </c>
      <c r="G15" s="12">
        <v>600106</v>
      </c>
      <c r="H15" s="12" t="s">
        <v>1197</v>
      </c>
      <c r="I15" s="12">
        <v>900106</v>
      </c>
      <c r="J15" s="12" t="s">
        <v>1197</v>
      </c>
      <c r="K15" s="13">
        <v>1</v>
      </c>
      <c r="L15" s="13">
        <v>4097</v>
      </c>
      <c r="M15" s="13">
        <v>0</v>
      </c>
      <c r="N15" s="13">
        <v>2</v>
      </c>
      <c r="O15" s="13">
        <v>0</v>
      </c>
      <c r="P15" s="12">
        <v>0</v>
      </c>
      <c r="Q15" s="12">
        <v>0</v>
      </c>
      <c r="R15" s="12">
        <v>0</v>
      </c>
      <c r="S15" s="12">
        <v>1</v>
      </c>
      <c r="T15" s="12">
        <v>600000</v>
      </c>
      <c r="U15" s="12">
        <v>106</v>
      </c>
      <c r="V15" s="12">
        <v>0</v>
      </c>
      <c r="W15" s="12">
        <v>0</v>
      </c>
      <c r="X15" s="12">
        <v>0</v>
      </c>
      <c r="Y15" s="12">
        <v>0</v>
      </c>
      <c r="Z15" s="12">
        <v>0</v>
      </c>
      <c r="AA15" s="12">
        <v>0</v>
      </c>
      <c r="AB15" s="12">
        <v>0</v>
      </c>
      <c r="AC15" s="12">
        <v>0</v>
      </c>
      <c r="AD15" s="12">
        <v>0</v>
      </c>
      <c r="AE15" s="12">
        <v>0</v>
      </c>
      <c r="AF15" s="12">
        <v>0</v>
      </c>
      <c r="AG15" s="12">
        <v>0</v>
      </c>
      <c r="AH15" s="12">
        <v>0</v>
      </c>
      <c r="AI15" s="12">
        <v>0</v>
      </c>
      <c r="AJ15" s="12">
        <v>0</v>
      </c>
    </row>
    <row r="17" spans="1:36" s="12" customFormat="1">
      <c r="A17" s="12" t="s">
        <v>143</v>
      </c>
      <c r="B17" s="12" t="s">
        <v>143</v>
      </c>
      <c r="C17" s="12" t="s">
        <v>143</v>
      </c>
      <c r="D17" s="12" t="s">
        <v>143</v>
      </c>
      <c r="E17" s="12">
        <v>200</v>
      </c>
      <c r="F17" s="12" t="s">
        <v>1145</v>
      </c>
      <c r="G17" s="12">
        <f>IF( AND(H17&lt;&gt;"",E17&lt;&gt;""),600000+E17,"")</f>
        <v>600200</v>
      </c>
      <c r="H17" s="12" t="s">
        <v>1145</v>
      </c>
      <c r="I17" s="12">
        <f>IF( AND(J17&lt;&gt;"",E17&lt;&gt;""),900000+E17,"")</f>
        <v>900200</v>
      </c>
      <c r="J17" s="12" t="s">
        <v>1145</v>
      </c>
      <c r="K17" s="13">
        <v>1</v>
      </c>
      <c r="L17" s="13">
        <v>4373</v>
      </c>
      <c r="M17" s="13">
        <v>0</v>
      </c>
      <c r="N17" s="13">
        <v>0</v>
      </c>
      <c r="O17" s="13">
        <v>0</v>
      </c>
      <c r="P17" s="12">
        <v>0</v>
      </c>
      <c r="Q17" s="12">
        <v>0</v>
      </c>
      <c r="R17" s="12">
        <v>0</v>
      </c>
      <c r="S17" s="12">
        <v>5</v>
      </c>
      <c r="T17" s="12">
        <v>900000</v>
      </c>
      <c r="U17" s="12">
        <v>0</v>
      </c>
      <c r="V17" s="12">
        <v>0</v>
      </c>
      <c r="W17" s="12">
        <v>0</v>
      </c>
      <c r="X17" s="12">
        <v>0</v>
      </c>
      <c r="Y17" s="12">
        <v>0</v>
      </c>
      <c r="Z17" s="12">
        <v>0</v>
      </c>
      <c r="AA17" s="12">
        <v>0</v>
      </c>
      <c r="AB17" s="12">
        <v>0</v>
      </c>
      <c r="AC17" s="12">
        <v>0</v>
      </c>
      <c r="AD17" s="12">
        <v>0</v>
      </c>
      <c r="AE17" s="12">
        <v>0</v>
      </c>
      <c r="AF17" s="12">
        <v>0</v>
      </c>
      <c r="AG17" s="12">
        <v>0</v>
      </c>
      <c r="AH17" s="12">
        <v>0</v>
      </c>
      <c r="AI17" s="12">
        <v>0</v>
      </c>
      <c r="AJ17" s="12">
        <v>0</v>
      </c>
    </row>
    <row r="18" spans="1:36" s="12" customFormat="1">
      <c r="A18" s="12" t="s">
        <v>143</v>
      </c>
      <c r="B18" s="12" t="s">
        <v>143</v>
      </c>
      <c r="C18" s="12" t="s">
        <v>143</v>
      </c>
      <c r="D18" s="12" t="s">
        <v>143</v>
      </c>
      <c r="E18" s="12">
        <v>201</v>
      </c>
      <c r="F18" s="12" t="s">
        <v>1146</v>
      </c>
      <c r="G18" s="12">
        <f>IF( AND(H18&lt;&gt;"",E18&lt;&gt;""),600000+E18,"")</f>
        <v>600201</v>
      </c>
      <c r="H18" s="12" t="s">
        <v>1146</v>
      </c>
      <c r="I18" s="12">
        <f>IF( AND(J18&lt;&gt;"",E18&lt;&gt;""),900000+E18,"")</f>
        <v>900201</v>
      </c>
      <c r="J18" s="12" t="s">
        <v>1146</v>
      </c>
      <c r="K18" s="13">
        <v>1</v>
      </c>
      <c r="L18" s="13">
        <v>257</v>
      </c>
      <c r="M18" s="13">
        <v>0</v>
      </c>
      <c r="N18" s="13">
        <v>0</v>
      </c>
      <c r="O18" s="13">
        <v>0</v>
      </c>
      <c r="P18" s="12">
        <v>0</v>
      </c>
      <c r="Q18" s="12">
        <v>0</v>
      </c>
      <c r="R18" s="12">
        <v>0</v>
      </c>
      <c r="S18" s="12">
        <v>1</v>
      </c>
      <c r="T18" s="12">
        <v>900000</v>
      </c>
      <c r="U18" s="12">
        <v>0</v>
      </c>
      <c r="V18" s="12">
        <v>0</v>
      </c>
      <c r="W18" s="12">
        <v>0</v>
      </c>
      <c r="X18" s="12">
        <v>0</v>
      </c>
      <c r="Y18" s="12">
        <v>0</v>
      </c>
      <c r="Z18" s="12">
        <v>0</v>
      </c>
      <c r="AA18" s="12">
        <v>0</v>
      </c>
      <c r="AB18" s="12">
        <v>0</v>
      </c>
      <c r="AC18" s="12">
        <v>0</v>
      </c>
      <c r="AD18" s="12">
        <v>0</v>
      </c>
      <c r="AE18" s="12">
        <v>0</v>
      </c>
      <c r="AF18" s="12">
        <v>0</v>
      </c>
      <c r="AG18" s="12">
        <v>0</v>
      </c>
      <c r="AH18" s="12">
        <v>0</v>
      </c>
      <c r="AI18" s="12">
        <v>0</v>
      </c>
      <c r="AJ18" s="12">
        <v>0</v>
      </c>
    </row>
    <row r="19" spans="1:36" s="12" customFormat="1">
      <c r="K19" s="13"/>
      <c r="L19" s="13"/>
      <c r="M19" s="13"/>
      <c r="N19" s="13"/>
      <c r="O19" s="13"/>
    </row>
    <row r="20" spans="1:36" s="12" customFormat="1">
      <c r="K20" s="13"/>
      <c r="L20" s="13"/>
      <c r="M20" s="13"/>
      <c r="N20" s="13"/>
      <c r="O20" s="13"/>
    </row>
    <row r="21" spans="1:36">
      <c r="A21" s="1" t="s">
        <v>143</v>
      </c>
      <c r="B21" s="1" t="s">
        <v>143</v>
      </c>
      <c r="C21" s="1" t="s">
        <v>143</v>
      </c>
      <c r="D21" s="1" t="s">
        <v>143</v>
      </c>
      <c r="E21" s="1">
        <v>5007</v>
      </c>
      <c r="F21" s="1" t="s">
        <v>247</v>
      </c>
      <c r="G21" s="1">
        <f t="shared" si="0"/>
        <v>605007</v>
      </c>
      <c r="H21" s="1" t="s">
        <v>247</v>
      </c>
      <c r="I21" s="1">
        <f t="shared" si="1"/>
        <v>905007</v>
      </c>
      <c r="J21" s="1" t="s">
        <v>247</v>
      </c>
      <c r="K21" s="8">
        <v>16</v>
      </c>
      <c r="L21" s="8">
        <v>4353</v>
      </c>
      <c r="M21" s="8">
        <v>256</v>
      </c>
      <c r="N21" s="8">
        <v>263</v>
      </c>
      <c r="O21" s="8">
        <v>0</v>
      </c>
      <c r="P21" s="1">
        <v>0</v>
      </c>
      <c r="Q21" s="1">
        <v>0</v>
      </c>
      <c r="R21" s="1">
        <v>0</v>
      </c>
      <c r="S21" s="1">
        <v>1</v>
      </c>
      <c r="T21" s="1">
        <v>4000</v>
      </c>
      <c r="U21" s="1">
        <v>0</v>
      </c>
      <c r="V21" s="1">
        <v>0</v>
      </c>
      <c r="W21" s="1">
        <v>0</v>
      </c>
      <c r="X21" s="1">
        <v>3</v>
      </c>
      <c r="Y21" s="1">
        <v>0</v>
      </c>
      <c r="Z21" s="1">
        <v>0</v>
      </c>
      <c r="AA21" s="1">
        <v>0</v>
      </c>
      <c r="AB21" s="1">
        <v>5002</v>
      </c>
      <c r="AC21" s="1">
        <v>0</v>
      </c>
      <c r="AD21" s="1">
        <v>0</v>
      </c>
      <c r="AE21" s="1">
        <v>0</v>
      </c>
      <c r="AF21" s="1">
        <v>0</v>
      </c>
      <c r="AG21" s="1">
        <v>0</v>
      </c>
      <c r="AH21" s="12">
        <v>0</v>
      </c>
      <c r="AI21" s="1">
        <v>0</v>
      </c>
      <c r="AJ21" s="12">
        <v>0</v>
      </c>
    </row>
    <row r="22" spans="1:36">
      <c r="A22" s="1" t="s">
        <v>143</v>
      </c>
      <c r="B22" s="1" t="s">
        <v>143</v>
      </c>
      <c r="C22" s="1" t="s">
        <v>143</v>
      </c>
      <c r="D22" s="1" t="s">
        <v>143</v>
      </c>
      <c r="E22" s="1">
        <v>5008</v>
      </c>
      <c r="F22" s="1" t="s">
        <v>498</v>
      </c>
      <c r="G22" s="1">
        <f t="shared" si="0"/>
        <v>605008</v>
      </c>
      <c r="H22" s="1" t="s">
        <v>671</v>
      </c>
      <c r="I22" s="1">
        <f t="shared" si="1"/>
        <v>905008</v>
      </c>
      <c r="J22" s="1" t="s">
        <v>671</v>
      </c>
      <c r="K22" s="8">
        <v>40</v>
      </c>
      <c r="L22" s="8">
        <v>4353</v>
      </c>
      <c r="M22" s="8">
        <v>0</v>
      </c>
      <c r="N22" s="8">
        <v>263</v>
      </c>
      <c r="O22" s="8">
        <v>0</v>
      </c>
      <c r="P22" s="1">
        <v>0</v>
      </c>
      <c r="Q22" s="1">
        <v>0</v>
      </c>
      <c r="R22" s="1">
        <v>0</v>
      </c>
      <c r="S22" s="1">
        <v>1</v>
      </c>
      <c r="T22" s="1">
        <v>5000</v>
      </c>
      <c r="U22" s="1">
        <v>0</v>
      </c>
      <c r="V22" s="1">
        <v>0</v>
      </c>
      <c r="W22" s="1">
        <v>0</v>
      </c>
      <c r="X22" s="1">
        <v>1</v>
      </c>
      <c r="Y22" s="1">
        <v>0</v>
      </c>
      <c r="Z22" s="1">
        <v>0</v>
      </c>
      <c r="AA22" s="1">
        <v>0</v>
      </c>
      <c r="AB22" s="1">
        <v>5008</v>
      </c>
      <c r="AC22" s="1">
        <v>0</v>
      </c>
      <c r="AD22" s="1">
        <v>0</v>
      </c>
      <c r="AE22" s="1">
        <v>0</v>
      </c>
      <c r="AF22" s="1">
        <v>0</v>
      </c>
      <c r="AG22" s="1">
        <v>0</v>
      </c>
      <c r="AH22" s="12" t="s">
        <v>774</v>
      </c>
      <c r="AI22" s="1">
        <v>0</v>
      </c>
      <c r="AJ22" s="12">
        <v>0</v>
      </c>
    </row>
    <row r="23" spans="1:36">
      <c r="A23" s="1" t="s">
        <v>143</v>
      </c>
      <c r="B23" s="1" t="s">
        <v>143</v>
      </c>
      <c r="C23" s="1" t="s">
        <v>143</v>
      </c>
      <c r="D23" s="1" t="s">
        <v>143</v>
      </c>
      <c r="E23" s="1">
        <v>5009</v>
      </c>
      <c r="F23" s="1" t="s">
        <v>390</v>
      </c>
      <c r="G23" s="1">
        <f t="shared" si="0"/>
        <v>605009</v>
      </c>
      <c r="H23" s="1" t="s">
        <v>672</v>
      </c>
      <c r="I23" s="1">
        <f t="shared" si="1"/>
        <v>905009</v>
      </c>
      <c r="J23" s="1" t="s">
        <v>672</v>
      </c>
      <c r="K23" s="8">
        <v>48</v>
      </c>
      <c r="L23" s="8">
        <v>4352</v>
      </c>
      <c r="M23" s="8">
        <v>0</v>
      </c>
      <c r="N23" s="8">
        <v>263</v>
      </c>
      <c r="O23" s="8">
        <v>0</v>
      </c>
      <c r="P23" s="1">
        <v>0</v>
      </c>
      <c r="Q23" s="1">
        <v>0</v>
      </c>
      <c r="R23" s="1">
        <v>0</v>
      </c>
      <c r="S23" s="1">
        <v>1</v>
      </c>
      <c r="T23" s="1">
        <v>12000</v>
      </c>
      <c r="U23" s="1">
        <v>5013</v>
      </c>
      <c r="V23" s="1">
        <v>0</v>
      </c>
      <c r="W23" s="1">
        <v>0</v>
      </c>
      <c r="X23" s="1">
        <v>3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0</v>
      </c>
      <c r="AE23" s="1">
        <v>0</v>
      </c>
      <c r="AF23" s="1">
        <v>0</v>
      </c>
      <c r="AG23" s="1">
        <v>0</v>
      </c>
      <c r="AH23" s="12">
        <v>0</v>
      </c>
      <c r="AI23" s="1">
        <v>0</v>
      </c>
      <c r="AJ23" s="12">
        <v>0</v>
      </c>
    </row>
    <row r="24" spans="1:36">
      <c r="A24" s="1" t="s">
        <v>143</v>
      </c>
      <c r="B24" s="1" t="s">
        <v>143</v>
      </c>
      <c r="C24" s="1" t="s">
        <v>143</v>
      </c>
      <c r="D24" s="1" t="s">
        <v>143</v>
      </c>
      <c r="E24" s="1">
        <v>5010</v>
      </c>
      <c r="F24" s="1" t="s">
        <v>248</v>
      </c>
      <c r="G24" s="1">
        <f t="shared" si="0"/>
        <v>605010</v>
      </c>
      <c r="H24" s="1" t="s">
        <v>248</v>
      </c>
      <c r="I24" s="1">
        <f t="shared" si="1"/>
        <v>905010</v>
      </c>
      <c r="J24" s="1" t="s">
        <v>248</v>
      </c>
      <c r="K24" s="8">
        <v>40</v>
      </c>
      <c r="L24" s="8">
        <v>4353</v>
      </c>
      <c r="M24" s="8">
        <v>0</v>
      </c>
      <c r="N24" s="8">
        <v>263</v>
      </c>
      <c r="O24" s="8">
        <v>0</v>
      </c>
      <c r="P24" s="1">
        <v>0</v>
      </c>
      <c r="Q24" s="1">
        <v>0</v>
      </c>
      <c r="R24" s="1">
        <v>0</v>
      </c>
      <c r="S24" s="1">
        <v>1</v>
      </c>
      <c r="T24" s="1">
        <v>5000</v>
      </c>
      <c r="U24" s="1">
        <v>0</v>
      </c>
      <c r="V24" s="1">
        <v>0</v>
      </c>
      <c r="W24" s="1">
        <v>0</v>
      </c>
      <c r="X24" s="1">
        <v>1</v>
      </c>
      <c r="Y24" s="1">
        <v>0</v>
      </c>
      <c r="Z24" s="1">
        <v>0</v>
      </c>
      <c r="AA24" s="1">
        <v>0</v>
      </c>
      <c r="AB24" s="1">
        <v>5010</v>
      </c>
      <c r="AC24" s="1">
        <v>0</v>
      </c>
      <c r="AD24" s="1">
        <v>0</v>
      </c>
      <c r="AE24" s="1">
        <v>0</v>
      </c>
      <c r="AF24" s="1">
        <v>0</v>
      </c>
      <c r="AG24" s="1">
        <v>0</v>
      </c>
      <c r="AH24" s="12" t="s">
        <v>775</v>
      </c>
      <c r="AI24" s="1">
        <v>0</v>
      </c>
      <c r="AJ24" s="12">
        <v>0</v>
      </c>
    </row>
    <row r="25" spans="1:36">
      <c r="A25" s="1" t="s">
        <v>143</v>
      </c>
      <c r="B25" s="1" t="s">
        <v>143</v>
      </c>
      <c r="C25" s="1" t="s">
        <v>143</v>
      </c>
      <c r="D25" s="1" t="s">
        <v>143</v>
      </c>
      <c r="E25" s="1">
        <v>5011</v>
      </c>
      <c r="F25" s="1" t="s">
        <v>258</v>
      </c>
      <c r="G25" s="1">
        <f t="shared" si="0"/>
        <v>605011</v>
      </c>
      <c r="H25" s="1" t="s">
        <v>258</v>
      </c>
      <c r="I25" s="1">
        <f t="shared" si="1"/>
        <v>905011</v>
      </c>
      <c r="J25" s="1" t="s">
        <v>258</v>
      </c>
      <c r="K25" s="8">
        <v>40</v>
      </c>
      <c r="L25" s="8">
        <v>4353</v>
      </c>
      <c r="M25" s="8">
        <v>0</v>
      </c>
      <c r="N25" s="8">
        <v>263</v>
      </c>
      <c r="O25" s="8">
        <v>0</v>
      </c>
      <c r="P25" s="1">
        <v>0</v>
      </c>
      <c r="Q25" s="1">
        <v>0</v>
      </c>
      <c r="R25" s="1">
        <v>0</v>
      </c>
      <c r="S25" s="1">
        <v>1</v>
      </c>
      <c r="T25" s="1">
        <v>7000</v>
      </c>
      <c r="U25" s="1">
        <v>0</v>
      </c>
      <c r="V25" s="1">
        <v>0</v>
      </c>
      <c r="W25" s="1">
        <v>0</v>
      </c>
      <c r="X25" s="1">
        <v>1</v>
      </c>
      <c r="Y25" s="1">
        <v>0</v>
      </c>
      <c r="Z25" s="1">
        <v>0</v>
      </c>
      <c r="AA25" s="1">
        <v>0</v>
      </c>
      <c r="AB25" s="1">
        <v>5010</v>
      </c>
      <c r="AC25" s="1">
        <v>0</v>
      </c>
      <c r="AD25" s="1">
        <v>0</v>
      </c>
      <c r="AE25" s="1">
        <v>0</v>
      </c>
      <c r="AF25" s="1">
        <v>0</v>
      </c>
      <c r="AG25" s="1">
        <v>0</v>
      </c>
      <c r="AH25" s="12" t="s">
        <v>775</v>
      </c>
      <c r="AI25" s="1">
        <v>0</v>
      </c>
      <c r="AJ25" s="12">
        <v>0</v>
      </c>
    </row>
    <row r="26" spans="1:36">
      <c r="A26" s="1" t="s">
        <v>143</v>
      </c>
      <c r="B26" s="1" t="s">
        <v>143</v>
      </c>
      <c r="C26" s="1" t="s">
        <v>143</v>
      </c>
      <c r="D26" s="1" t="s">
        <v>143</v>
      </c>
      <c r="E26" s="1">
        <v>5012</v>
      </c>
      <c r="F26" s="1" t="s">
        <v>259</v>
      </c>
      <c r="G26" s="1">
        <f t="shared" si="0"/>
        <v>605012</v>
      </c>
      <c r="H26" s="1" t="s">
        <v>259</v>
      </c>
      <c r="I26" s="1">
        <f t="shared" si="1"/>
        <v>905012</v>
      </c>
      <c r="J26" s="1" t="s">
        <v>259</v>
      </c>
      <c r="K26" s="8">
        <v>40</v>
      </c>
      <c r="L26" s="8">
        <v>4353</v>
      </c>
      <c r="M26" s="8">
        <v>0</v>
      </c>
      <c r="N26" s="8">
        <v>263</v>
      </c>
      <c r="O26" s="8">
        <v>0</v>
      </c>
      <c r="P26" s="1">
        <v>0</v>
      </c>
      <c r="Q26" s="1">
        <v>0</v>
      </c>
      <c r="R26" s="1">
        <v>0</v>
      </c>
      <c r="S26" s="1">
        <v>1</v>
      </c>
      <c r="T26" s="1">
        <v>9000</v>
      </c>
      <c r="U26" s="1">
        <v>0</v>
      </c>
      <c r="V26" s="1">
        <v>0</v>
      </c>
      <c r="W26" s="1">
        <v>0</v>
      </c>
      <c r="X26" s="1">
        <v>1</v>
      </c>
      <c r="Y26" s="1">
        <v>0</v>
      </c>
      <c r="Z26" s="1">
        <v>0</v>
      </c>
      <c r="AA26" s="1">
        <v>0</v>
      </c>
      <c r="AB26" s="1">
        <v>5010</v>
      </c>
      <c r="AC26" s="1">
        <v>0</v>
      </c>
      <c r="AD26" s="1">
        <v>0</v>
      </c>
      <c r="AE26" s="1">
        <v>0</v>
      </c>
      <c r="AF26" s="1">
        <v>0</v>
      </c>
      <c r="AG26" s="1">
        <v>0</v>
      </c>
      <c r="AH26" s="12" t="s">
        <v>775</v>
      </c>
      <c r="AI26" s="1">
        <v>0</v>
      </c>
      <c r="AJ26" s="12">
        <v>0</v>
      </c>
    </row>
    <row r="27" spans="1:36">
      <c r="A27" s="1" t="s">
        <v>143</v>
      </c>
      <c r="B27" s="1" t="s">
        <v>143</v>
      </c>
      <c r="C27" s="1" t="s">
        <v>143</v>
      </c>
      <c r="D27" s="1" t="s">
        <v>143</v>
      </c>
      <c r="E27" s="1">
        <v>5013</v>
      </c>
      <c r="F27" s="1" t="s">
        <v>260</v>
      </c>
      <c r="G27" s="1">
        <f t="shared" si="0"/>
        <v>605013</v>
      </c>
      <c r="H27" s="1" t="s">
        <v>260</v>
      </c>
      <c r="I27" s="1">
        <f t="shared" si="1"/>
        <v>905013</v>
      </c>
      <c r="J27" s="1" t="s">
        <v>260</v>
      </c>
      <c r="K27" s="8">
        <v>40</v>
      </c>
      <c r="L27" s="8">
        <v>4353</v>
      </c>
      <c r="M27" s="8">
        <v>0</v>
      </c>
      <c r="N27" s="8">
        <v>263</v>
      </c>
      <c r="O27" s="8">
        <v>0</v>
      </c>
      <c r="P27" s="1">
        <v>0</v>
      </c>
      <c r="Q27" s="1">
        <v>0</v>
      </c>
      <c r="R27" s="1">
        <v>0</v>
      </c>
      <c r="S27" s="1">
        <v>1</v>
      </c>
      <c r="T27" s="1">
        <v>11000</v>
      </c>
      <c r="U27" s="1">
        <v>0</v>
      </c>
      <c r="V27" s="1">
        <v>0</v>
      </c>
      <c r="W27" s="1">
        <v>0</v>
      </c>
      <c r="X27" s="1">
        <v>1</v>
      </c>
      <c r="Y27" s="1">
        <v>0</v>
      </c>
      <c r="Z27" s="1">
        <v>0</v>
      </c>
      <c r="AA27" s="1">
        <v>0</v>
      </c>
      <c r="AB27" s="1">
        <v>5010</v>
      </c>
      <c r="AC27" s="1">
        <v>0</v>
      </c>
      <c r="AD27" s="1">
        <v>0</v>
      </c>
      <c r="AE27" s="1">
        <v>0</v>
      </c>
      <c r="AF27" s="1">
        <v>0</v>
      </c>
      <c r="AG27" s="1">
        <v>0</v>
      </c>
      <c r="AH27" s="12" t="s">
        <v>775</v>
      </c>
      <c r="AI27" s="1">
        <v>0</v>
      </c>
      <c r="AJ27" s="12">
        <v>0</v>
      </c>
    </row>
    <row r="28" spans="1:36">
      <c r="A28" s="1" t="s">
        <v>143</v>
      </c>
      <c r="B28" s="1" t="s">
        <v>143</v>
      </c>
      <c r="C28" s="1" t="s">
        <v>143</v>
      </c>
      <c r="D28" s="1" t="s">
        <v>143</v>
      </c>
      <c r="E28" s="1">
        <v>5014</v>
      </c>
      <c r="F28" s="1" t="s">
        <v>389</v>
      </c>
      <c r="G28" s="1">
        <f t="shared" si="0"/>
        <v>605014</v>
      </c>
      <c r="H28" s="1" t="s">
        <v>673</v>
      </c>
      <c r="I28" s="1">
        <f t="shared" si="1"/>
        <v>905014</v>
      </c>
      <c r="J28" s="1" t="s">
        <v>673</v>
      </c>
      <c r="K28" s="8">
        <v>16</v>
      </c>
      <c r="L28" s="8">
        <v>4373</v>
      </c>
      <c r="M28" s="8">
        <v>0</v>
      </c>
      <c r="N28" s="8">
        <v>7</v>
      </c>
      <c r="O28" s="8">
        <v>0</v>
      </c>
      <c r="P28" s="1">
        <v>0</v>
      </c>
      <c r="Q28" s="1">
        <v>0</v>
      </c>
      <c r="R28" s="1">
        <v>0</v>
      </c>
      <c r="S28" s="1">
        <v>3</v>
      </c>
      <c r="T28" s="1">
        <v>5000</v>
      </c>
      <c r="U28" s="1">
        <v>0</v>
      </c>
      <c r="V28" s="1">
        <v>0</v>
      </c>
      <c r="W28" s="1">
        <v>0</v>
      </c>
      <c r="X28" s="1">
        <v>1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0</v>
      </c>
      <c r="AE28" s="1">
        <v>0</v>
      </c>
      <c r="AF28" s="1">
        <v>0</v>
      </c>
      <c r="AG28" s="1">
        <v>0</v>
      </c>
      <c r="AH28" s="12" t="s">
        <v>776</v>
      </c>
      <c r="AI28" s="1">
        <v>0</v>
      </c>
      <c r="AJ28" s="12">
        <v>0</v>
      </c>
    </row>
    <row r="29" spans="1:36">
      <c r="A29" s="1" t="s">
        <v>143</v>
      </c>
      <c r="B29" s="1" t="s">
        <v>143</v>
      </c>
      <c r="C29" s="1" t="s">
        <v>143</v>
      </c>
      <c r="D29" s="1" t="s">
        <v>143</v>
      </c>
      <c r="E29" s="1">
        <v>5015</v>
      </c>
      <c r="F29" s="1" t="s">
        <v>499</v>
      </c>
      <c r="G29" s="1">
        <f t="shared" si="0"/>
        <v>605015</v>
      </c>
      <c r="H29" s="1" t="s">
        <v>674</v>
      </c>
      <c r="I29" s="1">
        <f t="shared" si="1"/>
        <v>905015</v>
      </c>
      <c r="J29" s="1" t="s">
        <v>674</v>
      </c>
      <c r="K29" s="8">
        <v>40</v>
      </c>
      <c r="L29" s="8">
        <v>4353</v>
      </c>
      <c r="M29" s="8">
        <v>0</v>
      </c>
      <c r="N29" s="8">
        <v>263</v>
      </c>
      <c r="O29" s="8">
        <v>0</v>
      </c>
      <c r="P29" s="1">
        <v>0</v>
      </c>
      <c r="Q29" s="1">
        <v>0</v>
      </c>
      <c r="R29" s="1">
        <v>0</v>
      </c>
      <c r="S29" s="1">
        <v>1</v>
      </c>
      <c r="T29" s="1">
        <v>4000</v>
      </c>
      <c r="U29" s="1">
        <v>0</v>
      </c>
      <c r="V29" s="1">
        <v>0</v>
      </c>
      <c r="W29" s="1">
        <v>0</v>
      </c>
      <c r="X29" s="1">
        <v>1</v>
      </c>
      <c r="Y29" s="1">
        <v>0</v>
      </c>
      <c r="Z29" s="1">
        <v>0</v>
      </c>
      <c r="AA29" s="1">
        <v>0</v>
      </c>
      <c r="AB29" s="1">
        <v>0</v>
      </c>
      <c r="AC29" s="1">
        <v>0</v>
      </c>
      <c r="AD29" s="1">
        <v>0</v>
      </c>
      <c r="AE29" s="1">
        <v>0</v>
      </c>
      <c r="AF29" s="1">
        <v>0</v>
      </c>
      <c r="AG29" s="1">
        <v>0</v>
      </c>
      <c r="AH29" s="12" t="s">
        <v>777</v>
      </c>
    </row>
    <row r="30" spans="1:36">
      <c r="G30" s="1" t="str">
        <f t="shared" si="0"/>
        <v/>
      </c>
      <c r="I30" s="1" t="str">
        <f t="shared" si="1"/>
        <v/>
      </c>
      <c r="AH30" s="12" t="s">
        <v>639</v>
      </c>
    </row>
    <row r="31" spans="1:36">
      <c r="G31" s="1" t="str">
        <f t="shared" si="0"/>
        <v/>
      </c>
      <c r="I31" s="1" t="str">
        <f t="shared" si="1"/>
        <v/>
      </c>
      <c r="AH31" s="12" t="s">
        <v>639</v>
      </c>
    </row>
    <row r="32" spans="1:36">
      <c r="A32" s="1" t="s">
        <v>143</v>
      </c>
      <c r="B32" s="1" t="s">
        <v>143</v>
      </c>
      <c r="C32" s="1" t="s">
        <v>143</v>
      </c>
      <c r="D32" s="1" t="s">
        <v>143</v>
      </c>
      <c r="E32" s="1">
        <v>5101</v>
      </c>
      <c r="F32" s="1" t="s">
        <v>261</v>
      </c>
      <c r="G32" s="1">
        <f t="shared" si="0"/>
        <v>605101</v>
      </c>
      <c r="H32" s="1" t="s">
        <v>261</v>
      </c>
      <c r="I32" s="1">
        <f t="shared" si="1"/>
        <v>905101</v>
      </c>
      <c r="J32" s="1" t="s">
        <v>261</v>
      </c>
      <c r="K32" s="8">
        <v>8</v>
      </c>
      <c r="L32" s="8">
        <v>4405</v>
      </c>
      <c r="M32" s="8">
        <v>0</v>
      </c>
      <c r="N32" s="8">
        <v>263</v>
      </c>
      <c r="O32" s="8">
        <v>0</v>
      </c>
      <c r="P32" s="1">
        <v>0</v>
      </c>
      <c r="Q32" s="1">
        <v>0</v>
      </c>
      <c r="R32" s="1">
        <v>0</v>
      </c>
      <c r="S32" s="1">
        <v>5</v>
      </c>
      <c r="T32" s="1">
        <v>2500</v>
      </c>
      <c r="U32" s="1">
        <v>0</v>
      </c>
      <c r="V32" s="1">
        <v>0</v>
      </c>
      <c r="W32" s="1">
        <v>0</v>
      </c>
      <c r="X32" s="1">
        <v>1</v>
      </c>
      <c r="Y32" s="1">
        <v>0</v>
      </c>
      <c r="Z32" s="1">
        <v>0</v>
      </c>
      <c r="AA32" s="1">
        <v>0</v>
      </c>
      <c r="AB32" s="1">
        <v>0</v>
      </c>
      <c r="AC32" s="1">
        <v>0</v>
      </c>
      <c r="AD32" s="1">
        <v>0</v>
      </c>
      <c r="AE32" s="1">
        <v>0</v>
      </c>
      <c r="AF32" s="1">
        <v>0</v>
      </c>
      <c r="AG32" s="1">
        <v>0</v>
      </c>
      <c r="AH32" s="12" t="s">
        <v>778</v>
      </c>
      <c r="AI32" s="1">
        <v>0</v>
      </c>
      <c r="AJ32" s="12">
        <v>0</v>
      </c>
    </row>
    <row r="33" spans="1:36">
      <c r="A33" s="1" t="s">
        <v>143</v>
      </c>
      <c r="B33" s="1" t="s">
        <v>143</v>
      </c>
      <c r="C33" s="1" t="s">
        <v>143</v>
      </c>
      <c r="D33" s="1" t="s">
        <v>143</v>
      </c>
      <c r="E33" s="1">
        <v>5103</v>
      </c>
      <c r="F33" s="1" t="s">
        <v>262</v>
      </c>
      <c r="G33" s="1">
        <f t="shared" si="0"/>
        <v>605103</v>
      </c>
      <c r="H33" s="1" t="s">
        <v>262</v>
      </c>
      <c r="I33" s="1">
        <f t="shared" si="1"/>
        <v>905103</v>
      </c>
      <c r="J33" s="1" t="s">
        <v>262</v>
      </c>
      <c r="K33" s="8">
        <v>8</v>
      </c>
      <c r="L33" s="8">
        <v>4405</v>
      </c>
      <c r="M33" s="8">
        <v>0</v>
      </c>
      <c r="N33" s="8">
        <v>263</v>
      </c>
      <c r="O33" s="8">
        <v>0</v>
      </c>
      <c r="P33" s="1">
        <v>0</v>
      </c>
      <c r="Q33" s="1">
        <v>0</v>
      </c>
      <c r="R33" s="1">
        <v>0</v>
      </c>
      <c r="S33" s="1">
        <v>5</v>
      </c>
      <c r="T33" s="1">
        <v>2500</v>
      </c>
      <c r="U33" s="1">
        <v>0</v>
      </c>
      <c r="V33" s="1">
        <v>0</v>
      </c>
      <c r="W33" s="1">
        <v>0</v>
      </c>
      <c r="X33" s="1">
        <v>1</v>
      </c>
      <c r="Y33" s="1">
        <v>0</v>
      </c>
      <c r="Z33" s="1">
        <v>0</v>
      </c>
      <c r="AA33" s="1">
        <v>0</v>
      </c>
      <c r="AB33" s="1">
        <v>0</v>
      </c>
      <c r="AC33" s="1">
        <v>0</v>
      </c>
      <c r="AD33" s="1">
        <v>0</v>
      </c>
      <c r="AE33" s="1">
        <v>0</v>
      </c>
      <c r="AF33" s="1">
        <v>0</v>
      </c>
      <c r="AG33" s="1">
        <v>0</v>
      </c>
      <c r="AH33" s="12" t="s">
        <v>779</v>
      </c>
      <c r="AI33" s="1">
        <v>0</v>
      </c>
      <c r="AJ33" s="12">
        <v>0</v>
      </c>
    </row>
    <row r="34" spans="1:36">
      <c r="A34" s="1" t="s">
        <v>143</v>
      </c>
      <c r="B34" s="1" t="s">
        <v>143</v>
      </c>
      <c r="C34" s="1" t="s">
        <v>143</v>
      </c>
      <c r="D34" s="1" t="s">
        <v>143</v>
      </c>
      <c r="E34" s="1">
        <v>5106</v>
      </c>
      <c r="F34" s="1" t="s">
        <v>253</v>
      </c>
      <c r="G34" s="1">
        <f t="shared" si="0"/>
        <v>605106</v>
      </c>
      <c r="H34" s="1" t="s">
        <v>253</v>
      </c>
      <c r="I34" s="1">
        <f t="shared" si="1"/>
        <v>905106</v>
      </c>
      <c r="J34" s="1" t="s">
        <v>253</v>
      </c>
      <c r="K34" s="8">
        <v>40</v>
      </c>
      <c r="L34" s="8">
        <v>4369</v>
      </c>
      <c r="M34" s="8">
        <v>0</v>
      </c>
      <c r="N34" s="8">
        <v>263</v>
      </c>
      <c r="O34" s="8">
        <v>0</v>
      </c>
      <c r="P34" s="1">
        <v>0</v>
      </c>
      <c r="Q34" s="1">
        <v>0</v>
      </c>
      <c r="R34" s="1">
        <v>0</v>
      </c>
      <c r="S34" s="1">
        <v>2</v>
      </c>
      <c r="T34" s="1">
        <v>5000</v>
      </c>
      <c r="U34" s="1">
        <v>0</v>
      </c>
      <c r="V34" s="1">
        <v>0</v>
      </c>
      <c r="W34" s="1">
        <v>0</v>
      </c>
      <c r="X34" s="1">
        <v>1</v>
      </c>
      <c r="Y34" s="1">
        <v>0</v>
      </c>
      <c r="Z34" s="1">
        <v>0</v>
      </c>
      <c r="AA34" s="1">
        <v>0</v>
      </c>
      <c r="AB34" s="1">
        <v>5010</v>
      </c>
      <c r="AC34" s="1">
        <v>0</v>
      </c>
      <c r="AD34" s="1">
        <v>0</v>
      </c>
      <c r="AE34" s="1">
        <v>0</v>
      </c>
      <c r="AF34" s="1">
        <v>0</v>
      </c>
      <c r="AG34" s="1">
        <v>0</v>
      </c>
      <c r="AH34" s="12" t="s">
        <v>780</v>
      </c>
      <c r="AI34" s="1">
        <v>0</v>
      </c>
      <c r="AJ34" s="12">
        <v>0</v>
      </c>
    </row>
    <row r="35" spans="1:36">
      <c r="E35" s="1">
        <v>5107</v>
      </c>
      <c r="F35" s="1" t="s">
        <v>263</v>
      </c>
      <c r="G35" s="1">
        <f t="shared" si="0"/>
        <v>605107</v>
      </c>
      <c r="H35" s="1" t="s">
        <v>263</v>
      </c>
      <c r="I35" s="1">
        <f t="shared" si="1"/>
        <v>905107</v>
      </c>
      <c r="J35" s="1" t="s">
        <v>263</v>
      </c>
      <c r="K35" s="8">
        <v>8</v>
      </c>
      <c r="L35" s="8">
        <v>4352</v>
      </c>
      <c r="M35" s="8">
        <v>0</v>
      </c>
      <c r="N35" s="8">
        <v>263</v>
      </c>
      <c r="O35" s="8">
        <v>0</v>
      </c>
      <c r="P35" s="1">
        <v>0</v>
      </c>
      <c r="Q35" s="1">
        <v>0</v>
      </c>
      <c r="R35" s="1">
        <v>0</v>
      </c>
      <c r="S35" s="1">
        <v>1</v>
      </c>
      <c r="T35" s="1">
        <v>5000</v>
      </c>
      <c r="U35" s="1">
        <v>5109</v>
      </c>
      <c r="V35" s="1">
        <v>0</v>
      </c>
      <c r="W35" s="1">
        <v>0</v>
      </c>
      <c r="X35" s="1">
        <v>1</v>
      </c>
      <c r="Y35" s="1">
        <v>0</v>
      </c>
      <c r="Z35" s="1">
        <v>0</v>
      </c>
      <c r="AA35" s="1">
        <v>0</v>
      </c>
      <c r="AB35" s="1">
        <v>5008</v>
      </c>
      <c r="AC35" s="1">
        <v>0</v>
      </c>
      <c r="AD35" s="1">
        <v>0</v>
      </c>
      <c r="AE35" s="1">
        <v>0</v>
      </c>
      <c r="AF35" s="1">
        <v>0</v>
      </c>
      <c r="AG35" s="1">
        <v>0</v>
      </c>
      <c r="AH35" s="12">
        <v>0</v>
      </c>
      <c r="AI35" s="1">
        <v>0</v>
      </c>
      <c r="AJ35" s="12">
        <v>0</v>
      </c>
    </row>
    <row r="36" spans="1:36">
      <c r="A36" s="1" t="s">
        <v>143</v>
      </c>
      <c r="B36" s="1" t="s">
        <v>143</v>
      </c>
      <c r="C36" s="1" t="s">
        <v>143</v>
      </c>
      <c r="D36" s="1" t="s">
        <v>143</v>
      </c>
      <c r="E36" s="1">
        <v>5108</v>
      </c>
      <c r="F36" s="1" t="s">
        <v>425</v>
      </c>
      <c r="G36" s="1">
        <f t="shared" si="0"/>
        <v>605108</v>
      </c>
      <c r="H36" s="1" t="s">
        <v>675</v>
      </c>
      <c r="I36" s="1">
        <f t="shared" si="1"/>
        <v>905108</v>
      </c>
      <c r="J36" s="1" t="s">
        <v>675</v>
      </c>
      <c r="K36" s="8">
        <v>8</v>
      </c>
      <c r="L36" s="8">
        <v>37124</v>
      </c>
      <c r="M36" s="8">
        <v>0</v>
      </c>
      <c r="N36" s="8">
        <v>263</v>
      </c>
      <c r="O36" s="8">
        <v>0</v>
      </c>
      <c r="P36" s="1">
        <v>0</v>
      </c>
      <c r="Q36" s="1">
        <v>0</v>
      </c>
      <c r="R36" s="1">
        <v>0</v>
      </c>
      <c r="S36" s="1">
        <v>1</v>
      </c>
      <c r="T36" s="1">
        <v>350</v>
      </c>
      <c r="U36" s="1">
        <v>5110</v>
      </c>
      <c r="V36" s="1">
        <v>0</v>
      </c>
      <c r="W36" s="1">
        <v>0</v>
      </c>
      <c r="X36" s="1">
        <v>1</v>
      </c>
      <c r="Y36" s="1">
        <v>0</v>
      </c>
      <c r="Z36" s="1">
        <v>0</v>
      </c>
      <c r="AA36" s="1">
        <v>0</v>
      </c>
      <c r="AB36" s="1">
        <v>0</v>
      </c>
      <c r="AC36" s="1">
        <v>0</v>
      </c>
      <c r="AD36" s="1">
        <v>0</v>
      </c>
      <c r="AE36" s="1">
        <v>0</v>
      </c>
      <c r="AF36" s="1">
        <v>0</v>
      </c>
      <c r="AG36" s="1">
        <v>0</v>
      </c>
      <c r="AH36" s="12">
        <v>0</v>
      </c>
      <c r="AI36" s="1">
        <v>0</v>
      </c>
      <c r="AJ36" s="12">
        <v>0</v>
      </c>
    </row>
    <row r="37" spans="1:36">
      <c r="E37" s="1">
        <v>5109</v>
      </c>
      <c r="F37" s="1" t="s">
        <v>565</v>
      </c>
      <c r="G37" s="1">
        <f t="shared" si="0"/>
        <v>605109</v>
      </c>
      <c r="H37" s="1" t="s">
        <v>676</v>
      </c>
      <c r="I37" s="1">
        <f t="shared" si="1"/>
        <v>905109</v>
      </c>
      <c r="J37" s="1" t="s">
        <v>676</v>
      </c>
      <c r="K37" s="8">
        <v>1</v>
      </c>
      <c r="L37" s="8">
        <v>4718852</v>
      </c>
      <c r="M37" s="8">
        <v>0</v>
      </c>
      <c r="N37" s="8">
        <v>263</v>
      </c>
      <c r="O37" s="8">
        <v>0</v>
      </c>
      <c r="P37" s="1">
        <v>0</v>
      </c>
      <c r="Q37" s="1">
        <v>0</v>
      </c>
      <c r="R37" s="1">
        <v>0</v>
      </c>
      <c r="S37" s="1">
        <v>1</v>
      </c>
      <c r="T37" s="1">
        <v>15000</v>
      </c>
      <c r="U37" s="1">
        <v>0</v>
      </c>
      <c r="V37" s="1">
        <v>0</v>
      </c>
      <c r="W37" s="1">
        <v>0</v>
      </c>
      <c r="X37" s="1">
        <v>1</v>
      </c>
      <c r="Y37" s="1">
        <v>400</v>
      </c>
      <c r="Z37" s="1">
        <v>0</v>
      </c>
      <c r="AA37" s="1">
        <v>0</v>
      </c>
      <c r="AB37" s="1">
        <v>0</v>
      </c>
      <c r="AC37" s="1">
        <v>0</v>
      </c>
      <c r="AD37" s="1">
        <v>0</v>
      </c>
      <c r="AE37" s="1">
        <v>0</v>
      </c>
      <c r="AF37" s="1">
        <v>0</v>
      </c>
      <c r="AG37" s="1">
        <v>0</v>
      </c>
      <c r="AH37" s="12">
        <v>0</v>
      </c>
      <c r="AI37" s="1">
        <v>0</v>
      </c>
      <c r="AJ37" s="12">
        <v>0</v>
      </c>
    </row>
    <row r="38" spans="1:36">
      <c r="E38" s="1">
        <v>5110</v>
      </c>
      <c r="F38" s="1" t="s">
        <v>424</v>
      </c>
      <c r="G38" s="1">
        <f t="shared" si="0"/>
        <v>605110</v>
      </c>
      <c r="H38" s="1" t="s">
        <v>677</v>
      </c>
      <c r="I38" s="1">
        <f t="shared" si="1"/>
        <v>905110</v>
      </c>
      <c r="J38" s="1" t="s">
        <v>677</v>
      </c>
      <c r="K38" s="8">
        <v>8</v>
      </c>
      <c r="L38" s="8">
        <v>4373</v>
      </c>
      <c r="M38" s="8">
        <v>0</v>
      </c>
      <c r="N38" s="8">
        <v>263</v>
      </c>
      <c r="O38" s="8">
        <v>0</v>
      </c>
      <c r="P38" s="1">
        <v>0</v>
      </c>
      <c r="Q38" s="1">
        <v>0</v>
      </c>
      <c r="R38" s="1">
        <v>0</v>
      </c>
      <c r="S38" s="1">
        <v>5</v>
      </c>
      <c r="T38" s="1">
        <v>5000</v>
      </c>
      <c r="U38" s="1">
        <v>0</v>
      </c>
      <c r="V38" s="1">
        <v>0</v>
      </c>
      <c r="W38" s="1">
        <v>0</v>
      </c>
      <c r="X38" s="1">
        <v>1</v>
      </c>
      <c r="Y38" s="1">
        <v>0</v>
      </c>
      <c r="Z38" s="1">
        <v>0</v>
      </c>
      <c r="AA38" s="1">
        <v>0</v>
      </c>
      <c r="AB38" s="1">
        <v>5008</v>
      </c>
      <c r="AC38" s="1">
        <v>0</v>
      </c>
      <c r="AD38" s="1">
        <v>0</v>
      </c>
      <c r="AE38" s="1">
        <v>0</v>
      </c>
      <c r="AF38" s="1">
        <v>0</v>
      </c>
      <c r="AG38" s="1">
        <v>0</v>
      </c>
      <c r="AH38" s="12" t="s">
        <v>781</v>
      </c>
      <c r="AI38" s="1">
        <v>0</v>
      </c>
      <c r="AJ38" s="12">
        <v>0</v>
      </c>
    </row>
    <row r="39" spans="1:36">
      <c r="A39" s="1" t="s">
        <v>143</v>
      </c>
      <c r="B39" s="1" t="s">
        <v>143</v>
      </c>
      <c r="C39" s="1" t="s">
        <v>143</v>
      </c>
      <c r="D39" s="1" t="s">
        <v>143</v>
      </c>
      <c r="E39" s="1">
        <v>5111</v>
      </c>
      <c r="F39" s="1" t="s">
        <v>409</v>
      </c>
      <c r="G39" s="1">
        <f t="shared" si="0"/>
        <v>605111</v>
      </c>
      <c r="H39" s="1" t="s">
        <v>678</v>
      </c>
      <c r="I39" s="1">
        <f t="shared" si="1"/>
        <v>905111</v>
      </c>
      <c r="J39" s="1" t="s">
        <v>678</v>
      </c>
      <c r="K39" s="8">
        <v>16</v>
      </c>
      <c r="L39" s="8">
        <v>4373</v>
      </c>
      <c r="M39" s="8">
        <v>0</v>
      </c>
      <c r="N39" s="8">
        <v>7</v>
      </c>
      <c r="O39" s="8">
        <v>0</v>
      </c>
      <c r="P39" s="1">
        <v>0</v>
      </c>
      <c r="Q39" s="1">
        <v>0</v>
      </c>
      <c r="R39" s="1">
        <v>0</v>
      </c>
      <c r="S39" s="1">
        <v>5</v>
      </c>
      <c r="T39" s="1">
        <v>5000</v>
      </c>
      <c r="U39" s="1">
        <v>0</v>
      </c>
      <c r="V39" s="1">
        <v>0</v>
      </c>
      <c r="W39" s="1">
        <v>0</v>
      </c>
      <c r="X39" s="1">
        <v>1</v>
      </c>
      <c r="Y39" s="1">
        <v>0</v>
      </c>
      <c r="Z39" s="1">
        <v>0</v>
      </c>
      <c r="AA39" s="1">
        <v>0</v>
      </c>
      <c r="AB39" s="1">
        <v>5007</v>
      </c>
      <c r="AC39" s="1">
        <v>0</v>
      </c>
      <c r="AD39" s="1">
        <v>0</v>
      </c>
      <c r="AE39" s="1">
        <v>0</v>
      </c>
      <c r="AF39" s="1">
        <v>0</v>
      </c>
      <c r="AG39" s="1">
        <v>0</v>
      </c>
      <c r="AH39" s="12" t="s">
        <v>782</v>
      </c>
      <c r="AI39" s="1">
        <v>0</v>
      </c>
      <c r="AJ39" s="12">
        <v>0</v>
      </c>
    </row>
    <row r="40" spans="1:36">
      <c r="A40" s="1" t="s">
        <v>143</v>
      </c>
      <c r="B40" s="1" t="s">
        <v>143</v>
      </c>
      <c r="C40" s="1" t="s">
        <v>143</v>
      </c>
      <c r="D40" s="1" t="s">
        <v>143</v>
      </c>
      <c r="E40" s="1">
        <v>5112</v>
      </c>
      <c r="F40" s="1" t="s">
        <v>502</v>
      </c>
      <c r="G40" s="1">
        <f t="shared" si="0"/>
        <v>605112</v>
      </c>
      <c r="H40" s="1" t="s">
        <v>679</v>
      </c>
      <c r="I40" s="1">
        <f t="shared" si="1"/>
        <v>905112</v>
      </c>
      <c r="J40" s="1" t="s">
        <v>679</v>
      </c>
      <c r="K40" s="8">
        <v>40</v>
      </c>
      <c r="L40" s="8">
        <v>4353</v>
      </c>
      <c r="M40" s="8">
        <v>0</v>
      </c>
      <c r="N40" s="8">
        <v>263</v>
      </c>
      <c r="O40" s="8">
        <v>0</v>
      </c>
      <c r="P40" s="1">
        <v>0</v>
      </c>
      <c r="Q40" s="1">
        <v>0</v>
      </c>
      <c r="R40" s="1">
        <v>0</v>
      </c>
      <c r="S40" s="1">
        <v>1</v>
      </c>
      <c r="T40" s="1">
        <v>4000</v>
      </c>
      <c r="U40" s="1">
        <v>0</v>
      </c>
      <c r="V40" s="1">
        <v>0</v>
      </c>
      <c r="W40" s="1">
        <v>0</v>
      </c>
      <c r="X40" s="1">
        <v>1</v>
      </c>
      <c r="Y40" s="1">
        <v>0</v>
      </c>
      <c r="Z40" s="1">
        <v>0</v>
      </c>
      <c r="AA40" s="1">
        <v>0</v>
      </c>
      <c r="AB40" s="1">
        <v>0</v>
      </c>
      <c r="AC40" s="1">
        <v>0</v>
      </c>
      <c r="AD40" s="1">
        <v>0</v>
      </c>
      <c r="AE40" s="1">
        <v>0</v>
      </c>
      <c r="AF40" s="1">
        <v>0</v>
      </c>
      <c r="AG40" s="1">
        <v>0</v>
      </c>
      <c r="AH40" s="12">
        <v>0</v>
      </c>
      <c r="AI40" s="1">
        <v>0</v>
      </c>
      <c r="AJ40" s="12">
        <v>0</v>
      </c>
    </row>
    <row r="41" spans="1:36">
      <c r="G41" s="12" t="str">
        <f t="shared" si="0"/>
        <v/>
      </c>
      <c r="I41" s="1" t="str">
        <f t="shared" si="1"/>
        <v/>
      </c>
      <c r="AH41" s="12" t="s">
        <v>639</v>
      </c>
    </row>
    <row r="42" spans="1:36">
      <c r="G42" s="12" t="str">
        <f t="shared" si="0"/>
        <v/>
      </c>
      <c r="I42" s="1" t="str">
        <f t="shared" si="1"/>
        <v/>
      </c>
      <c r="AH42" s="12" t="s">
        <v>639</v>
      </c>
    </row>
    <row r="43" spans="1:36">
      <c r="A43" s="1" t="s">
        <v>143</v>
      </c>
      <c r="B43" s="1" t="s">
        <v>143</v>
      </c>
      <c r="C43" s="1" t="s">
        <v>143</v>
      </c>
      <c r="D43" s="1" t="s">
        <v>143</v>
      </c>
      <c r="E43" s="1">
        <v>5208</v>
      </c>
      <c r="F43" s="1" t="s">
        <v>316</v>
      </c>
      <c r="G43" s="12">
        <f t="shared" si="0"/>
        <v>605208</v>
      </c>
      <c r="H43" s="1" t="s">
        <v>680</v>
      </c>
      <c r="I43" s="1">
        <f t="shared" si="1"/>
        <v>905208</v>
      </c>
      <c r="J43" s="1" t="s">
        <v>680</v>
      </c>
      <c r="K43" s="8">
        <v>8</v>
      </c>
      <c r="L43" s="8">
        <v>4353</v>
      </c>
      <c r="M43" s="8">
        <v>0</v>
      </c>
      <c r="N43" s="8">
        <v>263</v>
      </c>
      <c r="O43" s="8">
        <v>0</v>
      </c>
      <c r="P43" s="1">
        <v>0</v>
      </c>
      <c r="Q43" s="1">
        <v>0</v>
      </c>
      <c r="R43" s="1">
        <v>0</v>
      </c>
      <c r="S43" s="1">
        <v>1</v>
      </c>
      <c r="T43" s="1">
        <v>15000</v>
      </c>
      <c r="U43" s="1">
        <v>5210</v>
      </c>
      <c r="V43" s="1">
        <v>0</v>
      </c>
      <c r="W43" s="1">
        <v>0</v>
      </c>
      <c r="X43" s="1">
        <v>1</v>
      </c>
      <c r="Y43" s="1">
        <v>0</v>
      </c>
      <c r="Z43" s="1">
        <v>0</v>
      </c>
      <c r="AA43" s="1">
        <v>0</v>
      </c>
      <c r="AB43" s="1">
        <v>5011</v>
      </c>
      <c r="AC43" s="1">
        <v>0</v>
      </c>
      <c r="AD43" s="1">
        <v>0</v>
      </c>
      <c r="AE43" s="1">
        <v>0</v>
      </c>
      <c r="AF43" s="1">
        <v>0</v>
      </c>
      <c r="AG43" s="1">
        <v>0</v>
      </c>
      <c r="AH43" s="12" t="s">
        <v>783</v>
      </c>
      <c r="AI43" s="1">
        <v>0</v>
      </c>
      <c r="AJ43" s="12">
        <v>0</v>
      </c>
    </row>
    <row r="44" spans="1:36">
      <c r="A44" s="1" t="s">
        <v>143</v>
      </c>
      <c r="B44" s="1" t="s">
        <v>143</v>
      </c>
      <c r="C44" s="1" t="s">
        <v>143</v>
      </c>
      <c r="D44" s="1" t="s">
        <v>143</v>
      </c>
      <c r="E44" s="1">
        <v>5209</v>
      </c>
      <c r="F44" s="1" t="s">
        <v>317</v>
      </c>
      <c r="G44" s="12">
        <f t="shared" si="0"/>
        <v>605209</v>
      </c>
      <c r="H44" s="1" t="s">
        <v>681</v>
      </c>
      <c r="I44" s="1">
        <f t="shared" si="1"/>
        <v>905209</v>
      </c>
      <c r="J44" s="1" t="s">
        <v>681</v>
      </c>
      <c r="K44" s="8">
        <v>8</v>
      </c>
      <c r="L44" s="8">
        <v>4353</v>
      </c>
      <c r="M44" s="8">
        <v>0</v>
      </c>
      <c r="N44" s="8">
        <v>263</v>
      </c>
      <c r="O44" s="8">
        <v>0</v>
      </c>
      <c r="P44" s="1">
        <v>0</v>
      </c>
      <c r="Q44" s="1">
        <v>0</v>
      </c>
      <c r="R44" s="1">
        <v>0</v>
      </c>
      <c r="S44" s="1">
        <v>1</v>
      </c>
      <c r="T44" s="1">
        <v>10000</v>
      </c>
      <c r="U44" s="1">
        <v>0</v>
      </c>
      <c r="V44" s="1">
        <v>0</v>
      </c>
      <c r="W44" s="1">
        <v>0</v>
      </c>
      <c r="X44" s="1">
        <v>1</v>
      </c>
      <c r="Y44" s="1">
        <v>0</v>
      </c>
      <c r="Z44" s="1">
        <v>0</v>
      </c>
      <c r="AA44" s="1">
        <v>0</v>
      </c>
      <c r="AB44" s="1">
        <v>5010</v>
      </c>
      <c r="AC44" s="1">
        <v>0</v>
      </c>
      <c r="AD44" s="1">
        <v>0</v>
      </c>
      <c r="AE44" s="1">
        <v>0</v>
      </c>
      <c r="AF44" s="1">
        <v>0</v>
      </c>
      <c r="AG44" s="1">
        <v>0</v>
      </c>
      <c r="AH44" s="12" t="s">
        <v>784</v>
      </c>
      <c r="AI44" s="1">
        <v>0</v>
      </c>
      <c r="AJ44" s="12">
        <v>0</v>
      </c>
    </row>
    <row r="45" spans="1:36">
      <c r="A45" s="1" t="s">
        <v>143</v>
      </c>
      <c r="B45" s="1" t="s">
        <v>143</v>
      </c>
      <c r="C45" s="1" t="s">
        <v>143</v>
      </c>
      <c r="D45" s="1" t="s">
        <v>143</v>
      </c>
      <c r="E45" s="1">
        <v>5210</v>
      </c>
      <c r="F45" s="1" t="s">
        <v>504</v>
      </c>
      <c r="G45" s="1">
        <f t="shared" si="0"/>
        <v>605210</v>
      </c>
      <c r="H45" s="1" t="s">
        <v>682</v>
      </c>
      <c r="I45" s="1">
        <f t="shared" si="1"/>
        <v>905210</v>
      </c>
      <c r="J45" s="1" t="s">
        <v>682</v>
      </c>
      <c r="K45" s="8">
        <v>40</v>
      </c>
      <c r="L45" s="8">
        <v>4353</v>
      </c>
      <c r="M45" s="8">
        <v>0</v>
      </c>
      <c r="N45" s="8">
        <v>263</v>
      </c>
      <c r="O45" s="8">
        <v>0</v>
      </c>
      <c r="P45" s="1">
        <v>0</v>
      </c>
      <c r="Q45" s="1">
        <v>0</v>
      </c>
      <c r="R45" s="1">
        <v>0</v>
      </c>
      <c r="S45" s="1">
        <v>1</v>
      </c>
      <c r="T45" s="1">
        <v>4000</v>
      </c>
      <c r="U45" s="1">
        <v>0</v>
      </c>
      <c r="V45" s="1">
        <v>0</v>
      </c>
      <c r="W45" s="1">
        <v>0</v>
      </c>
      <c r="X45" s="1">
        <v>1</v>
      </c>
      <c r="Y45" s="1">
        <v>0</v>
      </c>
      <c r="Z45" s="1">
        <v>0</v>
      </c>
      <c r="AA45" s="1">
        <v>0</v>
      </c>
      <c r="AB45" s="1">
        <v>0</v>
      </c>
      <c r="AC45" s="1">
        <v>0</v>
      </c>
      <c r="AD45" s="1">
        <v>0</v>
      </c>
      <c r="AE45" s="1">
        <v>0</v>
      </c>
      <c r="AF45" s="1">
        <v>0</v>
      </c>
      <c r="AG45" s="1">
        <v>0</v>
      </c>
      <c r="AH45" s="12" t="s">
        <v>785</v>
      </c>
      <c r="AI45" s="1">
        <v>0</v>
      </c>
      <c r="AJ45" s="12">
        <v>0</v>
      </c>
    </row>
    <row r="46" spans="1:36">
      <c r="G46" s="1" t="str">
        <f t="shared" si="0"/>
        <v/>
      </c>
      <c r="I46" s="1" t="str">
        <f t="shared" si="1"/>
        <v/>
      </c>
      <c r="AH46" s="12" t="s">
        <v>639</v>
      </c>
    </row>
    <row r="47" spans="1:36" s="12" customFormat="1">
      <c r="A47" s="12" t="s">
        <v>143</v>
      </c>
      <c r="B47" s="12" t="s">
        <v>143</v>
      </c>
      <c r="C47" s="12" t="s">
        <v>143</v>
      </c>
      <c r="D47" s="12" t="s">
        <v>143</v>
      </c>
      <c r="E47" s="12">
        <v>5409</v>
      </c>
      <c r="F47" s="12" t="s">
        <v>724</v>
      </c>
      <c r="G47" s="12">
        <f t="shared" ref="G47" si="4">IF( AND(H47&lt;&gt;"",E47&lt;&gt;""),600000+E47,"")</f>
        <v>605409</v>
      </c>
      <c r="H47" s="12" t="s">
        <v>724</v>
      </c>
      <c r="I47" s="12">
        <f t="shared" ref="I47:I48" si="5">IF( AND(J47&lt;&gt;"",E47&lt;&gt;""),900000+E47,"")</f>
        <v>905409</v>
      </c>
      <c r="J47" s="12" t="s">
        <v>724</v>
      </c>
      <c r="K47" s="13">
        <v>16</v>
      </c>
      <c r="L47" s="13">
        <v>4373</v>
      </c>
      <c r="M47" s="13">
        <v>0</v>
      </c>
      <c r="N47" s="13">
        <v>7</v>
      </c>
      <c r="O47" s="13">
        <v>0</v>
      </c>
      <c r="P47" s="12">
        <v>0</v>
      </c>
      <c r="Q47" s="12">
        <v>0</v>
      </c>
      <c r="R47" s="12">
        <v>0</v>
      </c>
      <c r="S47" s="12">
        <v>1</v>
      </c>
      <c r="T47" s="12">
        <v>10000</v>
      </c>
      <c r="U47" s="12">
        <v>0</v>
      </c>
      <c r="V47" s="12">
        <v>0</v>
      </c>
      <c r="W47" s="12">
        <v>0</v>
      </c>
      <c r="X47" s="12">
        <v>1</v>
      </c>
      <c r="Y47" s="12">
        <v>0</v>
      </c>
      <c r="Z47" s="12">
        <v>0</v>
      </c>
      <c r="AA47" s="12">
        <v>0</v>
      </c>
      <c r="AB47" s="12">
        <v>5007</v>
      </c>
      <c r="AC47" s="12">
        <v>0</v>
      </c>
      <c r="AD47" s="12">
        <v>0</v>
      </c>
      <c r="AE47" s="12">
        <v>0</v>
      </c>
      <c r="AF47" s="12">
        <v>0</v>
      </c>
      <c r="AG47" s="12">
        <v>0</v>
      </c>
      <c r="AH47" s="12" t="s">
        <v>782</v>
      </c>
      <c r="AI47" s="12">
        <v>0</v>
      </c>
      <c r="AJ47" s="12">
        <v>0</v>
      </c>
    </row>
    <row r="48" spans="1:36" s="12" customFormat="1">
      <c r="A48" s="12" t="s">
        <v>143</v>
      </c>
      <c r="B48" s="12" t="s">
        <v>143</v>
      </c>
      <c r="C48" s="12" t="s">
        <v>143</v>
      </c>
      <c r="D48" s="12" t="s">
        <v>143</v>
      </c>
      <c r="E48" s="12">
        <v>5414</v>
      </c>
      <c r="F48" s="12" t="s">
        <v>727</v>
      </c>
      <c r="G48" s="12">
        <f>IF( AND(H48&lt;&gt;"",E48&lt;&gt;""),600000+E48,"")</f>
        <v>605414</v>
      </c>
      <c r="H48" s="12" t="s">
        <v>727</v>
      </c>
      <c r="I48" s="12">
        <f t="shared" si="5"/>
        <v>905414</v>
      </c>
      <c r="J48" s="12" t="s">
        <v>727</v>
      </c>
      <c r="K48" s="13">
        <v>8</v>
      </c>
      <c r="L48" s="13">
        <v>4353</v>
      </c>
      <c r="M48" s="13">
        <v>0</v>
      </c>
      <c r="N48" s="13">
        <v>263</v>
      </c>
      <c r="O48" s="13">
        <v>0</v>
      </c>
      <c r="P48" s="12">
        <v>0</v>
      </c>
      <c r="Q48" s="12">
        <v>0</v>
      </c>
      <c r="R48" s="12">
        <v>0</v>
      </c>
      <c r="S48" s="12">
        <v>1</v>
      </c>
      <c r="T48" s="12">
        <v>15000</v>
      </c>
      <c r="U48" s="12">
        <v>5418</v>
      </c>
      <c r="V48" s="12">
        <v>0</v>
      </c>
      <c r="W48" s="12">
        <v>0</v>
      </c>
      <c r="X48" s="12">
        <v>1</v>
      </c>
      <c r="Y48" s="12">
        <v>0</v>
      </c>
      <c r="Z48" s="12">
        <v>0</v>
      </c>
      <c r="AA48" s="12">
        <v>0</v>
      </c>
      <c r="AB48" s="12">
        <v>5017</v>
      </c>
      <c r="AC48" s="12">
        <v>0</v>
      </c>
      <c r="AD48" s="12">
        <v>0</v>
      </c>
      <c r="AE48" s="12">
        <v>0</v>
      </c>
      <c r="AF48" s="12">
        <v>0</v>
      </c>
      <c r="AG48" s="12">
        <v>0</v>
      </c>
      <c r="AH48" s="12" t="s">
        <v>786</v>
      </c>
      <c r="AI48" s="12">
        <v>0</v>
      </c>
      <c r="AJ48" s="12">
        <v>0</v>
      </c>
    </row>
    <row r="49" spans="1:36" s="12" customFormat="1">
      <c r="A49" s="12" t="s">
        <v>143</v>
      </c>
      <c r="B49" s="12" t="s">
        <v>143</v>
      </c>
      <c r="C49" s="12" t="s">
        <v>143</v>
      </c>
      <c r="D49" s="12" t="s">
        <v>143</v>
      </c>
      <c r="E49" s="12">
        <v>5415</v>
      </c>
      <c r="F49" s="12" t="s">
        <v>922</v>
      </c>
      <c r="G49" s="12">
        <v>605415</v>
      </c>
      <c r="H49" s="12" t="s">
        <v>922</v>
      </c>
      <c r="I49" s="12">
        <v>905415</v>
      </c>
      <c r="J49" s="12" t="s">
        <v>922</v>
      </c>
      <c r="K49" s="13">
        <v>1</v>
      </c>
      <c r="L49" s="13">
        <v>260</v>
      </c>
      <c r="M49" s="13">
        <v>0</v>
      </c>
      <c r="N49" s="13">
        <v>263</v>
      </c>
      <c r="O49" s="13">
        <v>0</v>
      </c>
      <c r="P49" s="12">
        <v>0</v>
      </c>
      <c r="Q49" s="12">
        <v>0</v>
      </c>
      <c r="R49" s="12">
        <v>0</v>
      </c>
      <c r="S49" s="12">
        <v>3</v>
      </c>
      <c r="T49" s="12">
        <v>3000</v>
      </c>
      <c r="U49" s="12">
        <v>5419</v>
      </c>
      <c r="V49" s="12">
        <v>0</v>
      </c>
      <c r="W49" s="12">
        <v>0</v>
      </c>
      <c r="X49" s="12">
        <v>1</v>
      </c>
      <c r="Y49" s="12">
        <v>0</v>
      </c>
      <c r="Z49" s="12">
        <v>0</v>
      </c>
      <c r="AA49" s="12">
        <v>0</v>
      </c>
      <c r="AB49" s="12">
        <v>0</v>
      </c>
      <c r="AC49" s="12">
        <v>0</v>
      </c>
      <c r="AD49" s="12">
        <v>0</v>
      </c>
      <c r="AE49" s="12">
        <v>0</v>
      </c>
      <c r="AF49" s="12">
        <v>0</v>
      </c>
      <c r="AG49" s="12">
        <v>0</v>
      </c>
      <c r="AH49" s="12">
        <v>0</v>
      </c>
      <c r="AI49" s="12">
        <v>0</v>
      </c>
      <c r="AJ49" s="12">
        <v>0</v>
      </c>
    </row>
    <row r="50" spans="1:36" s="12" customFormat="1">
      <c r="A50" s="12" t="s">
        <v>143</v>
      </c>
      <c r="B50" s="12" t="s">
        <v>143</v>
      </c>
      <c r="C50" s="12" t="s">
        <v>143</v>
      </c>
      <c r="D50" s="12" t="s">
        <v>143</v>
      </c>
      <c r="E50" s="12">
        <v>5416</v>
      </c>
      <c r="F50" s="12" t="s">
        <v>923</v>
      </c>
      <c r="G50" s="12">
        <v>605416</v>
      </c>
      <c r="H50" s="12" t="s">
        <v>923</v>
      </c>
      <c r="I50" s="12">
        <v>905416</v>
      </c>
      <c r="J50" s="12" t="s">
        <v>923</v>
      </c>
      <c r="K50" s="13">
        <v>1</v>
      </c>
      <c r="L50" s="13">
        <v>260</v>
      </c>
      <c r="M50" s="13">
        <v>0</v>
      </c>
      <c r="N50" s="13">
        <v>263</v>
      </c>
      <c r="O50" s="13">
        <v>0</v>
      </c>
      <c r="P50" s="12">
        <v>0</v>
      </c>
      <c r="Q50" s="12">
        <v>0</v>
      </c>
      <c r="R50" s="12">
        <v>0</v>
      </c>
      <c r="S50" s="12">
        <v>3</v>
      </c>
      <c r="T50" s="12">
        <v>3000</v>
      </c>
      <c r="U50" s="12">
        <v>5420</v>
      </c>
      <c r="V50" s="12">
        <v>0</v>
      </c>
      <c r="W50" s="12">
        <v>0</v>
      </c>
      <c r="X50" s="12">
        <v>1</v>
      </c>
      <c r="Y50" s="12">
        <v>0</v>
      </c>
      <c r="Z50" s="12">
        <v>0</v>
      </c>
      <c r="AA50" s="12">
        <v>0</v>
      </c>
      <c r="AB50" s="12">
        <v>0</v>
      </c>
      <c r="AC50" s="12">
        <v>0</v>
      </c>
      <c r="AD50" s="12">
        <v>0</v>
      </c>
      <c r="AE50" s="12">
        <v>0</v>
      </c>
      <c r="AF50" s="12">
        <v>0</v>
      </c>
      <c r="AG50" s="12">
        <v>0</v>
      </c>
      <c r="AH50" s="12">
        <v>0</v>
      </c>
      <c r="AI50" s="12">
        <v>0</v>
      </c>
      <c r="AJ50" s="12">
        <v>0</v>
      </c>
    </row>
    <row r="51" spans="1:36" s="12" customFormat="1">
      <c r="A51" s="12" t="s">
        <v>143</v>
      </c>
      <c r="B51" s="12" t="s">
        <v>143</v>
      </c>
      <c r="C51" s="12" t="s">
        <v>143</v>
      </c>
      <c r="D51" s="12" t="s">
        <v>143</v>
      </c>
      <c r="E51" s="12">
        <v>5417</v>
      </c>
      <c r="F51" s="12" t="s">
        <v>924</v>
      </c>
      <c r="G51" s="12">
        <v>605417</v>
      </c>
      <c r="H51" s="12" t="s">
        <v>924</v>
      </c>
      <c r="I51" s="12">
        <v>905417</v>
      </c>
      <c r="J51" s="12" t="s">
        <v>924</v>
      </c>
      <c r="K51" s="13">
        <v>1</v>
      </c>
      <c r="L51" s="13">
        <v>260</v>
      </c>
      <c r="M51" s="13">
        <v>0</v>
      </c>
      <c r="N51" s="13">
        <v>263</v>
      </c>
      <c r="O51" s="13">
        <v>0</v>
      </c>
      <c r="P51" s="12">
        <v>0</v>
      </c>
      <c r="Q51" s="12">
        <v>0</v>
      </c>
      <c r="R51" s="12">
        <v>0</v>
      </c>
      <c r="S51" s="12">
        <v>3</v>
      </c>
      <c r="T51" s="12">
        <v>3000</v>
      </c>
      <c r="U51" s="12">
        <v>5421</v>
      </c>
      <c r="V51" s="12">
        <v>0</v>
      </c>
      <c r="W51" s="12">
        <v>0</v>
      </c>
      <c r="X51" s="12">
        <v>1</v>
      </c>
      <c r="Y51" s="12">
        <v>0</v>
      </c>
      <c r="Z51" s="12">
        <v>0</v>
      </c>
      <c r="AA51" s="12">
        <v>0</v>
      </c>
      <c r="AB51" s="12">
        <v>0</v>
      </c>
      <c r="AC51" s="12">
        <v>0</v>
      </c>
      <c r="AD51" s="12">
        <v>0</v>
      </c>
      <c r="AE51" s="12">
        <v>0</v>
      </c>
      <c r="AF51" s="12">
        <v>0</v>
      </c>
      <c r="AG51" s="12">
        <v>0</v>
      </c>
      <c r="AH51" s="12">
        <v>0</v>
      </c>
      <c r="AI51" s="12">
        <v>0</v>
      </c>
      <c r="AJ51" s="12">
        <v>0</v>
      </c>
    </row>
    <row r="52" spans="1:36" s="12" customFormat="1">
      <c r="A52" s="12" t="s">
        <v>143</v>
      </c>
      <c r="B52" s="12" t="s">
        <v>143</v>
      </c>
      <c r="C52" s="12" t="s">
        <v>143</v>
      </c>
      <c r="D52" s="12" t="s">
        <v>143</v>
      </c>
      <c r="E52" s="12">
        <v>5418</v>
      </c>
      <c r="F52" s="12" t="s">
        <v>925</v>
      </c>
      <c r="G52" s="12">
        <v>605418</v>
      </c>
      <c r="H52" s="12" t="s">
        <v>925</v>
      </c>
      <c r="I52" s="12">
        <v>905418</v>
      </c>
      <c r="J52" s="12" t="s">
        <v>925</v>
      </c>
      <c r="K52" s="13">
        <v>1</v>
      </c>
      <c r="L52" s="13">
        <v>260</v>
      </c>
      <c r="M52" s="13">
        <v>0</v>
      </c>
      <c r="N52" s="13">
        <v>263</v>
      </c>
      <c r="O52" s="13">
        <v>0</v>
      </c>
      <c r="P52" s="12">
        <v>0</v>
      </c>
      <c r="Q52" s="12">
        <v>0</v>
      </c>
      <c r="R52" s="12">
        <v>0</v>
      </c>
      <c r="S52" s="12">
        <v>3</v>
      </c>
      <c r="T52" s="12">
        <v>3000</v>
      </c>
      <c r="U52" s="12">
        <v>5422</v>
      </c>
      <c r="V52" s="12">
        <v>0</v>
      </c>
      <c r="W52" s="12">
        <v>0</v>
      </c>
      <c r="X52" s="12">
        <v>1</v>
      </c>
      <c r="Y52" s="12">
        <v>0</v>
      </c>
      <c r="Z52" s="12">
        <v>0</v>
      </c>
      <c r="AA52" s="12">
        <v>0</v>
      </c>
      <c r="AB52" s="12">
        <v>0</v>
      </c>
      <c r="AC52" s="12">
        <v>0</v>
      </c>
      <c r="AD52" s="12">
        <v>0</v>
      </c>
      <c r="AE52" s="12">
        <v>0</v>
      </c>
      <c r="AF52" s="12">
        <v>0</v>
      </c>
      <c r="AG52" s="12">
        <v>0</v>
      </c>
      <c r="AH52" s="12">
        <v>0</v>
      </c>
      <c r="AI52" s="12">
        <v>0</v>
      </c>
      <c r="AJ52" s="12">
        <v>0</v>
      </c>
    </row>
    <row r="53" spans="1:36" s="12" customFormat="1">
      <c r="K53" s="13"/>
      <c r="L53" s="13"/>
      <c r="M53" s="13"/>
      <c r="N53" s="13"/>
      <c r="O53" s="13"/>
    </row>
    <row r="54" spans="1:36" s="12" customFormat="1">
      <c r="G54" s="12" t="str">
        <f t="shared" ref="G54" si="6">IF( AND(H54&lt;&gt;"",E54&lt;&gt;""),600000+E54,"")</f>
        <v/>
      </c>
      <c r="K54" s="13"/>
      <c r="L54" s="13"/>
      <c r="M54" s="13"/>
      <c r="N54" s="13"/>
      <c r="O54" s="13"/>
      <c r="AH54" s="12" t="s">
        <v>639</v>
      </c>
    </row>
    <row r="55" spans="1:36" s="12" customFormat="1">
      <c r="K55" s="13"/>
      <c r="L55" s="13"/>
      <c r="M55" s="13"/>
      <c r="N55" s="13"/>
      <c r="O55" s="13"/>
    </row>
    <row r="56" spans="1:36" s="12" customFormat="1">
      <c r="A56" s="12" t="s">
        <v>143</v>
      </c>
      <c r="B56" s="12" t="s">
        <v>143</v>
      </c>
      <c r="C56" s="12" t="s">
        <v>143</v>
      </c>
      <c r="D56" s="12" t="s">
        <v>143</v>
      </c>
      <c r="E56" s="12">
        <v>5508</v>
      </c>
      <c r="F56" s="12" t="s">
        <v>768</v>
      </c>
      <c r="G56" s="12">
        <v>605508</v>
      </c>
      <c r="H56" s="12" t="s">
        <v>768</v>
      </c>
      <c r="I56" s="12">
        <v>905508</v>
      </c>
      <c r="J56" s="12" t="s">
        <v>768</v>
      </c>
      <c r="K56" s="13">
        <v>16</v>
      </c>
      <c r="L56" s="13">
        <v>4353</v>
      </c>
      <c r="M56" s="13">
        <v>256</v>
      </c>
      <c r="N56" s="13">
        <v>7</v>
      </c>
      <c r="O56" s="13">
        <v>0</v>
      </c>
      <c r="P56" s="12">
        <v>0</v>
      </c>
      <c r="Q56" s="12">
        <v>0</v>
      </c>
      <c r="R56" s="12">
        <v>0</v>
      </c>
      <c r="S56" s="12">
        <v>1</v>
      </c>
      <c r="T56" s="12">
        <v>4000</v>
      </c>
      <c r="U56" s="12">
        <v>0</v>
      </c>
      <c r="V56" s="12">
        <v>0</v>
      </c>
      <c r="W56" s="12">
        <v>0</v>
      </c>
      <c r="X56" s="12">
        <v>3</v>
      </c>
      <c r="Y56" s="12">
        <v>0</v>
      </c>
      <c r="Z56" s="12">
        <v>0</v>
      </c>
      <c r="AA56" s="12">
        <v>0</v>
      </c>
      <c r="AB56" s="12">
        <v>5002</v>
      </c>
      <c r="AC56" s="12">
        <v>0</v>
      </c>
      <c r="AD56" s="12">
        <v>0</v>
      </c>
      <c r="AE56" s="12">
        <v>0</v>
      </c>
      <c r="AF56" s="12">
        <v>0</v>
      </c>
      <c r="AG56" s="12">
        <v>0</v>
      </c>
      <c r="AH56" s="12">
        <v>0</v>
      </c>
      <c r="AI56" s="12">
        <v>0</v>
      </c>
      <c r="AJ56" s="12">
        <v>0</v>
      </c>
    </row>
    <row r="57" spans="1:36" s="12" customFormat="1">
      <c r="A57" s="12" t="s">
        <v>143</v>
      </c>
      <c r="B57" s="12" t="s">
        <v>143</v>
      </c>
      <c r="C57" s="12" t="s">
        <v>143</v>
      </c>
      <c r="D57" s="12" t="s">
        <v>143</v>
      </c>
      <c r="E57" s="12">
        <v>5512</v>
      </c>
      <c r="F57" s="12" t="s">
        <v>771</v>
      </c>
      <c r="G57" s="12">
        <v>605502</v>
      </c>
      <c r="H57" s="12" t="s">
        <v>771</v>
      </c>
      <c r="I57" s="12">
        <v>905502</v>
      </c>
      <c r="J57" s="12" t="s">
        <v>771</v>
      </c>
      <c r="K57" s="13">
        <v>16</v>
      </c>
      <c r="L57" s="13">
        <v>4353</v>
      </c>
      <c r="M57" s="13">
        <v>0</v>
      </c>
      <c r="N57" s="13">
        <v>0</v>
      </c>
      <c r="O57" s="13">
        <v>0</v>
      </c>
      <c r="P57" s="12">
        <v>0</v>
      </c>
      <c r="Q57" s="12">
        <v>0</v>
      </c>
      <c r="R57" s="12">
        <v>0</v>
      </c>
      <c r="S57" s="12">
        <v>1</v>
      </c>
      <c r="T57" s="12">
        <v>180000</v>
      </c>
      <c r="U57" s="12">
        <v>0</v>
      </c>
      <c r="V57" s="12">
        <v>0</v>
      </c>
      <c r="W57" s="12">
        <v>0</v>
      </c>
      <c r="X57" s="12">
        <v>1</v>
      </c>
      <c r="Y57" s="12">
        <v>0</v>
      </c>
      <c r="Z57" s="12">
        <v>0</v>
      </c>
      <c r="AA57" s="12">
        <v>0</v>
      </c>
      <c r="AB57" s="12">
        <v>5014</v>
      </c>
      <c r="AC57" s="12">
        <v>0</v>
      </c>
      <c r="AD57" s="12">
        <v>5015</v>
      </c>
      <c r="AE57" s="12">
        <v>0</v>
      </c>
      <c r="AF57" s="12">
        <v>0</v>
      </c>
      <c r="AG57" s="12">
        <v>0</v>
      </c>
      <c r="AH57" s="12">
        <v>0</v>
      </c>
      <c r="AI57" s="12">
        <v>0</v>
      </c>
      <c r="AJ57" s="12">
        <v>0</v>
      </c>
    </row>
    <row r="58" spans="1:36" s="12" customFormat="1">
      <c r="A58" s="12" t="s">
        <v>143</v>
      </c>
      <c r="B58" s="12" t="s">
        <v>143</v>
      </c>
      <c r="C58" s="12" t="s">
        <v>143</v>
      </c>
      <c r="D58" s="12" t="s">
        <v>143</v>
      </c>
      <c r="E58" s="12">
        <v>5513</v>
      </c>
      <c r="F58" s="12" t="s">
        <v>844</v>
      </c>
      <c r="G58" s="12">
        <v>605502</v>
      </c>
      <c r="H58" s="12" t="s">
        <v>844</v>
      </c>
      <c r="I58" s="12">
        <v>905502</v>
      </c>
      <c r="J58" s="12" t="s">
        <v>844</v>
      </c>
      <c r="K58" s="13">
        <v>8</v>
      </c>
      <c r="L58" s="13">
        <v>4353</v>
      </c>
      <c r="M58" s="13">
        <v>0</v>
      </c>
      <c r="N58" s="13">
        <v>263</v>
      </c>
      <c r="O58" s="13">
        <v>0</v>
      </c>
      <c r="P58" s="12">
        <v>0</v>
      </c>
      <c r="Q58" s="12">
        <v>0</v>
      </c>
      <c r="R58" s="12">
        <v>0</v>
      </c>
      <c r="S58" s="12">
        <v>1</v>
      </c>
      <c r="T58" s="12">
        <v>15000</v>
      </c>
      <c r="U58" s="12">
        <v>0</v>
      </c>
      <c r="V58" s="12">
        <v>0</v>
      </c>
      <c r="W58" s="12">
        <v>0</v>
      </c>
      <c r="X58" s="12">
        <v>1</v>
      </c>
      <c r="Y58" s="12">
        <v>0</v>
      </c>
      <c r="Z58" s="12">
        <v>0</v>
      </c>
      <c r="AA58" s="12">
        <v>0</v>
      </c>
      <c r="AB58" s="12">
        <v>5016</v>
      </c>
      <c r="AC58" s="12">
        <v>0</v>
      </c>
      <c r="AD58" s="12">
        <v>0</v>
      </c>
      <c r="AE58" s="12">
        <v>0</v>
      </c>
      <c r="AF58" s="12">
        <v>0</v>
      </c>
      <c r="AG58" s="12">
        <v>0</v>
      </c>
      <c r="AH58" s="12">
        <v>0</v>
      </c>
      <c r="AI58" s="12">
        <v>0</v>
      </c>
      <c r="AJ58" s="12">
        <v>0</v>
      </c>
    </row>
    <row r="59" spans="1:36" s="12" customFormat="1">
      <c r="K59" s="13"/>
      <c r="L59" s="13"/>
      <c r="M59" s="13"/>
      <c r="N59" s="13"/>
      <c r="O59" s="13"/>
    </row>
    <row r="60" spans="1:36" s="12" customFormat="1">
      <c r="A60" s="12" t="s">
        <v>142</v>
      </c>
      <c r="B60" s="12" t="s">
        <v>142</v>
      </c>
      <c r="C60" s="12" t="s">
        <v>142</v>
      </c>
      <c r="D60" s="12" t="s">
        <v>142</v>
      </c>
      <c r="E60" s="12">
        <v>5601</v>
      </c>
      <c r="F60" s="12" t="s">
        <v>919</v>
      </c>
      <c r="G60" s="12">
        <v>605601</v>
      </c>
      <c r="H60" s="12" t="s">
        <v>919</v>
      </c>
      <c r="I60" s="12">
        <v>905601</v>
      </c>
      <c r="J60" s="12" t="s">
        <v>919</v>
      </c>
      <c r="K60" s="13">
        <v>1</v>
      </c>
      <c r="L60" s="13">
        <v>4097</v>
      </c>
      <c r="M60" s="13">
        <v>0</v>
      </c>
      <c r="N60" s="13">
        <v>263</v>
      </c>
      <c r="O60" s="13">
        <v>0</v>
      </c>
      <c r="P60" s="12">
        <v>0</v>
      </c>
      <c r="Q60" s="12">
        <v>0</v>
      </c>
      <c r="R60" s="12">
        <v>0</v>
      </c>
      <c r="S60" s="12">
        <v>1</v>
      </c>
      <c r="T60" s="12">
        <v>50000</v>
      </c>
      <c r="U60" s="12">
        <v>0</v>
      </c>
      <c r="V60" s="12">
        <v>0</v>
      </c>
      <c r="W60" s="12">
        <v>0</v>
      </c>
      <c r="X60" s="12">
        <v>0</v>
      </c>
      <c r="Y60" s="12">
        <v>0</v>
      </c>
      <c r="Z60" s="12">
        <v>0</v>
      </c>
      <c r="AA60" s="12">
        <v>0</v>
      </c>
      <c r="AB60" s="12">
        <v>0</v>
      </c>
      <c r="AC60" s="12">
        <v>0</v>
      </c>
      <c r="AD60" s="12">
        <v>0</v>
      </c>
      <c r="AE60" s="12">
        <v>0</v>
      </c>
      <c r="AF60" s="12">
        <v>0</v>
      </c>
      <c r="AG60" s="12">
        <v>0</v>
      </c>
      <c r="AH60" s="12">
        <v>0</v>
      </c>
      <c r="AI60" s="12">
        <v>0</v>
      </c>
      <c r="AJ60" s="12">
        <v>0</v>
      </c>
    </row>
    <row r="61" spans="1:36" s="12" customFormat="1">
      <c r="K61" s="13"/>
      <c r="L61" s="13"/>
      <c r="M61" s="13"/>
      <c r="N61" s="13"/>
      <c r="O61" s="13"/>
    </row>
    <row r="62" spans="1:36" s="12" customFormat="1">
      <c r="K62" s="13"/>
      <c r="L62" s="13"/>
      <c r="M62" s="13"/>
      <c r="N62" s="13"/>
      <c r="O62" s="13"/>
    </row>
    <row r="63" spans="1:36" s="12" customFormat="1">
      <c r="K63" s="13"/>
      <c r="L63" s="13"/>
      <c r="M63" s="13"/>
      <c r="N63" s="13"/>
      <c r="O63" s="13"/>
    </row>
    <row r="64" spans="1:36" s="12" customFormat="1">
      <c r="K64" s="13"/>
      <c r="L64" s="13"/>
      <c r="M64" s="13"/>
      <c r="N64" s="13"/>
      <c r="O64" s="13"/>
      <c r="AH64" s="12" t="s">
        <v>639</v>
      </c>
    </row>
    <row r="65" spans="1:36">
      <c r="A65" s="1" t="s">
        <v>143</v>
      </c>
      <c r="B65" s="1" t="s">
        <v>143</v>
      </c>
      <c r="C65" s="1" t="s">
        <v>143</v>
      </c>
      <c r="D65" s="1" t="s">
        <v>143</v>
      </c>
      <c r="E65" s="1">
        <v>5702</v>
      </c>
      <c r="F65" s="1" t="s">
        <v>578</v>
      </c>
      <c r="G65" s="1">
        <f t="shared" si="0"/>
        <v>605702</v>
      </c>
      <c r="H65" s="1" t="s">
        <v>683</v>
      </c>
      <c r="I65" s="1">
        <f t="shared" si="1"/>
        <v>905702</v>
      </c>
      <c r="J65" s="1" t="s">
        <v>683</v>
      </c>
      <c r="K65" s="8">
        <v>8</v>
      </c>
      <c r="L65" s="8">
        <v>4353</v>
      </c>
      <c r="M65" s="8">
        <v>0</v>
      </c>
      <c r="N65" s="8">
        <v>263</v>
      </c>
      <c r="O65" s="8">
        <v>0</v>
      </c>
      <c r="P65" s="1">
        <v>0</v>
      </c>
      <c r="Q65" s="1">
        <v>0</v>
      </c>
      <c r="R65" s="1">
        <v>0</v>
      </c>
      <c r="S65" s="1">
        <v>1</v>
      </c>
      <c r="T65" s="1">
        <v>10000</v>
      </c>
      <c r="U65" s="1">
        <v>5703</v>
      </c>
      <c r="V65" s="1">
        <v>0</v>
      </c>
      <c r="W65" s="1">
        <v>0</v>
      </c>
      <c r="X65" s="1">
        <v>1</v>
      </c>
      <c r="Y65" s="1">
        <v>0</v>
      </c>
      <c r="Z65" s="1">
        <v>0</v>
      </c>
      <c r="AA65" s="1">
        <v>0</v>
      </c>
      <c r="AB65" s="1">
        <v>0</v>
      </c>
      <c r="AC65" s="1">
        <v>0</v>
      </c>
      <c r="AD65" s="1">
        <v>0</v>
      </c>
      <c r="AE65" s="1">
        <v>0</v>
      </c>
      <c r="AF65" s="1">
        <v>0</v>
      </c>
      <c r="AG65" s="1">
        <v>0</v>
      </c>
      <c r="AH65" s="12">
        <v>0</v>
      </c>
      <c r="AI65" s="1">
        <v>0</v>
      </c>
      <c r="AJ65" s="12">
        <v>0</v>
      </c>
    </row>
    <row r="66" spans="1:36">
      <c r="G66" s="1" t="str">
        <f t="shared" si="0"/>
        <v/>
      </c>
      <c r="I66" s="1" t="str">
        <f t="shared" si="1"/>
        <v/>
      </c>
      <c r="AH66" s="12" t="s">
        <v>639</v>
      </c>
    </row>
    <row r="67" spans="1:36">
      <c r="A67" s="1" t="s">
        <v>142</v>
      </c>
      <c r="B67" s="1" t="s">
        <v>142</v>
      </c>
      <c r="C67" s="1" t="s">
        <v>142</v>
      </c>
      <c r="D67" s="1" t="s">
        <v>142</v>
      </c>
      <c r="E67" s="1">
        <v>15001</v>
      </c>
      <c r="F67" s="1" t="s">
        <v>438</v>
      </c>
      <c r="G67" s="1">
        <f t="shared" si="0"/>
        <v>615001</v>
      </c>
      <c r="H67" s="1" t="s">
        <v>438</v>
      </c>
      <c r="I67" s="1">
        <f t="shared" si="1"/>
        <v>915001</v>
      </c>
      <c r="J67" s="1" t="s">
        <v>438</v>
      </c>
      <c r="K67" s="8">
        <v>16</v>
      </c>
      <c r="L67" s="8">
        <v>4405</v>
      </c>
      <c r="M67" s="8">
        <v>0</v>
      </c>
      <c r="N67" s="8">
        <v>7</v>
      </c>
      <c r="O67" s="8">
        <v>0</v>
      </c>
      <c r="P67" s="1">
        <v>0</v>
      </c>
      <c r="Q67" s="1">
        <v>0</v>
      </c>
      <c r="R67" s="1">
        <v>0</v>
      </c>
      <c r="S67" s="1">
        <v>3</v>
      </c>
      <c r="T67" s="1">
        <v>2000</v>
      </c>
      <c r="U67" s="1">
        <v>0</v>
      </c>
      <c r="V67" s="1">
        <v>0</v>
      </c>
      <c r="W67" s="1">
        <v>0</v>
      </c>
      <c r="X67" s="1">
        <v>1</v>
      </c>
      <c r="Y67" s="1">
        <v>0</v>
      </c>
      <c r="Z67" s="1">
        <v>0</v>
      </c>
      <c r="AA67" s="1">
        <v>0</v>
      </c>
      <c r="AB67" s="1">
        <v>5013</v>
      </c>
      <c r="AC67" s="1">
        <v>0</v>
      </c>
      <c r="AD67" s="1">
        <v>0</v>
      </c>
      <c r="AE67" s="1">
        <v>0</v>
      </c>
      <c r="AF67" s="1">
        <v>0</v>
      </c>
      <c r="AG67" s="1">
        <v>0</v>
      </c>
      <c r="AH67" s="12" t="s">
        <v>787</v>
      </c>
      <c r="AI67" s="1">
        <v>0</v>
      </c>
      <c r="AJ67" s="12">
        <v>0</v>
      </c>
    </row>
    <row r="68" spans="1:36">
      <c r="A68" s="1" t="s">
        <v>142</v>
      </c>
      <c r="B68" s="1" t="s">
        <v>142</v>
      </c>
      <c r="C68" s="1" t="s">
        <v>142</v>
      </c>
      <c r="D68" s="1" t="s">
        <v>142</v>
      </c>
      <c r="E68" s="1">
        <v>15011</v>
      </c>
      <c r="F68" s="1" t="s">
        <v>511</v>
      </c>
      <c r="G68" s="1">
        <f t="shared" si="0"/>
        <v>615011</v>
      </c>
      <c r="H68" s="1" t="s">
        <v>684</v>
      </c>
      <c r="I68" s="1">
        <f t="shared" si="1"/>
        <v>915011</v>
      </c>
      <c r="J68" s="1" t="s">
        <v>684</v>
      </c>
      <c r="K68" s="8">
        <v>8</v>
      </c>
      <c r="L68" s="8">
        <v>273</v>
      </c>
      <c r="M68" s="8">
        <v>0</v>
      </c>
      <c r="N68" s="8">
        <v>263</v>
      </c>
      <c r="O68" s="8">
        <v>0</v>
      </c>
      <c r="P68" s="1">
        <v>0</v>
      </c>
      <c r="Q68" s="1">
        <v>0</v>
      </c>
      <c r="R68" s="1">
        <v>0</v>
      </c>
      <c r="S68" s="1">
        <v>1</v>
      </c>
      <c r="T68" s="1">
        <v>5000</v>
      </c>
      <c r="U68" s="1">
        <v>15013</v>
      </c>
      <c r="V68" s="1">
        <v>0</v>
      </c>
      <c r="W68" s="1">
        <v>0</v>
      </c>
      <c r="X68" s="1">
        <v>1</v>
      </c>
      <c r="Y68" s="1">
        <v>0</v>
      </c>
      <c r="Z68" s="1">
        <v>0</v>
      </c>
      <c r="AA68" s="1">
        <v>0</v>
      </c>
      <c r="AB68" s="1">
        <v>0</v>
      </c>
      <c r="AC68" s="1">
        <v>0</v>
      </c>
      <c r="AD68" s="1">
        <v>0</v>
      </c>
      <c r="AE68" s="1">
        <v>0</v>
      </c>
      <c r="AF68" s="1">
        <v>0</v>
      </c>
      <c r="AG68" s="1">
        <v>0</v>
      </c>
      <c r="AH68" s="12">
        <v>0</v>
      </c>
      <c r="AI68" s="1">
        <v>0</v>
      </c>
      <c r="AJ68" s="12">
        <v>0</v>
      </c>
    </row>
    <row r="69" spans="1:36">
      <c r="A69" s="1" t="s">
        <v>142</v>
      </c>
      <c r="B69" s="1" t="s">
        <v>142</v>
      </c>
      <c r="C69" s="1" t="s">
        <v>142</v>
      </c>
      <c r="D69" s="1" t="s">
        <v>142</v>
      </c>
      <c r="E69" s="1">
        <v>15012</v>
      </c>
      <c r="F69" s="1" t="s">
        <v>512</v>
      </c>
      <c r="G69" s="1">
        <f t="shared" si="0"/>
        <v>615012</v>
      </c>
      <c r="H69" s="1" t="s">
        <v>685</v>
      </c>
      <c r="I69" s="1">
        <f t="shared" si="1"/>
        <v>915012</v>
      </c>
      <c r="J69" s="1" t="s">
        <v>685</v>
      </c>
      <c r="K69" s="8">
        <v>8</v>
      </c>
      <c r="L69" s="8">
        <v>273</v>
      </c>
      <c r="M69" s="8">
        <v>0</v>
      </c>
      <c r="N69" s="8">
        <v>263</v>
      </c>
      <c r="O69" s="8">
        <v>0</v>
      </c>
      <c r="P69" s="1">
        <v>0</v>
      </c>
      <c r="Q69" s="1">
        <v>0</v>
      </c>
      <c r="R69" s="1">
        <v>0</v>
      </c>
      <c r="S69" s="1">
        <v>1</v>
      </c>
      <c r="T69" s="1">
        <v>5000</v>
      </c>
      <c r="U69" s="1">
        <v>15014</v>
      </c>
      <c r="V69" s="1">
        <v>0</v>
      </c>
      <c r="W69" s="1">
        <v>0</v>
      </c>
      <c r="X69" s="1">
        <v>1</v>
      </c>
      <c r="Y69" s="1">
        <v>0</v>
      </c>
      <c r="Z69" s="1">
        <v>0</v>
      </c>
      <c r="AA69" s="1">
        <v>0</v>
      </c>
      <c r="AB69" s="1">
        <v>0</v>
      </c>
      <c r="AC69" s="1">
        <v>0</v>
      </c>
      <c r="AD69" s="1">
        <v>0</v>
      </c>
      <c r="AE69" s="1">
        <v>0</v>
      </c>
      <c r="AF69" s="1">
        <v>0</v>
      </c>
      <c r="AG69" s="1">
        <v>0</v>
      </c>
      <c r="AH69" s="12" t="s">
        <v>788</v>
      </c>
      <c r="AI69" s="1">
        <v>0</v>
      </c>
      <c r="AJ69" s="12">
        <v>0</v>
      </c>
    </row>
    <row r="70" spans="1:36">
      <c r="A70" s="1" t="s">
        <v>142</v>
      </c>
      <c r="B70" s="1" t="s">
        <v>142</v>
      </c>
      <c r="C70" s="1" t="s">
        <v>142</v>
      </c>
      <c r="D70" s="1" t="s">
        <v>142</v>
      </c>
      <c r="E70" s="1">
        <v>15031</v>
      </c>
      <c r="F70" s="1" t="s">
        <v>439</v>
      </c>
      <c r="G70" s="1">
        <f t="shared" si="0"/>
        <v>615031</v>
      </c>
      <c r="H70" s="1" t="s">
        <v>439</v>
      </c>
      <c r="I70" s="1">
        <f t="shared" si="1"/>
        <v>915031</v>
      </c>
      <c r="J70" s="1" t="s">
        <v>439</v>
      </c>
      <c r="K70" s="8">
        <v>8</v>
      </c>
      <c r="L70" s="8">
        <v>4353</v>
      </c>
      <c r="M70" s="8">
        <v>0</v>
      </c>
      <c r="N70" s="8">
        <v>263</v>
      </c>
      <c r="O70" s="8">
        <v>0</v>
      </c>
      <c r="P70" s="1">
        <v>0</v>
      </c>
      <c r="Q70" s="1">
        <v>0</v>
      </c>
      <c r="R70" s="1">
        <v>0</v>
      </c>
      <c r="S70" s="1">
        <v>1</v>
      </c>
      <c r="T70" s="1">
        <v>10000</v>
      </c>
      <c r="U70" s="1">
        <v>0</v>
      </c>
      <c r="V70" s="1">
        <v>0</v>
      </c>
      <c r="W70" s="1">
        <v>0</v>
      </c>
      <c r="X70" s="1">
        <v>1</v>
      </c>
      <c r="Y70" s="1">
        <v>0</v>
      </c>
      <c r="Z70" s="1">
        <v>0</v>
      </c>
      <c r="AA70" s="1">
        <v>0</v>
      </c>
      <c r="AB70" s="1">
        <v>0</v>
      </c>
      <c r="AC70" s="1">
        <v>0</v>
      </c>
      <c r="AD70" s="1">
        <v>0</v>
      </c>
      <c r="AE70" s="1">
        <v>0</v>
      </c>
      <c r="AF70" s="1">
        <v>0</v>
      </c>
      <c r="AG70" s="1">
        <v>0</v>
      </c>
      <c r="AH70" s="12" t="s">
        <v>789</v>
      </c>
      <c r="AI70" s="1">
        <v>0</v>
      </c>
      <c r="AJ70" s="12">
        <v>0</v>
      </c>
    </row>
    <row r="71" spans="1:36">
      <c r="A71" s="1" t="s">
        <v>143</v>
      </c>
      <c r="B71" s="1" t="s">
        <v>143</v>
      </c>
      <c r="C71" s="1" t="s">
        <v>143</v>
      </c>
      <c r="D71" s="1" t="s">
        <v>143</v>
      </c>
      <c r="E71" s="1">
        <v>15032</v>
      </c>
      <c r="F71" s="1" t="s">
        <v>505</v>
      </c>
      <c r="G71" s="1">
        <f t="shared" si="0"/>
        <v>615032</v>
      </c>
      <c r="H71" s="1" t="s">
        <v>686</v>
      </c>
      <c r="I71" s="1">
        <f t="shared" si="1"/>
        <v>915032</v>
      </c>
      <c r="J71" s="1" t="s">
        <v>686</v>
      </c>
      <c r="K71" s="8">
        <v>48</v>
      </c>
      <c r="L71" s="8">
        <v>4353</v>
      </c>
      <c r="M71" s="8">
        <v>0</v>
      </c>
      <c r="N71" s="8">
        <v>7</v>
      </c>
      <c r="O71" s="8">
        <v>0</v>
      </c>
      <c r="P71" s="1">
        <v>0</v>
      </c>
      <c r="Q71" s="1">
        <v>0</v>
      </c>
      <c r="R71" s="1">
        <v>0</v>
      </c>
      <c r="S71" s="1">
        <v>1</v>
      </c>
      <c r="T71" s="1">
        <v>4000</v>
      </c>
      <c r="U71" s="1">
        <v>0</v>
      </c>
      <c r="V71" s="1">
        <v>0</v>
      </c>
      <c r="W71" s="1">
        <v>0</v>
      </c>
      <c r="X71" s="1">
        <v>1</v>
      </c>
      <c r="Y71" s="1">
        <v>0</v>
      </c>
      <c r="Z71" s="1">
        <v>0</v>
      </c>
      <c r="AA71" s="1">
        <v>0</v>
      </c>
      <c r="AB71" s="1">
        <v>0</v>
      </c>
      <c r="AC71" s="1">
        <v>0</v>
      </c>
      <c r="AD71" s="1">
        <v>0</v>
      </c>
      <c r="AE71" s="1">
        <v>0</v>
      </c>
      <c r="AF71" s="1">
        <v>0</v>
      </c>
      <c r="AG71" s="1">
        <v>0</v>
      </c>
      <c r="AH71" s="12" t="s">
        <v>787</v>
      </c>
      <c r="AI71" s="1">
        <v>0</v>
      </c>
      <c r="AJ71" s="12">
        <v>0</v>
      </c>
    </row>
    <row r="72" spans="1:36">
      <c r="G72" s="1" t="str">
        <f t="shared" si="0"/>
        <v/>
      </c>
      <c r="I72" s="1" t="str">
        <f t="shared" si="1"/>
        <v/>
      </c>
      <c r="AH72" s="12" t="s">
        <v>639</v>
      </c>
    </row>
    <row r="73" spans="1:36">
      <c r="A73" s="1" t="s">
        <v>143</v>
      </c>
      <c r="B73" s="1" t="s">
        <v>143</v>
      </c>
      <c r="C73" s="1" t="s">
        <v>143</v>
      </c>
      <c r="D73" s="1" t="s">
        <v>143</v>
      </c>
      <c r="E73" s="1">
        <v>15101</v>
      </c>
      <c r="F73" s="1" t="s">
        <v>513</v>
      </c>
      <c r="G73" s="1">
        <f t="shared" si="0"/>
        <v>615101</v>
      </c>
      <c r="H73" s="1" t="s">
        <v>687</v>
      </c>
      <c r="I73" s="1">
        <f t="shared" si="1"/>
        <v>915101</v>
      </c>
      <c r="J73" s="1" t="s">
        <v>687</v>
      </c>
      <c r="K73" s="8">
        <v>8</v>
      </c>
      <c r="L73" s="8">
        <v>4353</v>
      </c>
      <c r="M73" s="8">
        <v>0</v>
      </c>
      <c r="N73" s="8">
        <v>263</v>
      </c>
      <c r="O73" s="8">
        <v>0</v>
      </c>
      <c r="P73" s="1">
        <v>0</v>
      </c>
      <c r="Q73" s="1">
        <v>0</v>
      </c>
      <c r="R73" s="1">
        <v>0</v>
      </c>
      <c r="S73" s="1">
        <v>1</v>
      </c>
      <c r="T73" s="1">
        <v>99999</v>
      </c>
      <c r="U73" s="1">
        <v>0</v>
      </c>
      <c r="V73" s="1">
        <v>0</v>
      </c>
      <c r="W73" s="1">
        <v>0</v>
      </c>
      <c r="X73" s="1">
        <v>1</v>
      </c>
      <c r="Y73" s="1">
        <v>0</v>
      </c>
      <c r="Z73" s="1">
        <v>0</v>
      </c>
      <c r="AA73" s="1">
        <v>0</v>
      </c>
      <c r="AB73" s="1">
        <v>0</v>
      </c>
      <c r="AC73" s="1">
        <v>0</v>
      </c>
      <c r="AD73" s="1">
        <v>0</v>
      </c>
      <c r="AE73" s="1">
        <v>0</v>
      </c>
      <c r="AF73" s="1">
        <v>0</v>
      </c>
      <c r="AG73" s="1">
        <v>0</v>
      </c>
      <c r="AH73" s="12" t="s">
        <v>790</v>
      </c>
      <c r="AI73" s="1">
        <v>0</v>
      </c>
      <c r="AJ73" s="12">
        <v>0</v>
      </c>
    </row>
    <row r="74" spans="1:36">
      <c r="A74" s="1" t="s">
        <v>142</v>
      </c>
      <c r="B74" s="1" t="s">
        <v>142</v>
      </c>
      <c r="C74" s="1" t="s">
        <v>142</v>
      </c>
      <c r="D74" s="1" t="s">
        <v>142</v>
      </c>
      <c r="E74" s="1">
        <v>15105</v>
      </c>
      <c r="F74" s="1" t="s">
        <v>440</v>
      </c>
      <c r="G74" s="1">
        <f t="shared" si="0"/>
        <v>615105</v>
      </c>
      <c r="H74" s="1" t="s">
        <v>440</v>
      </c>
      <c r="I74" s="1">
        <f t="shared" si="1"/>
        <v>915105</v>
      </c>
      <c r="J74" s="1" t="s">
        <v>440</v>
      </c>
      <c r="K74" s="8">
        <v>16</v>
      </c>
      <c r="L74" s="8">
        <v>4353</v>
      </c>
      <c r="M74" s="8">
        <v>8</v>
      </c>
      <c r="N74" s="8">
        <v>7</v>
      </c>
      <c r="O74" s="8">
        <v>0</v>
      </c>
      <c r="P74" s="1">
        <v>0</v>
      </c>
      <c r="Q74" s="1">
        <v>0</v>
      </c>
      <c r="R74" s="1">
        <v>0</v>
      </c>
      <c r="S74" s="1">
        <v>1</v>
      </c>
      <c r="T74" s="1">
        <v>3000</v>
      </c>
      <c r="U74" s="1">
        <v>0</v>
      </c>
      <c r="V74" s="1">
        <v>0</v>
      </c>
      <c r="W74" s="1">
        <v>0</v>
      </c>
      <c r="X74" s="1">
        <v>1</v>
      </c>
      <c r="Y74" s="1">
        <v>0</v>
      </c>
      <c r="Z74" s="1">
        <v>0</v>
      </c>
      <c r="AA74" s="1">
        <v>0</v>
      </c>
      <c r="AB74" s="1">
        <v>0</v>
      </c>
      <c r="AC74" s="1">
        <v>0</v>
      </c>
      <c r="AD74" s="1">
        <v>0</v>
      </c>
      <c r="AE74" s="1">
        <v>0</v>
      </c>
      <c r="AF74" s="1">
        <v>0</v>
      </c>
      <c r="AG74" s="1">
        <v>0</v>
      </c>
      <c r="AH74" s="12" t="s">
        <v>791</v>
      </c>
      <c r="AI74" s="1">
        <v>0</v>
      </c>
      <c r="AJ74" s="12">
        <v>0</v>
      </c>
    </row>
    <row r="75" spans="1:36">
      <c r="A75" s="1" t="s">
        <v>142</v>
      </c>
      <c r="B75" s="1" t="s">
        <v>142</v>
      </c>
      <c r="C75" s="1" t="s">
        <v>142</v>
      </c>
      <c r="D75" s="1" t="s">
        <v>142</v>
      </c>
      <c r="E75" s="1">
        <v>15106</v>
      </c>
      <c r="F75" s="1" t="s">
        <v>441</v>
      </c>
      <c r="G75" s="1">
        <f t="shared" si="0"/>
        <v>615106</v>
      </c>
      <c r="H75" s="1" t="s">
        <v>441</v>
      </c>
      <c r="I75" s="1">
        <f t="shared" si="1"/>
        <v>915106</v>
      </c>
      <c r="J75" s="1" t="s">
        <v>441</v>
      </c>
      <c r="K75" s="8">
        <v>16</v>
      </c>
      <c r="L75" s="8">
        <v>4353</v>
      </c>
      <c r="M75" s="8">
        <v>0</v>
      </c>
      <c r="N75" s="8">
        <v>7</v>
      </c>
      <c r="O75" s="8">
        <v>0</v>
      </c>
      <c r="P75" s="1">
        <v>0</v>
      </c>
      <c r="Q75" s="1">
        <v>0</v>
      </c>
      <c r="R75" s="1">
        <v>0</v>
      </c>
      <c r="S75" s="1">
        <v>1</v>
      </c>
      <c r="T75" s="1">
        <v>6000</v>
      </c>
      <c r="U75" s="1">
        <v>0</v>
      </c>
      <c r="V75" s="1">
        <v>0</v>
      </c>
      <c r="W75" s="1">
        <v>0</v>
      </c>
      <c r="X75" s="1">
        <v>1</v>
      </c>
      <c r="Y75" s="1">
        <v>0</v>
      </c>
      <c r="Z75" s="1">
        <v>0</v>
      </c>
      <c r="AA75" s="1">
        <v>0</v>
      </c>
      <c r="AB75" s="1">
        <v>5013</v>
      </c>
      <c r="AC75" s="1">
        <v>0</v>
      </c>
      <c r="AD75" s="1">
        <v>0</v>
      </c>
      <c r="AE75" s="1">
        <v>0</v>
      </c>
      <c r="AF75" s="1">
        <v>0</v>
      </c>
      <c r="AG75" s="1">
        <v>0</v>
      </c>
      <c r="AH75" s="12" t="s">
        <v>787</v>
      </c>
      <c r="AI75" s="1">
        <v>0</v>
      </c>
      <c r="AJ75" s="12">
        <v>0</v>
      </c>
    </row>
    <row r="76" spans="1:36">
      <c r="A76" s="1" t="s">
        <v>143</v>
      </c>
      <c r="B76" s="1" t="s">
        <v>143</v>
      </c>
      <c r="C76" s="1" t="s">
        <v>143</v>
      </c>
      <c r="D76" s="1" t="s">
        <v>143</v>
      </c>
      <c r="E76" s="1">
        <v>15107</v>
      </c>
      <c r="F76" s="1" t="s">
        <v>506</v>
      </c>
      <c r="G76" s="1">
        <f t="shared" si="0"/>
        <v>615107</v>
      </c>
      <c r="H76" s="1" t="s">
        <v>688</v>
      </c>
      <c r="I76" s="1">
        <f t="shared" si="1"/>
        <v>915107</v>
      </c>
      <c r="J76" s="1" t="s">
        <v>688</v>
      </c>
      <c r="K76" s="8">
        <v>48</v>
      </c>
      <c r="L76" s="8">
        <v>4353</v>
      </c>
      <c r="M76" s="8">
        <v>0</v>
      </c>
      <c r="N76" s="8">
        <v>7</v>
      </c>
      <c r="O76" s="8">
        <v>0</v>
      </c>
      <c r="P76" s="1">
        <v>0</v>
      </c>
      <c r="Q76" s="1">
        <v>0</v>
      </c>
      <c r="R76" s="1">
        <v>0</v>
      </c>
      <c r="S76" s="1">
        <v>1</v>
      </c>
      <c r="T76" s="1">
        <v>4000</v>
      </c>
      <c r="U76" s="1">
        <v>0</v>
      </c>
      <c r="V76" s="1">
        <v>0</v>
      </c>
      <c r="W76" s="1">
        <v>0</v>
      </c>
      <c r="X76" s="1">
        <v>1</v>
      </c>
      <c r="Y76" s="1">
        <v>0</v>
      </c>
      <c r="Z76" s="1">
        <v>0</v>
      </c>
      <c r="AA76" s="1">
        <v>0</v>
      </c>
      <c r="AB76" s="1">
        <v>0</v>
      </c>
      <c r="AC76" s="1">
        <v>0</v>
      </c>
      <c r="AD76" s="1">
        <v>0</v>
      </c>
      <c r="AE76" s="1">
        <v>0</v>
      </c>
      <c r="AF76" s="1">
        <v>0</v>
      </c>
      <c r="AG76" s="1">
        <v>0</v>
      </c>
      <c r="AH76" s="12" t="s">
        <v>792</v>
      </c>
      <c r="AI76" s="1">
        <v>0</v>
      </c>
      <c r="AJ76" s="12">
        <v>0</v>
      </c>
    </row>
    <row r="77" spans="1:36">
      <c r="G77" s="1" t="str">
        <f t="shared" si="0"/>
        <v/>
      </c>
      <c r="I77" s="1" t="str">
        <f t="shared" si="1"/>
        <v/>
      </c>
      <c r="O77" s="8">
        <v>0</v>
      </c>
      <c r="AH77" s="12" t="s">
        <v>639</v>
      </c>
    </row>
    <row r="78" spans="1:36">
      <c r="A78" s="1" t="s">
        <v>142</v>
      </c>
      <c r="B78" s="1" t="s">
        <v>142</v>
      </c>
      <c r="C78" s="1" t="s">
        <v>142</v>
      </c>
      <c r="D78" s="1" t="s">
        <v>142</v>
      </c>
      <c r="E78" s="1">
        <v>15211</v>
      </c>
      <c r="F78" s="1" t="s">
        <v>442</v>
      </c>
      <c r="G78" s="1">
        <f t="shared" si="0"/>
        <v>615211</v>
      </c>
      <c r="H78" s="1" t="s">
        <v>442</v>
      </c>
      <c r="I78" s="1">
        <f t="shared" si="1"/>
        <v>915211</v>
      </c>
      <c r="J78" s="1" t="s">
        <v>442</v>
      </c>
      <c r="K78" s="8">
        <v>40</v>
      </c>
      <c r="L78" s="8">
        <v>4373</v>
      </c>
      <c r="M78" s="8">
        <v>0</v>
      </c>
      <c r="N78" s="8">
        <v>263</v>
      </c>
      <c r="O78" s="8">
        <v>0</v>
      </c>
      <c r="P78" s="1">
        <v>0</v>
      </c>
      <c r="Q78" s="1">
        <v>0</v>
      </c>
      <c r="R78" s="1">
        <v>0</v>
      </c>
      <c r="S78" s="1">
        <v>1</v>
      </c>
      <c r="T78" s="1">
        <v>10000</v>
      </c>
      <c r="U78" s="1">
        <v>15212</v>
      </c>
      <c r="V78" s="1">
        <v>0</v>
      </c>
      <c r="W78" s="1">
        <v>0</v>
      </c>
      <c r="X78" s="1">
        <v>1</v>
      </c>
      <c r="Y78" s="1">
        <v>0</v>
      </c>
      <c r="Z78" s="1">
        <v>0</v>
      </c>
      <c r="AA78" s="1">
        <v>0</v>
      </c>
      <c r="AB78" s="1">
        <v>0</v>
      </c>
      <c r="AC78" s="1">
        <v>0</v>
      </c>
      <c r="AD78" s="1">
        <v>0</v>
      </c>
      <c r="AE78" s="1">
        <v>0</v>
      </c>
      <c r="AF78" s="1">
        <v>0</v>
      </c>
      <c r="AG78" s="1">
        <v>0</v>
      </c>
      <c r="AH78" s="12">
        <v>0</v>
      </c>
      <c r="AI78" s="1">
        <v>0</v>
      </c>
      <c r="AJ78" s="12">
        <v>0</v>
      </c>
    </row>
    <row r="79" spans="1:36">
      <c r="A79" s="1" t="s">
        <v>142</v>
      </c>
      <c r="B79" s="1" t="s">
        <v>142</v>
      </c>
      <c r="C79" s="1" t="s">
        <v>142</v>
      </c>
      <c r="D79" s="1" t="s">
        <v>142</v>
      </c>
      <c r="E79" s="1">
        <v>15202</v>
      </c>
      <c r="F79" s="1" t="s">
        <v>480</v>
      </c>
      <c r="G79" s="1">
        <f t="shared" si="0"/>
        <v>615202</v>
      </c>
      <c r="H79" s="1" t="s">
        <v>480</v>
      </c>
      <c r="I79" s="1">
        <f t="shared" si="1"/>
        <v>915202</v>
      </c>
      <c r="J79" s="1" t="s">
        <v>480</v>
      </c>
      <c r="K79" s="8">
        <v>40</v>
      </c>
      <c r="L79" s="8">
        <v>4353</v>
      </c>
      <c r="M79" s="8">
        <v>0</v>
      </c>
      <c r="N79" s="8">
        <v>263</v>
      </c>
      <c r="O79" s="8">
        <v>0</v>
      </c>
      <c r="P79" s="1">
        <v>0</v>
      </c>
      <c r="Q79" s="1">
        <v>0</v>
      </c>
      <c r="R79" s="1">
        <v>0</v>
      </c>
      <c r="S79" s="1">
        <v>1</v>
      </c>
      <c r="T79" s="1">
        <v>3000</v>
      </c>
      <c r="U79" s="1">
        <v>15203</v>
      </c>
      <c r="V79" s="1">
        <v>0</v>
      </c>
      <c r="W79" s="1">
        <v>0</v>
      </c>
      <c r="X79" s="1">
        <v>1</v>
      </c>
      <c r="Y79" s="1">
        <v>0</v>
      </c>
      <c r="Z79" s="1">
        <v>0</v>
      </c>
      <c r="AA79" s="1">
        <v>0</v>
      </c>
      <c r="AB79" s="1">
        <v>0</v>
      </c>
      <c r="AC79" s="1">
        <v>0</v>
      </c>
      <c r="AD79" s="1">
        <v>0</v>
      </c>
      <c r="AE79" s="1">
        <v>0</v>
      </c>
      <c r="AF79" s="1">
        <v>0</v>
      </c>
      <c r="AG79" s="1">
        <v>0</v>
      </c>
      <c r="AH79" s="12">
        <v>0</v>
      </c>
      <c r="AI79" s="1">
        <v>0</v>
      </c>
      <c r="AJ79" s="12">
        <v>0</v>
      </c>
    </row>
    <row r="80" spans="1:36">
      <c r="A80" s="1" t="s">
        <v>142</v>
      </c>
      <c r="B80" s="1" t="s">
        <v>142</v>
      </c>
      <c r="C80" s="1" t="s">
        <v>142</v>
      </c>
      <c r="D80" s="1" t="s">
        <v>142</v>
      </c>
      <c r="E80" s="1">
        <v>15200</v>
      </c>
      <c r="F80" s="1" t="s">
        <v>481</v>
      </c>
      <c r="G80" s="1">
        <f t="shared" si="0"/>
        <v>615200</v>
      </c>
      <c r="H80" s="1" t="s">
        <v>481</v>
      </c>
      <c r="I80" s="1">
        <f t="shared" si="1"/>
        <v>915200</v>
      </c>
      <c r="J80" s="1" t="s">
        <v>481</v>
      </c>
      <c r="K80" s="8">
        <v>1</v>
      </c>
      <c r="L80" s="8">
        <v>20737</v>
      </c>
      <c r="M80" s="8">
        <v>0</v>
      </c>
      <c r="N80" s="8">
        <v>7</v>
      </c>
      <c r="O80" s="8">
        <v>0</v>
      </c>
      <c r="P80" s="1">
        <v>0</v>
      </c>
      <c r="Q80" s="1">
        <v>0</v>
      </c>
      <c r="R80" s="1">
        <v>0</v>
      </c>
      <c r="S80" s="1">
        <v>1</v>
      </c>
      <c r="T80" s="1">
        <v>2200</v>
      </c>
      <c r="U80" s="1">
        <v>0</v>
      </c>
      <c r="V80" s="1">
        <v>0</v>
      </c>
      <c r="W80" s="1">
        <v>0</v>
      </c>
      <c r="X80" s="1">
        <v>1</v>
      </c>
      <c r="Y80" s="1">
        <v>0</v>
      </c>
      <c r="Z80" s="1">
        <v>0</v>
      </c>
      <c r="AA80" s="1">
        <v>0</v>
      </c>
      <c r="AB80" s="1">
        <v>0</v>
      </c>
      <c r="AC80" s="1">
        <v>0</v>
      </c>
      <c r="AD80" s="1">
        <v>0</v>
      </c>
      <c r="AE80" s="1">
        <v>0</v>
      </c>
      <c r="AF80" s="1">
        <v>0</v>
      </c>
      <c r="AG80" s="1">
        <v>0</v>
      </c>
      <c r="AH80" s="12">
        <v>0</v>
      </c>
      <c r="AI80" s="1">
        <v>0</v>
      </c>
      <c r="AJ80" s="12">
        <v>0</v>
      </c>
    </row>
    <row r="81" spans="1:36">
      <c r="A81" s="1" t="s">
        <v>142</v>
      </c>
      <c r="B81" s="1" t="s">
        <v>142</v>
      </c>
      <c r="C81" s="1" t="s">
        <v>142</v>
      </c>
      <c r="D81" s="1" t="s">
        <v>142</v>
      </c>
      <c r="E81" s="1">
        <v>15201</v>
      </c>
      <c r="F81" s="1" t="s">
        <v>484</v>
      </c>
      <c r="G81" s="1">
        <f t="shared" si="0"/>
        <v>615201</v>
      </c>
      <c r="H81" s="1" t="s">
        <v>689</v>
      </c>
      <c r="I81" s="1">
        <f t="shared" si="1"/>
        <v>915201</v>
      </c>
      <c r="J81" s="1" t="s">
        <v>689</v>
      </c>
      <c r="K81" s="8">
        <v>8</v>
      </c>
      <c r="L81" s="8">
        <v>257</v>
      </c>
      <c r="M81" s="8">
        <v>0</v>
      </c>
      <c r="N81" s="8">
        <v>7</v>
      </c>
      <c r="O81" s="8">
        <v>0</v>
      </c>
      <c r="P81" s="1">
        <v>0</v>
      </c>
      <c r="Q81" s="1">
        <v>0</v>
      </c>
      <c r="R81" s="1">
        <v>0</v>
      </c>
      <c r="S81" s="1">
        <v>1</v>
      </c>
      <c r="T81" s="1">
        <v>200</v>
      </c>
      <c r="U81" s="1">
        <v>0</v>
      </c>
      <c r="V81" s="1">
        <v>0</v>
      </c>
      <c r="W81" s="1">
        <v>0</v>
      </c>
      <c r="X81" s="1">
        <v>1</v>
      </c>
      <c r="Y81" s="1">
        <v>0</v>
      </c>
      <c r="Z81" s="1">
        <v>0</v>
      </c>
      <c r="AA81" s="1">
        <v>0</v>
      </c>
      <c r="AB81" s="1">
        <v>0</v>
      </c>
      <c r="AC81" s="1">
        <v>0</v>
      </c>
      <c r="AD81" s="1">
        <v>0</v>
      </c>
      <c r="AE81" s="1">
        <v>0</v>
      </c>
      <c r="AF81" s="1">
        <v>0</v>
      </c>
      <c r="AG81" s="1">
        <v>0</v>
      </c>
      <c r="AH81" s="12">
        <v>0</v>
      </c>
      <c r="AI81" s="1">
        <v>0</v>
      </c>
      <c r="AJ81" s="12">
        <v>0</v>
      </c>
    </row>
    <row r="82" spans="1:36">
      <c r="G82" s="1" t="str">
        <f t="shared" si="0"/>
        <v/>
      </c>
      <c r="I82" s="1" t="str">
        <f t="shared" si="1"/>
        <v/>
      </c>
      <c r="AH82" s="12" t="s">
        <v>639</v>
      </c>
    </row>
    <row r="83" spans="1:36">
      <c r="G83" s="1" t="str">
        <f t="shared" si="0"/>
        <v/>
      </c>
      <c r="I83" s="1" t="str">
        <f t="shared" si="1"/>
        <v/>
      </c>
      <c r="AH83" s="12" t="s">
        <v>639</v>
      </c>
    </row>
    <row r="84" spans="1:36">
      <c r="G84" s="1" t="str">
        <f t="shared" si="0"/>
        <v/>
      </c>
      <c r="I84" s="1" t="str">
        <f t="shared" si="1"/>
        <v/>
      </c>
      <c r="AH84" s="12" t="s">
        <v>639</v>
      </c>
    </row>
    <row r="85" spans="1:36">
      <c r="A85" s="1" t="s">
        <v>142</v>
      </c>
      <c r="B85" s="1" t="s">
        <v>142</v>
      </c>
      <c r="C85" s="1" t="s">
        <v>142</v>
      </c>
      <c r="D85" s="1" t="s">
        <v>142</v>
      </c>
      <c r="E85" s="1">
        <v>15315</v>
      </c>
      <c r="F85" s="1" t="s">
        <v>444</v>
      </c>
      <c r="G85" s="1">
        <f t="shared" si="0"/>
        <v>615315</v>
      </c>
      <c r="H85" s="1" t="s">
        <v>690</v>
      </c>
      <c r="I85" s="1">
        <f t="shared" si="1"/>
        <v>915315</v>
      </c>
      <c r="J85" s="1" t="s">
        <v>690</v>
      </c>
      <c r="K85" s="8">
        <v>8</v>
      </c>
      <c r="L85" s="8">
        <v>4353</v>
      </c>
      <c r="M85" s="8">
        <v>0</v>
      </c>
      <c r="N85" s="8">
        <v>263</v>
      </c>
      <c r="O85" s="8">
        <v>0</v>
      </c>
      <c r="P85" s="1">
        <v>0</v>
      </c>
      <c r="Q85" s="1">
        <v>0</v>
      </c>
      <c r="R85" s="1">
        <v>0</v>
      </c>
      <c r="S85" s="1">
        <v>3</v>
      </c>
      <c r="T85" s="1">
        <v>60000</v>
      </c>
      <c r="U85" s="1">
        <v>15316</v>
      </c>
      <c r="V85" s="1">
        <v>0</v>
      </c>
      <c r="W85" s="1">
        <v>0</v>
      </c>
      <c r="X85" s="1">
        <v>1</v>
      </c>
      <c r="Y85" s="1">
        <v>0</v>
      </c>
      <c r="Z85" s="1">
        <v>0</v>
      </c>
      <c r="AA85" s="1">
        <v>0</v>
      </c>
      <c r="AB85" s="1">
        <v>5012</v>
      </c>
      <c r="AC85" s="1">
        <v>0</v>
      </c>
      <c r="AD85" s="1">
        <v>0</v>
      </c>
      <c r="AE85" s="1">
        <v>0</v>
      </c>
      <c r="AF85" s="1">
        <v>0</v>
      </c>
      <c r="AG85" s="1">
        <v>0</v>
      </c>
      <c r="AH85" s="12">
        <v>0</v>
      </c>
      <c r="AI85" s="1">
        <v>0</v>
      </c>
      <c r="AJ85" s="12">
        <v>0</v>
      </c>
    </row>
    <row r="86" spans="1:36">
      <c r="A86" s="1" t="s">
        <v>142</v>
      </c>
      <c r="B86" s="1" t="s">
        <v>142</v>
      </c>
      <c r="C86" s="1" t="s">
        <v>142</v>
      </c>
      <c r="D86" s="1" t="s">
        <v>142</v>
      </c>
      <c r="E86" s="1">
        <v>15316</v>
      </c>
      <c r="F86" s="1" t="s">
        <v>462</v>
      </c>
      <c r="G86" s="1">
        <f t="shared" si="0"/>
        <v>615316</v>
      </c>
      <c r="H86" s="1" t="s">
        <v>691</v>
      </c>
      <c r="I86" s="1">
        <f t="shared" si="1"/>
        <v>915316</v>
      </c>
      <c r="J86" s="1" t="s">
        <v>691</v>
      </c>
      <c r="K86" s="8">
        <v>8</v>
      </c>
      <c r="L86" s="8">
        <v>4353</v>
      </c>
      <c r="M86" s="8">
        <v>0</v>
      </c>
      <c r="N86" s="8">
        <v>263</v>
      </c>
      <c r="O86" s="8">
        <v>0</v>
      </c>
      <c r="P86" s="1">
        <v>0</v>
      </c>
      <c r="Q86" s="1">
        <v>0</v>
      </c>
      <c r="R86" s="1">
        <v>0</v>
      </c>
      <c r="S86" s="1">
        <v>1</v>
      </c>
      <c r="T86" s="1">
        <v>5000</v>
      </c>
      <c r="U86" s="1">
        <v>15317</v>
      </c>
      <c r="V86" s="1">
        <v>0</v>
      </c>
      <c r="W86" s="1">
        <v>0</v>
      </c>
      <c r="X86" s="1">
        <v>1</v>
      </c>
      <c r="Y86" s="1">
        <v>0</v>
      </c>
      <c r="Z86" s="1">
        <v>0</v>
      </c>
      <c r="AA86" s="1">
        <v>0</v>
      </c>
      <c r="AB86" s="1">
        <v>0</v>
      </c>
      <c r="AC86" s="1">
        <v>0</v>
      </c>
      <c r="AD86" s="1">
        <v>0</v>
      </c>
      <c r="AE86" s="1">
        <v>0</v>
      </c>
      <c r="AF86" s="1">
        <v>0</v>
      </c>
      <c r="AG86" s="1">
        <v>0</v>
      </c>
      <c r="AH86" s="12" t="s">
        <v>793</v>
      </c>
      <c r="AI86" s="1">
        <v>0</v>
      </c>
      <c r="AJ86" s="12">
        <v>0</v>
      </c>
    </row>
    <row r="87" spans="1:36">
      <c r="A87" s="1" t="s">
        <v>143</v>
      </c>
      <c r="B87" s="1" t="s">
        <v>143</v>
      </c>
      <c r="C87" s="1" t="s">
        <v>143</v>
      </c>
      <c r="D87" s="1" t="s">
        <v>143</v>
      </c>
      <c r="E87" s="1">
        <v>15317</v>
      </c>
      <c r="F87" s="1" t="s">
        <v>508</v>
      </c>
      <c r="G87" s="1">
        <f t="shared" si="0"/>
        <v>615317</v>
      </c>
      <c r="H87" s="1" t="s">
        <v>692</v>
      </c>
      <c r="I87" s="1">
        <f t="shared" si="1"/>
        <v>915317</v>
      </c>
      <c r="J87" s="1" t="s">
        <v>692</v>
      </c>
      <c r="K87" s="8">
        <v>40</v>
      </c>
      <c r="L87" s="8">
        <v>4353</v>
      </c>
      <c r="M87" s="8">
        <v>0</v>
      </c>
      <c r="N87" s="8">
        <v>263</v>
      </c>
      <c r="O87" s="8">
        <v>0</v>
      </c>
      <c r="P87" s="1">
        <v>0</v>
      </c>
      <c r="Q87" s="1">
        <v>0</v>
      </c>
      <c r="R87" s="1">
        <v>0</v>
      </c>
      <c r="S87" s="1">
        <v>1</v>
      </c>
      <c r="T87" s="1">
        <v>4000</v>
      </c>
      <c r="U87" s="1">
        <v>0</v>
      </c>
      <c r="V87" s="1">
        <v>0</v>
      </c>
      <c r="W87" s="1">
        <v>0</v>
      </c>
      <c r="X87" s="1">
        <v>1</v>
      </c>
      <c r="Y87" s="1">
        <v>0</v>
      </c>
      <c r="Z87" s="1">
        <v>0</v>
      </c>
      <c r="AA87" s="1">
        <v>0</v>
      </c>
      <c r="AB87" s="1">
        <v>0</v>
      </c>
      <c r="AC87" s="1">
        <v>0</v>
      </c>
      <c r="AD87" s="1">
        <v>0</v>
      </c>
      <c r="AE87" s="1">
        <v>0</v>
      </c>
      <c r="AF87" s="1">
        <v>0</v>
      </c>
      <c r="AG87" s="1">
        <v>0</v>
      </c>
      <c r="AH87" s="12" t="s">
        <v>789</v>
      </c>
      <c r="AI87" s="1">
        <v>0</v>
      </c>
      <c r="AJ87" s="12">
        <v>0</v>
      </c>
    </row>
    <row r="88" spans="1:36">
      <c r="G88" s="1" t="str">
        <f t="shared" si="0"/>
        <v/>
      </c>
      <c r="I88" s="1" t="str">
        <f t="shared" si="1"/>
        <v/>
      </c>
      <c r="AH88" s="12" t="s">
        <v>639</v>
      </c>
    </row>
    <row r="89" spans="1:36">
      <c r="A89" s="1" t="s">
        <v>143</v>
      </c>
      <c r="B89" s="1" t="s">
        <v>143</v>
      </c>
      <c r="C89" s="1" t="s">
        <v>143</v>
      </c>
      <c r="D89" s="1" t="s">
        <v>143</v>
      </c>
      <c r="E89" s="1">
        <v>15600</v>
      </c>
      <c r="F89" s="1" t="s">
        <v>570</v>
      </c>
      <c r="G89" s="1">
        <f t="shared" si="0"/>
        <v>615600</v>
      </c>
      <c r="H89" s="1" t="s">
        <v>693</v>
      </c>
      <c r="I89" s="1">
        <f t="shared" si="1"/>
        <v>915600</v>
      </c>
      <c r="J89" s="1" t="s">
        <v>693</v>
      </c>
      <c r="K89" s="8">
        <v>8</v>
      </c>
      <c r="L89" s="8">
        <v>4353</v>
      </c>
      <c r="M89" s="8">
        <v>0</v>
      </c>
      <c r="N89" s="8">
        <v>263</v>
      </c>
      <c r="O89" s="8">
        <v>16</v>
      </c>
      <c r="P89" s="1">
        <v>0</v>
      </c>
      <c r="Q89" s="1">
        <v>0</v>
      </c>
      <c r="R89" s="1">
        <v>0</v>
      </c>
      <c r="S89" s="1">
        <v>1</v>
      </c>
      <c r="T89" s="1">
        <v>60000</v>
      </c>
      <c r="U89" s="1">
        <v>0</v>
      </c>
      <c r="V89" s="1">
        <v>0</v>
      </c>
      <c r="W89" s="1">
        <v>0</v>
      </c>
      <c r="X89" s="1">
        <v>1</v>
      </c>
      <c r="Y89" s="1">
        <v>0</v>
      </c>
      <c r="Z89" s="1">
        <v>0</v>
      </c>
      <c r="AA89" s="1">
        <v>0</v>
      </c>
      <c r="AB89" s="1">
        <v>0</v>
      </c>
      <c r="AC89" s="1">
        <v>0</v>
      </c>
      <c r="AD89" s="1">
        <v>0</v>
      </c>
      <c r="AE89" s="1">
        <v>0</v>
      </c>
      <c r="AF89" s="1">
        <v>0</v>
      </c>
      <c r="AG89" s="1">
        <v>0</v>
      </c>
      <c r="AH89" s="12">
        <v>0</v>
      </c>
    </row>
    <row r="90" spans="1:36">
      <c r="A90" s="1" t="s">
        <v>143</v>
      </c>
      <c r="B90" s="1" t="s">
        <v>143</v>
      </c>
      <c r="C90" s="1" t="s">
        <v>143</v>
      </c>
      <c r="D90" s="1" t="s">
        <v>143</v>
      </c>
      <c r="E90" s="1">
        <v>15621</v>
      </c>
      <c r="F90" s="1" t="s">
        <v>571</v>
      </c>
      <c r="G90" s="12">
        <f t="shared" si="0"/>
        <v>615621</v>
      </c>
      <c r="H90" s="1" t="s">
        <v>694</v>
      </c>
      <c r="I90" s="1">
        <f t="shared" si="1"/>
        <v>915621</v>
      </c>
      <c r="J90" s="1" t="s">
        <v>694</v>
      </c>
      <c r="K90" s="8">
        <v>16</v>
      </c>
      <c r="L90" s="8">
        <v>4369</v>
      </c>
      <c r="M90" s="8">
        <v>0</v>
      </c>
      <c r="N90" s="8">
        <v>7</v>
      </c>
      <c r="O90" s="8">
        <v>0</v>
      </c>
      <c r="P90" s="1">
        <v>0</v>
      </c>
      <c r="Q90" s="1">
        <v>0</v>
      </c>
      <c r="R90" s="1">
        <v>0</v>
      </c>
      <c r="S90" s="1">
        <v>5</v>
      </c>
      <c r="T90" s="1">
        <v>5000</v>
      </c>
      <c r="U90" s="1">
        <v>0</v>
      </c>
      <c r="V90" s="1">
        <v>0</v>
      </c>
      <c r="W90" s="1">
        <v>0</v>
      </c>
      <c r="X90" s="1">
        <v>1</v>
      </c>
      <c r="Y90" s="1">
        <v>0</v>
      </c>
      <c r="Z90" s="1">
        <v>0</v>
      </c>
      <c r="AA90" s="1">
        <v>0</v>
      </c>
      <c r="AB90" s="1">
        <v>5007</v>
      </c>
      <c r="AC90" s="1">
        <v>0</v>
      </c>
      <c r="AD90" s="1">
        <v>0</v>
      </c>
      <c r="AE90" s="1">
        <v>0</v>
      </c>
      <c r="AF90" s="1">
        <v>0</v>
      </c>
      <c r="AG90" s="1">
        <v>0</v>
      </c>
      <c r="AH90" s="12">
        <v>0</v>
      </c>
    </row>
    <row r="91" spans="1:36">
      <c r="B91" s="12"/>
      <c r="C91" s="12"/>
      <c r="D91" s="12"/>
      <c r="G91" s="12"/>
      <c r="I91" s="1" t="str">
        <f t="shared" si="1"/>
        <v/>
      </c>
      <c r="AH91" s="12" t="s">
        <v>639</v>
      </c>
    </row>
    <row r="92" spans="1:36" s="12" customFormat="1">
      <c r="E92" s="12">
        <v>26701</v>
      </c>
      <c r="F92" s="12" t="s">
        <v>959</v>
      </c>
      <c r="K92" s="13">
        <v>8</v>
      </c>
      <c r="L92" s="13">
        <v>4353</v>
      </c>
      <c r="M92" s="13">
        <v>0</v>
      </c>
      <c r="N92" s="13">
        <v>263</v>
      </c>
      <c r="O92" s="13">
        <v>0</v>
      </c>
      <c r="P92" s="12">
        <v>0</v>
      </c>
      <c r="Q92" s="12">
        <v>0</v>
      </c>
      <c r="R92" s="12">
        <v>0</v>
      </c>
      <c r="S92" s="12">
        <v>1</v>
      </c>
      <c r="T92" s="12">
        <v>60000</v>
      </c>
      <c r="U92" s="12">
        <v>0</v>
      </c>
      <c r="V92" s="12">
        <v>0</v>
      </c>
      <c r="W92" s="12">
        <v>0</v>
      </c>
      <c r="X92" s="12">
        <v>1</v>
      </c>
      <c r="Y92" s="12">
        <v>0</v>
      </c>
      <c r="Z92" s="12">
        <v>0</v>
      </c>
      <c r="AA92" s="12">
        <v>0</v>
      </c>
      <c r="AB92" s="12">
        <v>0</v>
      </c>
      <c r="AC92" s="12">
        <v>0</v>
      </c>
      <c r="AD92" s="12">
        <v>0</v>
      </c>
      <c r="AE92" s="12">
        <v>0</v>
      </c>
      <c r="AF92" s="12">
        <v>0</v>
      </c>
      <c r="AG92" s="12">
        <v>0</v>
      </c>
      <c r="AH92" s="12">
        <v>0</v>
      </c>
      <c r="AI92" s="12">
        <v>0</v>
      </c>
    </row>
    <row r="93" spans="1:36" s="12" customFormat="1">
      <c r="E93" s="12">
        <v>26704</v>
      </c>
      <c r="F93" s="12" t="s">
        <v>963</v>
      </c>
      <c r="K93" s="13">
        <v>16</v>
      </c>
      <c r="L93" s="13">
        <v>257</v>
      </c>
      <c r="M93" s="13">
        <v>256</v>
      </c>
      <c r="N93" s="13">
        <v>7</v>
      </c>
      <c r="O93" s="13">
        <v>0</v>
      </c>
      <c r="P93" s="12">
        <v>0</v>
      </c>
      <c r="Q93" s="12">
        <v>0</v>
      </c>
      <c r="R93" s="12">
        <v>0</v>
      </c>
      <c r="S93" s="12">
        <v>1</v>
      </c>
      <c r="T93" s="12">
        <v>5000</v>
      </c>
      <c r="U93" s="12">
        <v>0</v>
      </c>
      <c r="V93" s="12">
        <v>0</v>
      </c>
      <c r="W93" s="12">
        <v>0</v>
      </c>
      <c r="X93" s="12">
        <v>3</v>
      </c>
      <c r="Y93" s="12">
        <v>0</v>
      </c>
      <c r="Z93" s="12">
        <v>0</v>
      </c>
      <c r="AA93" s="12">
        <v>0</v>
      </c>
      <c r="AB93" s="12">
        <v>5002</v>
      </c>
      <c r="AC93" s="12">
        <v>0</v>
      </c>
      <c r="AD93" s="12">
        <v>0</v>
      </c>
      <c r="AE93" s="12">
        <v>0</v>
      </c>
      <c r="AF93" s="12">
        <v>0</v>
      </c>
      <c r="AG93" s="12">
        <v>0</v>
      </c>
      <c r="AH93" s="12" t="s">
        <v>988</v>
      </c>
      <c r="AI93" s="12">
        <v>0</v>
      </c>
    </row>
    <row r="94" spans="1:36" s="12" customFormat="1">
      <c r="E94" s="12">
        <v>26707</v>
      </c>
      <c r="F94" s="12" t="s">
        <v>966</v>
      </c>
      <c r="K94" s="13">
        <v>40</v>
      </c>
      <c r="L94" s="13">
        <v>4353</v>
      </c>
      <c r="M94" s="13">
        <v>0</v>
      </c>
      <c r="N94" s="13">
        <v>263</v>
      </c>
      <c r="O94" s="13">
        <v>0</v>
      </c>
      <c r="P94" s="12">
        <v>0</v>
      </c>
      <c r="Q94" s="12">
        <v>0</v>
      </c>
      <c r="R94" s="12">
        <v>0</v>
      </c>
      <c r="S94" s="12">
        <v>1</v>
      </c>
      <c r="T94" s="12">
        <v>5000</v>
      </c>
      <c r="U94" s="12">
        <v>0</v>
      </c>
      <c r="V94" s="12">
        <v>0</v>
      </c>
      <c r="W94" s="12">
        <v>0</v>
      </c>
      <c r="X94" s="12">
        <v>1</v>
      </c>
      <c r="Y94" s="12">
        <v>0</v>
      </c>
      <c r="Z94" s="12">
        <v>0</v>
      </c>
      <c r="AA94" s="12">
        <v>0</v>
      </c>
      <c r="AB94" s="12">
        <v>0</v>
      </c>
      <c r="AC94" s="12">
        <v>0</v>
      </c>
      <c r="AD94" s="12">
        <v>0</v>
      </c>
      <c r="AE94" s="12">
        <v>0</v>
      </c>
      <c r="AF94" s="12">
        <v>0</v>
      </c>
      <c r="AG94" s="12">
        <v>0</v>
      </c>
      <c r="AH94" s="12" t="s">
        <v>988</v>
      </c>
      <c r="AI94" s="12">
        <v>0</v>
      </c>
    </row>
    <row r="95" spans="1:36" s="12" customFormat="1">
      <c r="K95" s="13"/>
      <c r="L95" s="13"/>
      <c r="M95" s="13"/>
      <c r="N95" s="13"/>
      <c r="O95" s="13"/>
    </row>
    <row r="96" spans="1:36" s="12" customFormat="1">
      <c r="E96" s="12">
        <v>26801</v>
      </c>
      <c r="F96" s="12" t="s">
        <v>969</v>
      </c>
      <c r="G96" s="12">
        <v>626801</v>
      </c>
      <c r="H96" s="12" t="s">
        <v>969</v>
      </c>
      <c r="I96" s="12">
        <v>926801</v>
      </c>
      <c r="J96" s="12" t="s">
        <v>969</v>
      </c>
      <c r="K96" s="13">
        <v>8</v>
      </c>
      <c r="L96" s="13">
        <v>160</v>
      </c>
      <c r="M96" s="13">
        <v>0</v>
      </c>
      <c r="N96" s="13">
        <v>263</v>
      </c>
      <c r="O96" s="13">
        <v>0</v>
      </c>
      <c r="P96" s="12">
        <v>0</v>
      </c>
      <c r="Q96" s="12">
        <v>0</v>
      </c>
      <c r="R96" s="12">
        <v>0</v>
      </c>
      <c r="S96" s="12">
        <v>1</v>
      </c>
      <c r="T96" s="12">
        <v>5000</v>
      </c>
      <c r="U96" s="12">
        <v>0</v>
      </c>
      <c r="V96" s="12">
        <v>0</v>
      </c>
      <c r="W96" s="12">
        <v>0</v>
      </c>
      <c r="X96" s="12">
        <v>1</v>
      </c>
    </row>
    <row r="97" spans="1:36" s="12" customFormat="1">
      <c r="E97" s="12">
        <v>26804</v>
      </c>
      <c r="F97" s="12" t="s">
        <v>973</v>
      </c>
      <c r="G97" s="12">
        <v>626804</v>
      </c>
      <c r="H97" s="12" t="s">
        <v>973</v>
      </c>
      <c r="I97" s="12">
        <v>926804</v>
      </c>
      <c r="J97" s="12" t="s">
        <v>973</v>
      </c>
      <c r="K97" s="13">
        <v>8</v>
      </c>
      <c r="L97" s="13">
        <v>16</v>
      </c>
      <c r="M97" s="13">
        <v>512</v>
      </c>
      <c r="N97" s="13">
        <v>263</v>
      </c>
      <c r="O97" s="13">
        <v>0</v>
      </c>
      <c r="P97" s="12">
        <v>0</v>
      </c>
      <c r="Q97" s="12">
        <v>0</v>
      </c>
      <c r="R97" s="12">
        <v>0</v>
      </c>
      <c r="S97" s="12">
        <v>1</v>
      </c>
      <c r="T97" s="12">
        <v>5000</v>
      </c>
      <c r="U97" s="12">
        <v>0</v>
      </c>
      <c r="V97" s="12">
        <v>0</v>
      </c>
      <c r="W97" s="12">
        <v>0</v>
      </c>
      <c r="X97" s="12">
        <v>1</v>
      </c>
    </row>
    <row r="98" spans="1:36" s="12" customFormat="1">
      <c r="E98" s="12">
        <v>26806</v>
      </c>
      <c r="F98" s="12" t="s">
        <v>974</v>
      </c>
      <c r="G98" s="12">
        <v>626806</v>
      </c>
      <c r="H98" s="12" t="s">
        <v>974</v>
      </c>
      <c r="I98" s="12">
        <v>926806</v>
      </c>
      <c r="J98" s="12" t="s">
        <v>974</v>
      </c>
      <c r="K98" s="13">
        <v>40</v>
      </c>
      <c r="L98" s="13">
        <v>0</v>
      </c>
      <c r="M98" s="13">
        <v>0</v>
      </c>
      <c r="N98" s="13">
        <v>7</v>
      </c>
      <c r="O98" s="13">
        <v>0</v>
      </c>
      <c r="P98" s="12">
        <v>0</v>
      </c>
      <c r="Q98" s="12">
        <v>0</v>
      </c>
      <c r="R98" s="12">
        <v>0</v>
      </c>
      <c r="S98" s="12">
        <v>1</v>
      </c>
      <c r="T98" s="12">
        <v>5000</v>
      </c>
      <c r="U98" s="12">
        <v>0</v>
      </c>
      <c r="V98" s="12">
        <v>0</v>
      </c>
      <c r="W98" s="12">
        <v>0</v>
      </c>
      <c r="X98" s="12">
        <v>1</v>
      </c>
    </row>
    <row r="99" spans="1:36" s="12" customFormat="1">
      <c r="E99" s="12">
        <v>26807</v>
      </c>
      <c r="F99" s="12" t="s">
        <v>975</v>
      </c>
      <c r="G99" s="12">
        <v>626807</v>
      </c>
      <c r="H99" s="12" t="s">
        <v>975</v>
      </c>
      <c r="I99" s="12">
        <v>926807</v>
      </c>
      <c r="J99" s="12" t="s">
        <v>975</v>
      </c>
      <c r="K99" s="13">
        <v>40</v>
      </c>
      <c r="L99" s="13">
        <v>4373</v>
      </c>
      <c r="M99" s="13">
        <v>0</v>
      </c>
      <c r="N99" s="13">
        <v>263</v>
      </c>
      <c r="O99" s="13">
        <v>0</v>
      </c>
      <c r="P99" s="12">
        <v>0</v>
      </c>
      <c r="Q99" s="12">
        <v>0</v>
      </c>
      <c r="R99" s="12">
        <v>0</v>
      </c>
      <c r="S99" s="12">
        <v>5</v>
      </c>
      <c r="T99" s="12">
        <v>5000</v>
      </c>
      <c r="U99" s="12">
        <v>0</v>
      </c>
      <c r="V99" s="12">
        <v>0</v>
      </c>
      <c r="W99" s="12">
        <v>0</v>
      </c>
      <c r="X99" s="12">
        <v>1</v>
      </c>
      <c r="Y99" s="12">
        <v>0</v>
      </c>
      <c r="Z99" s="12">
        <v>0</v>
      </c>
      <c r="AA99" s="12">
        <v>0</v>
      </c>
      <c r="AB99" s="12">
        <v>5008</v>
      </c>
      <c r="AC99" s="12">
        <v>0</v>
      </c>
      <c r="AD99" s="12">
        <v>0</v>
      </c>
      <c r="AE99" s="12">
        <v>0</v>
      </c>
      <c r="AF99" s="12">
        <v>0</v>
      </c>
      <c r="AG99" s="12">
        <v>0</v>
      </c>
      <c r="AH99" s="12" t="s">
        <v>989</v>
      </c>
      <c r="AI99" s="12">
        <v>0</v>
      </c>
    </row>
    <row r="100" spans="1:36" s="12" customFormat="1">
      <c r="E100" s="12">
        <v>26808</v>
      </c>
      <c r="F100" s="12" t="s">
        <v>976</v>
      </c>
      <c r="G100" s="12">
        <v>626808</v>
      </c>
      <c r="H100" s="12" t="s">
        <v>976</v>
      </c>
      <c r="I100" s="12">
        <v>926808</v>
      </c>
      <c r="J100" s="12" t="s">
        <v>976</v>
      </c>
      <c r="K100" s="13">
        <v>8</v>
      </c>
      <c r="L100" s="13">
        <v>4353</v>
      </c>
      <c r="M100" s="13">
        <v>0</v>
      </c>
      <c r="N100" s="13">
        <v>263</v>
      </c>
      <c r="O100" s="13">
        <v>0</v>
      </c>
      <c r="P100" s="12">
        <v>0</v>
      </c>
      <c r="Q100" s="12">
        <v>0</v>
      </c>
      <c r="R100" s="12">
        <v>0</v>
      </c>
      <c r="S100" s="12">
        <v>1</v>
      </c>
      <c r="T100" s="12">
        <v>15000</v>
      </c>
      <c r="U100" s="12">
        <v>5210</v>
      </c>
      <c r="V100" s="12">
        <v>0</v>
      </c>
      <c r="W100" s="12">
        <v>0</v>
      </c>
      <c r="X100" s="12">
        <v>1</v>
      </c>
      <c r="Y100" s="12">
        <v>0</v>
      </c>
      <c r="Z100" s="12">
        <v>0</v>
      </c>
      <c r="AA100" s="12">
        <v>0</v>
      </c>
      <c r="AB100" s="12">
        <v>5011</v>
      </c>
      <c r="AC100" s="12">
        <v>0</v>
      </c>
      <c r="AD100" s="12">
        <v>0</v>
      </c>
      <c r="AE100" s="12">
        <v>0</v>
      </c>
      <c r="AF100" s="12">
        <v>0</v>
      </c>
      <c r="AG100" s="12">
        <v>0</v>
      </c>
      <c r="AH100" s="12" t="s">
        <v>990</v>
      </c>
      <c r="AI100" s="12">
        <v>0</v>
      </c>
    </row>
    <row r="101" spans="1:36" s="12" customFormat="1">
      <c r="E101" s="12">
        <v>26809</v>
      </c>
      <c r="F101" s="12" t="s">
        <v>977</v>
      </c>
      <c r="G101" s="12">
        <v>626809</v>
      </c>
      <c r="H101" s="12" t="s">
        <v>977</v>
      </c>
      <c r="I101" s="12">
        <v>926809</v>
      </c>
      <c r="J101" s="12" t="s">
        <v>977</v>
      </c>
      <c r="K101" s="13">
        <v>48</v>
      </c>
      <c r="L101" s="13">
        <v>4353</v>
      </c>
      <c r="M101" s="13">
        <v>0</v>
      </c>
      <c r="N101" s="13">
        <v>7</v>
      </c>
      <c r="O101" s="13">
        <v>0</v>
      </c>
      <c r="P101" s="12">
        <v>0</v>
      </c>
      <c r="Q101" s="12">
        <v>0</v>
      </c>
      <c r="R101" s="12">
        <v>0</v>
      </c>
      <c r="S101" s="12">
        <v>1</v>
      </c>
      <c r="T101" s="12">
        <v>4000</v>
      </c>
      <c r="U101" s="12">
        <v>0</v>
      </c>
      <c r="V101" s="12">
        <v>0</v>
      </c>
      <c r="W101" s="12">
        <v>0</v>
      </c>
      <c r="X101" s="12">
        <v>1</v>
      </c>
      <c r="Y101" s="12">
        <v>0</v>
      </c>
      <c r="Z101" s="12">
        <v>0</v>
      </c>
      <c r="AA101" s="12">
        <v>0</v>
      </c>
      <c r="AB101" s="12">
        <v>0</v>
      </c>
      <c r="AC101" s="12">
        <v>0</v>
      </c>
      <c r="AD101" s="12">
        <v>0</v>
      </c>
      <c r="AE101" s="12">
        <v>0</v>
      </c>
      <c r="AF101" s="12">
        <v>0</v>
      </c>
      <c r="AG101" s="12">
        <v>0</v>
      </c>
      <c r="AH101" s="12" t="s">
        <v>991</v>
      </c>
      <c r="AI101" s="12">
        <v>0</v>
      </c>
    </row>
    <row r="102" spans="1:36">
      <c r="G102" s="12"/>
      <c r="I102" s="1" t="str">
        <f t="shared" si="1"/>
        <v/>
      </c>
      <c r="AH102" s="12" t="s">
        <v>639</v>
      </c>
    </row>
    <row r="103" spans="1:36" s="12" customFormat="1">
      <c r="A103" s="12" t="s">
        <v>143</v>
      </c>
      <c r="B103" s="12" t="s">
        <v>143</v>
      </c>
      <c r="C103" s="12" t="s">
        <v>143</v>
      </c>
      <c r="D103" s="12" t="s">
        <v>143</v>
      </c>
      <c r="E103" s="12">
        <v>35002</v>
      </c>
      <c r="F103" s="12" t="s">
        <v>867</v>
      </c>
      <c r="G103" s="12">
        <f>E103+600000</f>
        <v>635002</v>
      </c>
      <c r="H103" s="12" t="s">
        <v>867</v>
      </c>
      <c r="I103" s="12">
        <f>E103+900000</f>
        <v>935002</v>
      </c>
      <c r="J103" s="12" t="s">
        <v>867</v>
      </c>
      <c r="K103" s="13">
        <v>16</v>
      </c>
      <c r="L103" s="13">
        <v>4353</v>
      </c>
      <c r="M103" s="13">
        <v>8</v>
      </c>
      <c r="N103" s="13">
        <v>7</v>
      </c>
      <c r="O103" s="13">
        <v>0</v>
      </c>
      <c r="P103" s="12">
        <v>0</v>
      </c>
      <c r="Q103" s="12">
        <v>0</v>
      </c>
      <c r="R103" s="12">
        <v>0</v>
      </c>
      <c r="S103" s="12">
        <v>1</v>
      </c>
      <c r="T103" s="12">
        <v>2000</v>
      </c>
      <c r="U103" s="12">
        <v>0</v>
      </c>
      <c r="V103" s="12">
        <v>0</v>
      </c>
      <c r="W103" s="12">
        <v>0</v>
      </c>
      <c r="X103" s="12">
        <v>1</v>
      </c>
      <c r="Y103" s="12">
        <v>0</v>
      </c>
      <c r="Z103" s="12">
        <v>0</v>
      </c>
      <c r="AA103" s="12">
        <v>0</v>
      </c>
      <c r="AB103" s="12">
        <v>0</v>
      </c>
      <c r="AC103" s="12">
        <v>0</v>
      </c>
      <c r="AD103" s="12">
        <v>0</v>
      </c>
      <c r="AE103" s="12">
        <v>0</v>
      </c>
      <c r="AF103" s="12">
        <v>0</v>
      </c>
      <c r="AG103" s="12">
        <v>0</v>
      </c>
      <c r="AH103" s="12" t="s">
        <v>791</v>
      </c>
      <c r="AI103" s="12">
        <v>0</v>
      </c>
      <c r="AJ103" s="12">
        <v>0</v>
      </c>
    </row>
    <row r="104" spans="1:36" s="12" customFormat="1">
      <c r="A104" s="12" t="s">
        <v>143</v>
      </c>
      <c r="B104" s="12" t="s">
        <v>143</v>
      </c>
      <c r="C104" s="12" t="s">
        <v>143</v>
      </c>
      <c r="D104" s="12" t="s">
        <v>143</v>
      </c>
      <c r="E104" s="12">
        <v>35004</v>
      </c>
      <c r="F104" s="12" t="s">
        <v>868</v>
      </c>
      <c r="G104" s="12">
        <f t="shared" ref="G104:G106" si="7">E104+600000</f>
        <v>635004</v>
      </c>
      <c r="H104" s="12" t="s">
        <v>868</v>
      </c>
      <c r="I104" s="12">
        <f t="shared" ref="I104:I106" si="8">E104+900000</f>
        <v>935004</v>
      </c>
      <c r="J104" s="12" t="s">
        <v>868</v>
      </c>
      <c r="K104" s="13">
        <v>16</v>
      </c>
      <c r="L104" s="13">
        <v>4353</v>
      </c>
      <c r="M104" s="13">
        <v>8</v>
      </c>
      <c r="N104" s="13">
        <v>7</v>
      </c>
      <c r="O104" s="13">
        <v>0</v>
      </c>
      <c r="P104" s="12">
        <v>0</v>
      </c>
      <c r="Q104" s="12">
        <v>0</v>
      </c>
      <c r="R104" s="12">
        <v>0</v>
      </c>
      <c r="S104" s="12">
        <v>1</v>
      </c>
      <c r="T104" s="12">
        <v>3000</v>
      </c>
      <c r="U104" s="12">
        <v>0</v>
      </c>
      <c r="V104" s="12">
        <v>0</v>
      </c>
      <c r="W104" s="12">
        <v>0</v>
      </c>
      <c r="X104" s="12">
        <v>1</v>
      </c>
      <c r="Y104" s="12">
        <v>0</v>
      </c>
      <c r="Z104" s="12">
        <v>0</v>
      </c>
      <c r="AA104" s="12">
        <v>0</v>
      </c>
      <c r="AB104" s="12">
        <v>0</v>
      </c>
      <c r="AC104" s="12">
        <v>0</v>
      </c>
      <c r="AD104" s="12">
        <v>0</v>
      </c>
      <c r="AE104" s="12">
        <v>0</v>
      </c>
      <c r="AF104" s="12">
        <v>0</v>
      </c>
      <c r="AG104" s="12">
        <v>0</v>
      </c>
      <c r="AH104" s="12" t="s">
        <v>791</v>
      </c>
      <c r="AI104" s="12">
        <v>0</v>
      </c>
      <c r="AJ104" s="12">
        <v>0</v>
      </c>
    </row>
    <row r="105" spans="1:36" s="12" customFormat="1">
      <c r="A105" s="12" t="s">
        <v>143</v>
      </c>
      <c r="B105" s="12" t="s">
        <v>143</v>
      </c>
      <c r="C105" s="12" t="s">
        <v>143</v>
      </c>
      <c r="D105" s="12" t="s">
        <v>143</v>
      </c>
      <c r="E105" s="12">
        <v>35005</v>
      </c>
      <c r="F105" s="12" t="s">
        <v>869</v>
      </c>
      <c r="G105" s="12">
        <f t="shared" si="7"/>
        <v>635005</v>
      </c>
      <c r="H105" s="12" t="s">
        <v>869</v>
      </c>
      <c r="I105" s="12">
        <f t="shared" si="8"/>
        <v>935005</v>
      </c>
      <c r="J105" s="12" t="s">
        <v>869</v>
      </c>
      <c r="K105" s="13">
        <v>8</v>
      </c>
      <c r="L105" s="13">
        <v>4353</v>
      </c>
      <c r="M105" s="13">
        <v>0</v>
      </c>
      <c r="N105" s="13">
        <v>263</v>
      </c>
      <c r="O105" s="13">
        <v>0</v>
      </c>
      <c r="P105" s="12">
        <v>0</v>
      </c>
      <c r="Q105" s="12">
        <v>0</v>
      </c>
      <c r="R105" s="12">
        <v>0</v>
      </c>
      <c r="S105" s="12">
        <v>1</v>
      </c>
      <c r="T105" s="12">
        <v>6000</v>
      </c>
      <c r="U105" s="12">
        <v>0</v>
      </c>
      <c r="V105" s="12">
        <v>0</v>
      </c>
      <c r="W105" s="12">
        <v>0</v>
      </c>
      <c r="X105" s="12">
        <v>1</v>
      </c>
      <c r="Y105" s="12">
        <v>0</v>
      </c>
      <c r="Z105" s="12">
        <v>0</v>
      </c>
      <c r="AA105" s="12">
        <v>0</v>
      </c>
      <c r="AB105" s="12">
        <v>0</v>
      </c>
      <c r="AC105" s="12">
        <v>0</v>
      </c>
      <c r="AD105" s="12">
        <v>0</v>
      </c>
      <c r="AE105" s="12">
        <v>0</v>
      </c>
      <c r="AF105" s="12">
        <v>0</v>
      </c>
      <c r="AG105" s="12">
        <v>0</v>
      </c>
      <c r="AH105" s="12" t="s">
        <v>870</v>
      </c>
      <c r="AI105" s="12">
        <v>0</v>
      </c>
      <c r="AJ105" s="12">
        <v>0</v>
      </c>
    </row>
    <row r="106" spans="1:36" s="12" customFormat="1">
      <c r="A106" s="12" t="s">
        <v>143</v>
      </c>
      <c r="B106" s="12" t="s">
        <v>143</v>
      </c>
      <c r="C106" s="12" t="s">
        <v>143</v>
      </c>
      <c r="D106" s="12" t="s">
        <v>143</v>
      </c>
      <c r="E106" s="12">
        <v>35011</v>
      </c>
      <c r="F106" s="12" t="s">
        <v>883</v>
      </c>
      <c r="G106" s="12">
        <f t="shared" si="7"/>
        <v>635011</v>
      </c>
      <c r="H106" s="12" t="s">
        <v>883</v>
      </c>
      <c r="I106" s="12">
        <f t="shared" si="8"/>
        <v>935011</v>
      </c>
      <c r="J106" s="12" t="s">
        <v>883</v>
      </c>
      <c r="K106" s="13">
        <v>8</v>
      </c>
      <c r="L106" s="13">
        <v>4353</v>
      </c>
      <c r="M106" s="13">
        <v>32768</v>
      </c>
      <c r="N106" s="13">
        <v>258</v>
      </c>
      <c r="O106" s="13">
        <v>32767</v>
      </c>
      <c r="P106" s="12">
        <v>0</v>
      </c>
      <c r="Q106" s="12">
        <v>0</v>
      </c>
      <c r="R106" s="12">
        <v>0</v>
      </c>
      <c r="S106" s="12">
        <v>1</v>
      </c>
      <c r="T106" s="12">
        <v>600000</v>
      </c>
      <c r="U106" s="12">
        <v>0</v>
      </c>
      <c r="V106" s="12">
        <v>0</v>
      </c>
      <c r="W106" s="12">
        <v>0</v>
      </c>
      <c r="X106" s="12">
        <v>1</v>
      </c>
      <c r="Y106" s="12">
        <v>0</v>
      </c>
      <c r="Z106" s="12">
        <v>0</v>
      </c>
      <c r="AA106" s="12">
        <v>0</v>
      </c>
      <c r="AB106" s="12">
        <v>0</v>
      </c>
      <c r="AC106" s="12">
        <v>0</v>
      </c>
      <c r="AD106" s="12">
        <v>0</v>
      </c>
      <c r="AE106" s="12">
        <v>0</v>
      </c>
      <c r="AF106" s="12">
        <v>0</v>
      </c>
      <c r="AG106" s="12">
        <v>0</v>
      </c>
      <c r="AH106" s="12">
        <v>0</v>
      </c>
      <c r="AI106" s="12">
        <v>0</v>
      </c>
      <c r="AJ106" s="12">
        <v>0</v>
      </c>
    </row>
    <row r="107" spans="1:36" s="12" customFormat="1">
      <c r="K107" s="13"/>
      <c r="L107" s="13"/>
      <c r="M107" s="13"/>
      <c r="N107" s="13"/>
      <c r="O107" s="13"/>
    </row>
    <row r="108" spans="1:36" s="12" customFormat="1">
      <c r="K108" s="13"/>
      <c r="L108" s="13"/>
      <c r="M108" s="13"/>
      <c r="N108" s="13"/>
      <c r="O108" s="13"/>
    </row>
    <row r="109" spans="1:36" s="12" customFormat="1">
      <c r="K109" s="13"/>
      <c r="L109" s="13"/>
      <c r="M109" s="13"/>
      <c r="N109" s="13"/>
      <c r="O109" s="13"/>
    </row>
    <row r="110" spans="1:36" s="12" customFormat="1">
      <c r="K110" s="13"/>
      <c r="L110" s="13"/>
      <c r="M110" s="13"/>
      <c r="N110" s="13"/>
      <c r="O110" s="13"/>
    </row>
    <row r="111" spans="1:36" s="12" customFormat="1">
      <c r="K111" s="13"/>
      <c r="L111" s="13"/>
      <c r="M111" s="13"/>
      <c r="N111" s="13"/>
      <c r="O111" s="13"/>
    </row>
    <row r="112" spans="1:36" s="12" customFormat="1">
      <c r="A112" s="12" t="s">
        <v>143</v>
      </c>
      <c r="B112" s="12" t="s">
        <v>143</v>
      </c>
      <c r="C112" s="12" t="s">
        <v>143</v>
      </c>
      <c r="D112" s="12" t="s">
        <v>143</v>
      </c>
      <c r="E112" s="12">
        <v>35211</v>
      </c>
      <c r="F112" s="12" t="s">
        <v>1001</v>
      </c>
      <c r="G112" s="12">
        <f t="shared" ref="G112" si="9">E112+600000</f>
        <v>635211</v>
      </c>
      <c r="H112" s="12" t="s">
        <v>1001</v>
      </c>
      <c r="I112" s="12">
        <f t="shared" ref="I112" si="10">E112+900000</f>
        <v>935211</v>
      </c>
      <c r="J112" s="12" t="s">
        <v>1001</v>
      </c>
      <c r="K112" s="13">
        <v>1</v>
      </c>
      <c r="L112" s="13">
        <v>4097</v>
      </c>
      <c r="M112" s="13">
        <v>32768</v>
      </c>
      <c r="N112" s="13">
        <v>258</v>
      </c>
      <c r="O112" s="13">
        <v>32767</v>
      </c>
      <c r="P112" s="12">
        <v>0</v>
      </c>
      <c r="Q112" s="12">
        <v>0</v>
      </c>
      <c r="R112" s="12">
        <v>0</v>
      </c>
      <c r="S112" s="12">
        <v>1</v>
      </c>
      <c r="T112" s="12">
        <v>600000</v>
      </c>
      <c r="U112" s="12">
        <v>0</v>
      </c>
      <c r="V112" s="12">
        <v>0</v>
      </c>
      <c r="W112" s="12">
        <v>0</v>
      </c>
      <c r="X112" s="12">
        <v>1</v>
      </c>
      <c r="Y112" s="12">
        <v>0</v>
      </c>
      <c r="Z112" s="12">
        <v>0</v>
      </c>
      <c r="AA112" s="12">
        <v>0</v>
      </c>
      <c r="AB112" s="12">
        <v>0</v>
      </c>
      <c r="AC112" s="12">
        <v>0</v>
      </c>
      <c r="AD112" s="12">
        <v>0</v>
      </c>
      <c r="AE112" s="12">
        <v>0</v>
      </c>
      <c r="AF112" s="12">
        <v>0</v>
      </c>
      <c r="AG112" s="12">
        <v>0</v>
      </c>
      <c r="AH112" s="12">
        <v>0</v>
      </c>
      <c r="AI112" s="12">
        <v>0</v>
      </c>
      <c r="AJ112" s="12">
        <v>0</v>
      </c>
    </row>
    <row r="113" spans="1:36" s="12" customFormat="1">
      <c r="K113" s="13"/>
      <c r="L113" s="13"/>
      <c r="M113" s="13"/>
      <c r="N113" s="13"/>
      <c r="O113" s="13"/>
    </row>
    <row r="114" spans="1:36" s="12" customFormat="1">
      <c r="K114" s="13"/>
      <c r="L114" s="13"/>
      <c r="M114" s="13"/>
      <c r="N114" s="13"/>
      <c r="O114" s="13"/>
    </row>
    <row r="115" spans="1:36" s="12" customFormat="1">
      <c r="K115" s="13"/>
      <c r="L115" s="13"/>
      <c r="M115" s="13"/>
      <c r="N115" s="13"/>
      <c r="O115" s="13"/>
    </row>
    <row r="116" spans="1:36" s="12" customFormat="1">
      <c r="K116" s="13"/>
      <c r="L116" s="13"/>
      <c r="M116" s="13"/>
      <c r="N116" s="13"/>
      <c r="O116" s="13"/>
    </row>
    <row r="117" spans="1:36" s="12" customFormat="1">
      <c r="K117" s="13"/>
      <c r="L117" s="13"/>
      <c r="M117" s="13"/>
      <c r="N117" s="13"/>
      <c r="O117" s="13"/>
    </row>
    <row r="118" spans="1:36">
      <c r="A118" s="1" t="s">
        <v>142</v>
      </c>
      <c r="B118" s="1" t="s">
        <v>142</v>
      </c>
      <c r="C118" s="1" t="s">
        <v>142</v>
      </c>
      <c r="D118" s="1" t="s">
        <v>142</v>
      </c>
      <c r="E118" s="1">
        <v>49996</v>
      </c>
      <c r="F118" s="1" t="s">
        <v>544</v>
      </c>
      <c r="G118" s="1">
        <f t="shared" si="0"/>
        <v>649996</v>
      </c>
      <c r="H118" s="1" t="s">
        <v>695</v>
      </c>
      <c r="I118" s="1">
        <f t="shared" si="1"/>
        <v>949996</v>
      </c>
      <c r="J118" s="1" t="s">
        <v>695</v>
      </c>
      <c r="K118" s="8">
        <v>8</v>
      </c>
      <c r="L118" s="8">
        <v>4353</v>
      </c>
      <c r="M118" s="8">
        <v>1024</v>
      </c>
      <c r="N118" s="8">
        <v>263</v>
      </c>
      <c r="O118" s="8">
        <v>31743</v>
      </c>
      <c r="P118" s="1">
        <v>0</v>
      </c>
      <c r="Q118" s="1">
        <v>0</v>
      </c>
      <c r="R118" s="1">
        <v>0</v>
      </c>
      <c r="S118" s="1">
        <v>1</v>
      </c>
      <c r="T118" s="1">
        <v>2000</v>
      </c>
      <c r="U118" s="1">
        <v>0</v>
      </c>
      <c r="V118" s="1">
        <v>0</v>
      </c>
      <c r="W118" s="1">
        <v>0</v>
      </c>
      <c r="X118" s="1">
        <v>1</v>
      </c>
      <c r="Y118" s="1">
        <v>0</v>
      </c>
      <c r="Z118" s="1">
        <v>0</v>
      </c>
      <c r="AA118" s="1">
        <v>0</v>
      </c>
      <c r="AB118" s="1">
        <v>0</v>
      </c>
      <c r="AC118" s="1">
        <v>0</v>
      </c>
      <c r="AD118" s="1">
        <v>0</v>
      </c>
      <c r="AE118" s="1">
        <v>0</v>
      </c>
      <c r="AF118" s="1">
        <v>0</v>
      </c>
      <c r="AG118" s="1">
        <v>0</v>
      </c>
      <c r="AH118" s="12">
        <v>0</v>
      </c>
      <c r="AI118" s="1">
        <v>0</v>
      </c>
      <c r="AJ118" s="12">
        <v>0</v>
      </c>
    </row>
    <row r="119" spans="1:36">
      <c r="A119" s="1" t="s">
        <v>142</v>
      </c>
      <c r="B119" s="1" t="s">
        <v>142</v>
      </c>
      <c r="C119" s="1" t="s">
        <v>142</v>
      </c>
      <c r="D119" s="1" t="s">
        <v>142</v>
      </c>
      <c r="E119" s="1">
        <v>49997</v>
      </c>
      <c r="F119" s="1" t="s">
        <v>541</v>
      </c>
      <c r="G119" s="1">
        <f t="shared" si="0"/>
        <v>649997</v>
      </c>
      <c r="H119" s="1" t="s">
        <v>696</v>
      </c>
      <c r="I119" s="1">
        <f t="shared" si="1"/>
        <v>949997</v>
      </c>
      <c r="J119" s="1" t="s">
        <v>696</v>
      </c>
      <c r="K119" s="8">
        <v>8</v>
      </c>
      <c r="L119" s="8">
        <v>4353</v>
      </c>
      <c r="M119" s="8">
        <v>1024</v>
      </c>
      <c r="N119" s="8">
        <v>263</v>
      </c>
      <c r="O119" s="8">
        <v>31743</v>
      </c>
      <c r="P119" s="1">
        <v>0</v>
      </c>
      <c r="Q119" s="1">
        <v>0</v>
      </c>
      <c r="R119" s="1">
        <v>0</v>
      </c>
      <c r="S119" s="1">
        <v>1</v>
      </c>
      <c r="T119" s="1">
        <v>2000</v>
      </c>
      <c r="U119" s="1">
        <v>0</v>
      </c>
      <c r="V119" s="1">
        <v>0</v>
      </c>
      <c r="W119" s="1">
        <v>0</v>
      </c>
      <c r="X119" s="1">
        <v>1</v>
      </c>
      <c r="Y119" s="1">
        <v>0</v>
      </c>
      <c r="Z119" s="1">
        <v>0</v>
      </c>
      <c r="AA119" s="1">
        <v>0</v>
      </c>
      <c r="AB119" s="1">
        <v>0</v>
      </c>
      <c r="AC119" s="1">
        <v>0</v>
      </c>
      <c r="AD119" s="1">
        <v>0</v>
      </c>
      <c r="AE119" s="1">
        <v>0</v>
      </c>
      <c r="AF119" s="1">
        <v>0</v>
      </c>
      <c r="AG119" s="1">
        <v>0</v>
      </c>
      <c r="AH119" s="12">
        <v>0</v>
      </c>
      <c r="AI119" s="1">
        <v>0</v>
      </c>
      <c r="AJ119" s="12">
        <v>0</v>
      </c>
    </row>
    <row r="120" spans="1:36">
      <c r="A120" s="1" t="s">
        <v>142</v>
      </c>
      <c r="B120" s="1" t="s">
        <v>142</v>
      </c>
      <c r="C120" s="1" t="s">
        <v>142</v>
      </c>
      <c r="D120" s="1" t="s">
        <v>142</v>
      </c>
      <c r="E120" s="1">
        <v>49998</v>
      </c>
      <c r="F120" s="1" t="s">
        <v>540</v>
      </c>
      <c r="G120" s="1">
        <f t="shared" si="0"/>
        <v>649998</v>
      </c>
      <c r="H120" s="1" t="s">
        <v>697</v>
      </c>
      <c r="I120" s="1">
        <f t="shared" si="1"/>
        <v>949998</v>
      </c>
      <c r="J120" s="1" t="s">
        <v>697</v>
      </c>
      <c r="K120" s="8">
        <v>8</v>
      </c>
      <c r="L120" s="8">
        <v>4353</v>
      </c>
      <c r="M120" s="8">
        <v>0</v>
      </c>
      <c r="N120" s="8">
        <v>263</v>
      </c>
      <c r="O120" s="8">
        <v>1</v>
      </c>
      <c r="P120" s="1">
        <v>0</v>
      </c>
      <c r="Q120" s="1">
        <v>0</v>
      </c>
      <c r="R120" s="1">
        <v>0</v>
      </c>
      <c r="S120" s="1">
        <v>1</v>
      </c>
      <c r="T120" s="1">
        <v>60000</v>
      </c>
      <c r="U120" s="1">
        <v>0</v>
      </c>
      <c r="V120" s="1">
        <v>0</v>
      </c>
      <c r="W120" s="1">
        <v>0</v>
      </c>
      <c r="X120" s="1">
        <v>1</v>
      </c>
      <c r="Y120" s="1">
        <v>0</v>
      </c>
      <c r="Z120" s="1">
        <v>0</v>
      </c>
      <c r="AA120" s="1">
        <v>0</v>
      </c>
      <c r="AB120" s="1">
        <v>0</v>
      </c>
      <c r="AC120" s="1">
        <v>0</v>
      </c>
      <c r="AD120" s="1">
        <v>0</v>
      </c>
      <c r="AE120" s="1">
        <v>0</v>
      </c>
      <c r="AF120" s="1">
        <v>0</v>
      </c>
      <c r="AG120" s="1">
        <v>0</v>
      </c>
      <c r="AH120" s="12">
        <v>0</v>
      </c>
      <c r="AI120" s="1">
        <v>0</v>
      </c>
      <c r="AJ120" s="12">
        <v>0</v>
      </c>
    </row>
    <row r="121" spans="1:36">
      <c r="A121" s="1" t="s">
        <v>142</v>
      </c>
      <c r="B121" s="1" t="s">
        <v>142</v>
      </c>
      <c r="C121" s="1" t="s">
        <v>142</v>
      </c>
      <c r="D121" s="1" t="s">
        <v>142</v>
      </c>
      <c r="E121" s="1">
        <v>49999</v>
      </c>
      <c r="F121" s="1" t="s">
        <v>489</v>
      </c>
      <c r="G121" s="1">
        <f t="shared" si="0"/>
        <v>649999</v>
      </c>
      <c r="H121" s="1" t="s">
        <v>698</v>
      </c>
      <c r="I121" s="1">
        <f t="shared" si="1"/>
        <v>949999</v>
      </c>
      <c r="J121" s="1" t="s">
        <v>698</v>
      </c>
      <c r="K121" s="8">
        <v>8</v>
      </c>
      <c r="L121" s="8">
        <v>0</v>
      </c>
      <c r="M121" s="8">
        <v>32768</v>
      </c>
      <c r="N121" s="8">
        <v>263</v>
      </c>
      <c r="O121" s="8">
        <v>32767</v>
      </c>
      <c r="P121" s="1">
        <v>0</v>
      </c>
      <c r="Q121" s="1">
        <v>0</v>
      </c>
      <c r="R121" s="1">
        <v>0</v>
      </c>
      <c r="S121" s="1">
        <v>1</v>
      </c>
      <c r="T121" s="1">
        <v>60000</v>
      </c>
      <c r="U121" s="1">
        <v>0</v>
      </c>
      <c r="V121" s="1">
        <v>0</v>
      </c>
      <c r="W121" s="1">
        <v>0</v>
      </c>
      <c r="X121" s="1">
        <v>1</v>
      </c>
      <c r="Y121" s="1">
        <v>0</v>
      </c>
      <c r="Z121" s="1">
        <v>0</v>
      </c>
      <c r="AA121" s="1">
        <v>0</v>
      </c>
      <c r="AB121" s="1">
        <v>0</v>
      </c>
      <c r="AC121" s="1">
        <v>0</v>
      </c>
      <c r="AD121" s="1">
        <v>0</v>
      </c>
      <c r="AE121" s="1">
        <v>0</v>
      </c>
      <c r="AF121" s="1">
        <v>0</v>
      </c>
      <c r="AG121" s="1">
        <v>0</v>
      </c>
      <c r="AH121" s="12">
        <v>0</v>
      </c>
      <c r="AI121" s="1">
        <v>0</v>
      </c>
      <c r="AJ121" s="12">
        <v>0</v>
      </c>
    </row>
    <row r="122" spans="1:36">
      <c r="G122" s="1" t="str">
        <f t="shared" si="0"/>
        <v/>
      </c>
      <c r="I122" s="1" t="str">
        <f t="shared" si="1"/>
        <v/>
      </c>
      <c r="AH122" s="12" t="s">
        <v>639</v>
      </c>
    </row>
    <row r="123" spans="1:36">
      <c r="G123" s="1" t="str">
        <f t="shared" ref="G123:G128" si="11">IF( AND(H123&lt;&gt;"",E123&lt;&gt;""),600000+E123,"")</f>
        <v/>
      </c>
      <c r="I123" s="1" t="str">
        <f t="shared" ref="I123:I128" si="12">IF( AND(J123&lt;&gt;"",E123&lt;&gt;""),900000+E123,"")</f>
        <v/>
      </c>
      <c r="AH123" s="12" t="s">
        <v>639</v>
      </c>
    </row>
    <row r="124" spans="1:36">
      <c r="A124" s="1" t="s">
        <v>142</v>
      </c>
      <c r="B124" s="1" t="s">
        <v>142</v>
      </c>
      <c r="C124" s="1" t="s">
        <v>142</v>
      </c>
      <c r="D124" s="1" t="s">
        <v>142</v>
      </c>
      <c r="E124" s="1">
        <v>60004</v>
      </c>
      <c r="F124" s="1" t="s">
        <v>597</v>
      </c>
      <c r="G124" s="1">
        <f t="shared" si="11"/>
        <v>660004</v>
      </c>
      <c r="H124" s="1" t="s">
        <v>699</v>
      </c>
      <c r="I124" s="1">
        <f t="shared" si="12"/>
        <v>960004</v>
      </c>
      <c r="J124" s="1" t="s">
        <v>699</v>
      </c>
      <c r="K124" s="8">
        <v>16</v>
      </c>
      <c r="L124" s="8">
        <v>257</v>
      </c>
      <c r="M124" s="8">
        <v>256</v>
      </c>
      <c r="N124" s="8">
        <v>7</v>
      </c>
      <c r="O124" s="8">
        <v>0</v>
      </c>
      <c r="P124" s="1">
        <v>0</v>
      </c>
      <c r="Q124" s="1">
        <v>0</v>
      </c>
      <c r="R124" s="1">
        <v>0</v>
      </c>
      <c r="S124" s="1">
        <v>1</v>
      </c>
      <c r="T124" s="1">
        <v>50000</v>
      </c>
      <c r="U124" s="1">
        <v>0</v>
      </c>
      <c r="V124" s="1">
        <v>0</v>
      </c>
      <c r="W124" s="1">
        <v>0</v>
      </c>
      <c r="X124" s="1">
        <v>3</v>
      </c>
      <c r="Y124" s="1">
        <v>0</v>
      </c>
      <c r="Z124" s="1">
        <v>0</v>
      </c>
      <c r="AA124" s="1">
        <v>0</v>
      </c>
      <c r="AB124" s="1">
        <v>0</v>
      </c>
      <c r="AC124" s="1">
        <v>0</v>
      </c>
      <c r="AD124" s="1">
        <v>0</v>
      </c>
      <c r="AE124" s="1">
        <v>0</v>
      </c>
      <c r="AF124" s="1">
        <v>0</v>
      </c>
      <c r="AG124" s="1">
        <v>0</v>
      </c>
      <c r="AH124" s="12">
        <v>0</v>
      </c>
      <c r="AI124" s="1">
        <v>0</v>
      </c>
      <c r="AJ124" s="12">
        <v>0</v>
      </c>
    </row>
    <row r="125" spans="1:36" s="12" customFormat="1">
      <c r="A125" s="12" t="s">
        <v>143</v>
      </c>
      <c r="B125" s="12" t="s">
        <v>143</v>
      </c>
      <c r="C125" s="12" t="s">
        <v>143</v>
      </c>
      <c r="D125" s="12" t="s">
        <v>143</v>
      </c>
      <c r="E125" s="12">
        <v>60107</v>
      </c>
      <c r="F125" s="12" t="s">
        <v>952</v>
      </c>
      <c r="G125" s="12">
        <f t="shared" si="11"/>
        <v>660107</v>
      </c>
      <c r="H125" s="12" t="s">
        <v>952</v>
      </c>
      <c r="I125" s="12">
        <f t="shared" si="12"/>
        <v>960107</v>
      </c>
      <c r="J125" s="12" t="s">
        <v>952</v>
      </c>
      <c r="K125" s="13">
        <v>1</v>
      </c>
      <c r="L125" s="13">
        <v>1</v>
      </c>
      <c r="M125" s="13">
        <v>0</v>
      </c>
      <c r="N125" s="13">
        <v>2</v>
      </c>
      <c r="O125" s="13">
        <v>0</v>
      </c>
      <c r="P125" s="12">
        <v>0</v>
      </c>
      <c r="Q125" s="12">
        <v>0</v>
      </c>
      <c r="R125" s="12">
        <v>0</v>
      </c>
      <c r="S125" s="12">
        <v>1</v>
      </c>
      <c r="T125" s="12">
        <v>5000</v>
      </c>
      <c r="U125" s="12">
        <v>0</v>
      </c>
      <c r="V125" s="12">
        <v>0</v>
      </c>
      <c r="W125" s="12">
        <v>0</v>
      </c>
      <c r="X125" s="12">
        <v>0</v>
      </c>
      <c r="Y125" s="12">
        <v>0</v>
      </c>
      <c r="Z125" s="12">
        <v>0</v>
      </c>
      <c r="AA125" s="12">
        <v>0</v>
      </c>
      <c r="AB125" s="12">
        <v>0</v>
      </c>
      <c r="AC125" s="12">
        <v>0</v>
      </c>
      <c r="AD125" s="12">
        <v>0</v>
      </c>
      <c r="AE125" s="12">
        <v>0</v>
      </c>
      <c r="AF125" s="12">
        <v>0</v>
      </c>
      <c r="AG125" s="12">
        <v>0</v>
      </c>
      <c r="AH125" s="12">
        <v>0</v>
      </c>
      <c r="AI125" s="12">
        <v>0</v>
      </c>
      <c r="AJ125" s="12">
        <v>0</v>
      </c>
    </row>
    <row r="126" spans="1:36" s="12" customFormat="1">
      <c r="A126" s="12" t="s">
        <v>143</v>
      </c>
      <c r="B126" s="12" t="s">
        <v>143</v>
      </c>
      <c r="C126" s="12" t="s">
        <v>143</v>
      </c>
      <c r="D126" s="12" t="s">
        <v>143</v>
      </c>
      <c r="E126" s="12">
        <v>60108</v>
      </c>
      <c r="F126" s="12" t="s">
        <v>953</v>
      </c>
      <c r="G126" s="12">
        <f t="shared" si="11"/>
        <v>660108</v>
      </c>
      <c r="H126" s="12" t="s">
        <v>953</v>
      </c>
      <c r="I126" s="12">
        <f t="shared" si="12"/>
        <v>960108</v>
      </c>
      <c r="J126" s="12" t="s">
        <v>953</v>
      </c>
      <c r="K126" s="13">
        <v>1</v>
      </c>
      <c r="L126" s="13">
        <v>1</v>
      </c>
      <c r="M126" s="13">
        <v>0</v>
      </c>
      <c r="N126" s="13">
        <v>2</v>
      </c>
      <c r="O126" s="13">
        <v>0</v>
      </c>
      <c r="P126" s="12">
        <v>0</v>
      </c>
      <c r="Q126" s="12">
        <v>0</v>
      </c>
      <c r="R126" s="12">
        <v>0</v>
      </c>
      <c r="S126" s="12">
        <v>1</v>
      </c>
      <c r="T126" s="12">
        <v>5000</v>
      </c>
      <c r="U126" s="12">
        <v>0</v>
      </c>
      <c r="V126" s="12">
        <v>0</v>
      </c>
      <c r="W126" s="12">
        <v>0</v>
      </c>
      <c r="X126" s="12">
        <v>0</v>
      </c>
      <c r="Y126" s="12">
        <v>0</v>
      </c>
      <c r="Z126" s="12">
        <v>0</v>
      </c>
      <c r="AA126" s="12">
        <v>0</v>
      </c>
      <c r="AB126" s="12">
        <v>0</v>
      </c>
      <c r="AC126" s="12">
        <v>0</v>
      </c>
      <c r="AD126" s="12">
        <v>0</v>
      </c>
      <c r="AE126" s="12">
        <v>0</v>
      </c>
      <c r="AF126" s="12">
        <v>0</v>
      </c>
      <c r="AG126" s="12">
        <v>0</v>
      </c>
      <c r="AH126" s="12">
        <v>0</v>
      </c>
      <c r="AI126" s="12">
        <v>0</v>
      </c>
      <c r="AJ126" s="12">
        <v>0</v>
      </c>
    </row>
    <row r="127" spans="1:36" s="12" customFormat="1">
      <c r="A127" s="12" t="s">
        <v>143</v>
      </c>
      <c r="B127" s="12" t="s">
        <v>143</v>
      </c>
      <c r="C127" s="12" t="s">
        <v>143</v>
      </c>
      <c r="D127" s="12" t="s">
        <v>143</v>
      </c>
      <c r="E127" s="12">
        <v>60109</v>
      </c>
      <c r="F127" s="12" t="s">
        <v>954</v>
      </c>
      <c r="G127" s="12">
        <f t="shared" si="11"/>
        <v>660109</v>
      </c>
      <c r="H127" s="12" t="s">
        <v>954</v>
      </c>
      <c r="I127" s="12">
        <f t="shared" si="12"/>
        <v>960109</v>
      </c>
      <c r="J127" s="12" t="s">
        <v>954</v>
      </c>
      <c r="K127" s="13">
        <v>1</v>
      </c>
      <c r="L127" s="13">
        <v>1</v>
      </c>
      <c r="M127" s="13">
        <v>0</v>
      </c>
      <c r="N127" s="13">
        <v>2</v>
      </c>
      <c r="O127" s="13">
        <v>0</v>
      </c>
      <c r="P127" s="12">
        <v>0</v>
      </c>
      <c r="Q127" s="12">
        <v>0</v>
      </c>
      <c r="R127" s="12">
        <v>0</v>
      </c>
      <c r="S127" s="12">
        <v>1</v>
      </c>
      <c r="T127" s="12">
        <v>5000</v>
      </c>
      <c r="U127" s="12">
        <v>0</v>
      </c>
      <c r="V127" s="12">
        <v>0</v>
      </c>
      <c r="W127" s="12">
        <v>0</v>
      </c>
      <c r="X127" s="12">
        <v>0</v>
      </c>
      <c r="Y127" s="12">
        <v>0</v>
      </c>
      <c r="Z127" s="12">
        <v>0</v>
      </c>
      <c r="AA127" s="12">
        <v>0</v>
      </c>
      <c r="AB127" s="12">
        <v>0</v>
      </c>
      <c r="AC127" s="12">
        <v>0</v>
      </c>
      <c r="AD127" s="12">
        <v>0</v>
      </c>
      <c r="AE127" s="12">
        <v>0</v>
      </c>
      <c r="AF127" s="12">
        <v>0</v>
      </c>
      <c r="AG127" s="12">
        <v>0</v>
      </c>
      <c r="AH127" s="12">
        <v>0</v>
      </c>
      <c r="AI127" s="12">
        <v>0</v>
      </c>
      <c r="AJ127" s="12">
        <v>0</v>
      </c>
    </row>
    <row r="128" spans="1:36" s="12" customFormat="1">
      <c r="A128" s="12" t="s">
        <v>143</v>
      </c>
      <c r="B128" s="12" t="s">
        <v>143</v>
      </c>
      <c r="C128" s="12" t="s">
        <v>143</v>
      </c>
      <c r="D128" s="12" t="s">
        <v>143</v>
      </c>
      <c r="E128" s="12">
        <v>60110</v>
      </c>
      <c r="F128" s="12" t="s">
        <v>955</v>
      </c>
      <c r="G128" s="12">
        <f t="shared" si="11"/>
        <v>660110</v>
      </c>
      <c r="H128" s="12" t="s">
        <v>955</v>
      </c>
      <c r="I128" s="12">
        <f t="shared" si="12"/>
        <v>960110</v>
      </c>
      <c r="J128" s="12" t="s">
        <v>955</v>
      </c>
      <c r="K128" s="13">
        <v>1</v>
      </c>
      <c r="L128" s="13">
        <v>1</v>
      </c>
      <c r="M128" s="13">
        <v>0</v>
      </c>
      <c r="N128" s="13">
        <v>2</v>
      </c>
      <c r="O128" s="13">
        <v>0</v>
      </c>
      <c r="P128" s="12">
        <v>0</v>
      </c>
      <c r="Q128" s="12">
        <v>0</v>
      </c>
      <c r="R128" s="12">
        <v>0</v>
      </c>
      <c r="S128" s="12">
        <v>1</v>
      </c>
      <c r="T128" s="12">
        <v>5000</v>
      </c>
      <c r="U128" s="12">
        <v>0</v>
      </c>
      <c r="V128" s="12">
        <v>0</v>
      </c>
      <c r="W128" s="12">
        <v>0</v>
      </c>
      <c r="X128" s="12">
        <v>0</v>
      </c>
      <c r="Y128" s="12">
        <v>0</v>
      </c>
      <c r="Z128" s="12">
        <v>0</v>
      </c>
      <c r="AA128" s="12">
        <v>0</v>
      </c>
      <c r="AB128" s="12">
        <v>0</v>
      </c>
      <c r="AC128" s="12">
        <v>0</v>
      </c>
      <c r="AD128" s="12">
        <v>0</v>
      </c>
      <c r="AE128" s="12">
        <v>0</v>
      </c>
      <c r="AF128" s="12">
        <v>0</v>
      </c>
      <c r="AG128" s="12">
        <v>0</v>
      </c>
      <c r="AH128" s="12">
        <v>0</v>
      </c>
      <c r="AI128" s="12">
        <v>0</v>
      </c>
      <c r="AJ128" s="12">
        <v>0</v>
      </c>
    </row>
    <row r="129" spans="1:36">
      <c r="AH129" s="12" t="s">
        <v>639</v>
      </c>
    </row>
    <row r="130" spans="1:36">
      <c r="AH130" s="12" t="s">
        <v>639</v>
      </c>
    </row>
    <row r="131" spans="1:36">
      <c r="AH131" s="12" t="s">
        <v>639</v>
      </c>
    </row>
    <row r="132" spans="1:36">
      <c r="A132" s="12" t="s">
        <v>142</v>
      </c>
      <c r="B132" s="12" t="s">
        <v>142</v>
      </c>
      <c r="C132" s="12" t="s">
        <v>142</v>
      </c>
      <c r="D132" s="12" t="s">
        <v>142</v>
      </c>
      <c r="E132" s="12">
        <v>105510</v>
      </c>
      <c r="F132" s="12" t="s">
        <v>722</v>
      </c>
      <c r="G132" s="12">
        <v>0</v>
      </c>
      <c r="H132" s="12" t="s">
        <v>722</v>
      </c>
      <c r="I132" s="12">
        <v>0</v>
      </c>
      <c r="J132" s="12" t="s">
        <v>722</v>
      </c>
      <c r="K132" s="13">
        <v>8</v>
      </c>
      <c r="L132" s="13">
        <v>6401</v>
      </c>
      <c r="M132" s="13">
        <v>0</v>
      </c>
      <c r="N132" s="13">
        <v>263</v>
      </c>
      <c r="O132" s="13">
        <v>0</v>
      </c>
      <c r="P132" s="12">
        <v>0</v>
      </c>
      <c r="Q132" s="12">
        <v>0</v>
      </c>
      <c r="R132" s="12">
        <v>0</v>
      </c>
      <c r="S132" s="12">
        <v>1</v>
      </c>
      <c r="T132" s="12">
        <v>18000</v>
      </c>
      <c r="U132" s="12">
        <v>0</v>
      </c>
      <c r="V132" s="12">
        <v>0</v>
      </c>
      <c r="W132" s="12">
        <v>0</v>
      </c>
      <c r="X132" s="12">
        <v>1</v>
      </c>
      <c r="Y132" s="12">
        <v>0</v>
      </c>
      <c r="Z132" s="12">
        <v>0</v>
      </c>
      <c r="AA132" s="12">
        <v>0</v>
      </c>
      <c r="AB132" s="12">
        <v>0</v>
      </c>
      <c r="AC132" s="12">
        <v>0</v>
      </c>
      <c r="AD132" s="12">
        <v>0</v>
      </c>
      <c r="AE132" s="12">
        <v>0</v>
      </c>
      <c r="AF132" s="12">
        <v>0</v>
      </c>
      <c r="AG132" s="12">
        <v>0</v>
      </c>
      <c r="AH132" s="12">
        <v>0</v>
      </c>
      <c r="AI132" s="12">
        <v>0</v>
      </c>
      <c r="AJ132" s="12">
        <v>0</v>
      </c>
    </row>
    <row r="134" spans="1:36">
      <c r="B134" s="12"/>
      <c r="C134" s="12"/>
      <c r="D134" s="12"/>
    </row>
    <row r="135" spans="1:36" s="12" customFormat="1">
      <c r="E135" s="12">
        <v>106600</v>
      </c>
      <c r="F135" s="12" t="s">
        <v>992</v>
      </c>
      <c r="G135" s="12">
        <v>6106600</v>
      </c>
      <c r="H135" s="12" t="s">
        <v>992</v>
      </c>
      <c r="I135" s="12">
        <v>9106600</v>
      </c>
      <c r="J135" s="12" t="s">
        <v>992</v>
      </c>
      <c r="K135" s="13">
        <v>8</v>
      </c>
      <c r="L135" s="13">
        <v>4353</v>
      </c>
      <c r="M135" s="13">
        <v>0</v>
      </c>
      <c r="N135" s="13">
        <v>263</v>
      </c>
      <c r="O135" s="13">
        <v>0</v>
      </c>
      <c r="P135" s="12">
        <v>0</v>
      </c>
      <c r="Q135" s="12">
        <v>0</v>
      </c>
      <c r="R135" s="12">
        <v>0</v>
      </c>
      <c r="S135" s="12">
        <v>1</v>
      </c>
      <c r="T135" s="12">
        <v>99999</v>
      </c>
      <c r="U135" s="12">
        <v>0</v>
      </c>
      <c r="V135" s="12">
        <v>0</v>
      </c>
      <c r="W135" s="12">
        <v>0</v>
      </c>
      <c r="X135" s="12">
        <v>1</v>
      </c>
      <c r="Y135" s="12">
        <v>0</v>
      </c>
      <c r="Z135" s="12">
        <v>0</v>
      </c>
      <c r="AA135" s="12">
        <v>0</v>
      </c>
      <c r="AB135" s="12">
        <v>0</v>
      </c>
      <c r="AC135" s="12">
        <v>0</v>
      </c>
      <c r="AD135" s="12">
        <v>0</v>
      </c>
      <c r="AE135" s="12">
        <v>0</v>
      </c>
      <c r="AF135" s="12">
        <v>0</v>
      </c>
      <c r="AG135" s="12">
        <v>0</v>
      </c>
      <c r="AH135" s="12" t="s">
        <v>993</v>
      </c>
      <c r="AI135" s="12">
        <v>0</v>
      </c>
    </row>
    <row r="136" spans="1:36" s="12" customFormat="1">
      <c r="E136" s="12">
        <v>106611</v>
      </c>
      <c r="F136" s="12" t="s">
        <v>980</v>
      </c>
      <c r="G136" s="12">
        <v>6106611</v>
      </c>
      <c r="H136" s="12" t="s">
        <v>980</v>
      </c>
      <c r="I136" s="12">
        <v>9106611</v>
      </c>
      <c r="J136" s="12" t="s">
        <v>980</v>
      </c>
      <c r="K136" s="13">
        <v>16</v>
      </c>
      <c r="L136" s="13">
        <v>4369</v>
      </c>
      <c r="M136" s="13">
        <v>0</v>
      </c>
      <c r="N136" s="13">
        <v>7</v>
      </c>
      <c r="O136" s="13">
        <v>0</v>
      </c>
      <c r="P136" s="12">
        <v>0</v>
      </c>
      <c r="Q136" s="12">
        <v>0</v>
      </c>
      <c r="R136" s="12">
        <v>0</v>
      </c>
      <c r="S136" s="12">
        <v>3</v>
      </c>
      <c r="T136" s="12">
        <v>5000</v>
      </c>
      <c r="U136" s="12">
        <v>0</v>
      </c>
      <c r="V136" s="12">
        <v>0</v>
      </c>
      <c r="W136" s="12">
        <v>0</v>
      </c>
      <c r="X136" s="12">
        <v>1</v>
      </c>
      <c r="Y136" s="12">
        <v>0</v>
      </c>
      <c r="Z136" s="12">
        <v>0</v>
      </c>
      <c r="AA136" s="12">
        <v>0</v>
      </c>
      <c r="AB136" s="12">
        <v>5007</v>
      </c>
      <c r="AC136" s="12">
        <v>0</v>
      </c>
      <c r="AD136" s="12">
        <v>0</v>
      </c>
      <c r="AE136" s="12">
        <v>0</v>
      </c>
      <c r="AF136" s="12">
        <v>0</v>
      </c>
      <c r="AG136" s="12">
        <v>0</v>
      </c>
      <c r="AH136" s="12">
        <v>22</v>
      </c>
      <c r="AI136" s="12">
        <v>0</v>
      </c>
    </row>
    <row r="137" spans="1:36" s="12" customFormat="1">
      <c r="E137" s="12">
        <v>106621</v>
      </c>
      <c r="F137" s="12" t="s">
        <v>994</v>
      </c>
      <c r="G137" s="12">
        <v>6106621</v>
      </c>
      <c r="H137" s="12" t="s">
        <v>995</v>
      </c>
      <c r="I137" s="12">
        <v>9106621</v>
      </c>
      <c r="J137" s="12" t="s">
        <v>995</v>
      </c>
      <c r="K137" s="13">
        <v>8</v>
      </c>
      <c r="L137" s="13">
        <v>6417</v>
      </c>
      <c r="M137" s="13">
        <v>0</v>
      </c>
      <c r="N137" s="13">
        <v>263</v>
      </c>
      <c r="O137" s="13">
        <v>0</v>
      </c>
      <c r="P137" s="13">
        <v>0</v>
      </c>
      <c r="Q137" s="13">
        <v>0</v>
      </c>
      <c r="R137" s="13">
        <v>0</v>
      </c>
      <c r="S137" s="13">
        <v>1</v>
      </c>
      <c r="T137" s="13">
        <v>20000</v>
      </c>
      <c r="U137" s="13">
        <v>0</v>
      </c>
      <c r="V137" s="13">
        <v>0</v>
      </c>
      <c r="W137" s="13">
        <v>0</v>
      </c>
      <c r="X137" s="13">
        <v>1</v>
      </c>
      <c r="Y137" s="13">
        <v>0</v>
      </c>
      <c r="Z137" s="13">
        <v>0</v>
      </c>
      <c r="AA137" s="13">
        <v>0</v>
      </c>
      <c r="AB137" s="13">
        <v>5007</v>
      </c>
      <c r="AC137" s="13">
        <v>0</v>
      </c>
      <c r="AD137" s="13">
        <v>0</v>
      </c>
      <c r="AE137" s="13">
        <v>0</v>
      </c>
      <c r="AF137" s="13">
        <v>0</v>
      </c>
      <c r="AG137" s="13">
        <v>0</v>
      </c>
      <c r="AH137" s="13">
        <v>0</v>
      </c>
      <c r="AI137" s="13">
        <v>0</v>
      </c>
    </row>
    <row r="138" spans="1:36" s="12" customFormat="1">
      <c r="E138" s="12">
        <v>106641</v>
      </c>
      <c r="F138" s="12" t="s">
        <v>996</v>
      </c>
      <c r="G138" s="12">
        <v>6106641</v>
      </c>
      <c r="H138" s="12" t="s">
        <v>996</v>
      </c>
      <c r="I138" s="12">
        <v>9106641</v>
      </c>
      <c r="J138" s="12" t="s">
        <v>996</v>
      </c>
      <c r="K138" s="13">
        <v>8</v>
      </c>
      <c r="L138" s="13">
        <v>4353</v>
      </c>
      <c r="M138" s="12">
        <v>0</v>
      </c>
      <c r="N138" s="13">
        <v>263</v>
      </c>
      <c r="O138" s="13">
        <v>31736</v>
      </c>
      <c r="P138" s="12">
        <v>0</v>
      </c>
      <c r="Q138" s="12">
        <v>0</v>
      </c>
      <c r="R138" s="12">
        <v>0</v>
      </c>
      <c r="S138" s="12">
        <v>1</v>
      </c>
      <c r="T138" s="12">
        <v>8000</v>
      </c>
      <c r="U138" s="12">
        <v>0</v>
      </c>
      <c r="V138" s="12">
        <v>0</v>
      </c>
      <c r="W138" s="12">
        <v>0</v>
      </c>
      <c r="X138" s="12">
        <v>1</v>
      </c>
      <c r="Y138" s="12">
        <v>0</v>
      </c>
      <c r="Z138" s="12">
        <v>0</v>
      </c>
      <c r="AA138" s="12">
        <v>0</v>
      </c>
      <c r="AB138" s="12">
        <v>5007</v>
      </c>
      <c r="AC138" s="12">
        <v>0</v>
      </c>
      <c r="AD138" s="12">
        <v>0</v>
      </c>
      <c r="AE138" s="12">
        <v>0</v>
      </c>
      <c r="AF138" s="12">
        <v>0</v>
      </c>
      <c r="AG138" s="12">
        <v>0</v>
      </c>
      <c r="AH138" s="12">
        <v>0</v>
      </c>
      <c r="AI138" s="12">
        <v>0</v>
      </c>
    </row>
  </sheetData>
  <phoneticPr fontId="1" type="noConversion"/>
  <conditionalFormatting sqref="A5">
    <cfRule type="cellIs" dxfId="0" priority="1" operator="greaterThan">
      <formula>0</formula>
    </cfRule>
  </conditionalFormatting>
  <dataValidations count="1">
    <dataValidation allowBlank="1" showErrorMessage="1" sqref="F65"/>
  </dataValidations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38"/>
  <sheetViews>
    <sheetView workbookViewId="0">
      <selection activeCell="G19" sqref="G19"/>
    </sheetView>
  </sheetViews>
  <sheetFormatPr defaultColWidth="9" defaultRowHeight="16.5"/>
  <cols>
    <col min="1" max="16384" width="9" style="10"/>
  </cols>
  <sheetData>
    <row r="1" spans="1:21">
      <c r="A1" s="10" t="s">
        <v>575</v>
      </c>
      <c r="C1" s="1" t="s">
        <v>143</v>
      </c>
      <c r="D1" s="1" t="s">
        <v>143</v>
      </c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</row>
    <row r="2" spans="1:21">
      <c r="A2" s="10" t="s">
        <v>574</v>
      </c>
      <c r="C2" s="1" t="s">
        <v>143</v>
      </c>
      <c r="D2" s="1" t="s">
        <v>143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</row>
    <row r="3" spans="1:21">
      <c r="C3" s="2" t="s">
        <v>573</v>
      </c>
      <c r="D3" s="2" t="s">
        <v>125</v>
      </c>
    </row>
    <row r="4" spans="1:21">
      <c r="A4" s="1" t="s">
        <v>143</v>
      </c>
      <c r="B4" s="1" t="s">
        <v>143</v>
      </c>
      <c r="C4" s="3" t="s">
        <v>572</v>
      </c>
      <c r="D4" s="3" t="s">
        <v>125</v>
      </c>
    </row>
    <row r="5" spans="1:21">
      <c r="A5" s="1" t="s">
        <v>143</v>
      </c>
      <c r="B5" s="1" t="s">
        <v>143</v>
      </c>
      <c r="C5" s="5" t="s">
        <v>123</v>
      </c>
      <c r="D5" s="5" t="s">
        <v>123</v>
      </c>
    </row>
    <row r="6" spans="1:21">
      <c r="A6" s="1" t="s">
        <v>143</v>
      </c>
      <c r="B6" s="1" t="s">
        <v>143</v>
      </c>
      <c r="C6" s="10">
        <v>1</v>
      </c>
      <c r="D6" s="10">
        <v>15001</v>
      </c>
    </row>
    <row r="7" spans="1:21">
      <c r="A7" s="1" t="s">
        <v>143</v>
      </c>
      <c r="B7" s="1" t="s">
        <v>143</v>
      </c>
    </row>
    <row r="8" spans="1:21">
      <c r="A8" s="1" t="s">
        <v>143</v>
      </c>
      <c r="B8" s="1" t="s">
        <v>143</v>
      </c>
    </row>
    <row r="9" spans="1:21">
      <c r="A9" s="1" t="s">
        <v>143</v>
      </c>
      <c r="B9" s="1" t="s">
        <v>143</v>
      </c>
    </row>
    <row r="10" spans="1:21">
      <c r="A10" s="1" t="s">
        <v>143</v>
      </c>
      <c r="B10" s="1" t="s">
        <v>143</v>
      </c>
    </row>
    <row r="11" spans="1:21">
      <c r="A11" s="1" t="s">
        <v>143</v>
      </c>
      <c r="B11" s="1" t="s">
        <v>143</v>
      </c>
    </row>
    <row r="12" spans="1:21">
      <c r="A12" s="1" t="s">
        <v>143</v>
      </c>
      <c r="B12" s="1" t="s">
        <v>143</v>
      </c>
    </row>
    <row r="13" spans="1:21">
      <c r="A13" s="1" t="s">
        <v>143</v>
      </c>
      <c r="B13" s="1" t="s">
        <v>143</v>
      </c>
    </row>
    <row r="14" spans="1:21">
      <c r="A14" s="1" t="s">
        <v>143</v>
      </c>
      <c r="B14" s="1" t="s">
        <v>143</v>
      </c>
    </row>
    <row r="15" spans="1:21">
      <c r="A15" s="1" t="s">
        <v>143</v>
      </c>
      <c r="B15" s="1" t="s">
        <v>143</v>
      </c>
    </row>
    <row r="16" spans="1:21">
      <c r="A16" s="1" t="s">
        <v>143</v>
      </c>
      <c r="B16" s="1" t="s">
        <v>143</v>
      </c>
    </row>
    <row r="17" spans="1:2">
      <c r="A17" s="1" t="s">
        <v>143</v>
      </c>
      <c r="B17" s="1" t="s">
        <v>143</v>
      </c>
    </row>
    <row r="18" spans="1:2">
      <c r="A18" s="1" t="s">
        <v>143</v>
      </c>
      <c r="B18" s="1" t="s">
        <v>143</v>
      </c>
    </row>
    <row r="19" spans="1:2">
      <c r="A19" s="1" t="s">
        <v>143</v>
      </c>
      <c r="B19" s="1" t="s">
        <v>143</v>
      </c>
    </row>
    <row r="20" spans="1:2">
      <c r="A20" s="1" t="s">
        <v>143</v>
      </c>
      <c r="B20" s="1" t="s">
        <v>143</v>
      </c>
    </row>
    <row r="21" spans="1:2">
      <c r="A21" s="1" t="s">
        <v>143</v>
      </c>
      <c r="B21" s="1" t="s">
        <v>143</v>
      </c>
    </row>
    <row r="22" spans="1:2">
      <c r="A22" s="1" t="s">
        <v>143</v>
      </c>
      <c r="B22" s="1" t="s">
        <v>143</v>
      </c>
    </row>
    <row r="23" spans="1:2">
      <c r="A23" s="1" t="s">
        <v>143</v>
      </c>
      <c r="B23" s="1" t="s">
        <v>143</v>
      </c>
    </row>
    <row r="24" spans="1:2">
      <c r="A24" s="1" t="s">
        <v>143</v>
      </c>
      <c r="B24" s="1" t="s">
        <v>143</v>
      </c>
    </row>
    <row r="25" spans="1:2">
      <c r="A25" s="1" t="s">
        <v>143</v>
      </c>
      <c r="B25" s="1" t="s">
        <v>143</v>
      </c>
    </row>
    <row r="26" spans="1:2">
      <c r="A26" s="1" t="s">
        <v>143</v>
      </c>
      <c r="B26" s="1" t="s">
        <v>143</v>
      </c>
    </row>
    <row r="27" spans="1:2">
      <c r="A27" s="1" t="s">
        <v>143</v>
      </c>
      <c r="B27" s="1" t="s">
        <v>143</v>
      </c>
    </row>
    <row r="28" spans="1:2">
      <c r="A28" s="1" t="s">
        <v>143</v>
      </c>
      <c r="B28" s="1" t="s">
        <v>143</v>
      </c>
    </row>
    <row r="29" spans="1:2">
      <c r="A29" s="1" t="s">
        <v>143</v>
      </c>
      <c r="B29" s="1" t="s">
        <v>143</v>
      </c>
    </row>
    <row r="30" spans="1:2">
      <c r="A30" s="1" t="s">
        <v>143</v>
      </c>
      <c r="B30" s="1" t="s">
        <v>143</v>
      </c>
    </row>
    <row r="31" spans="1:2">
      <c r="A31" s="1" t="s">
        <v>143</v>
      </c>
      <c r="B31" s="1" t="s">
        <v>143</v>
      </c>
    </row>
    <row r="32" spans="1:2">
      <c r="A32" s="1" t="s">
        <v>143</v>
      </c>
      <c r="B32" s="1" t="s">
        <v>143</v>
      </c>
    </row>
    <row r="33" spans="1:2">
      <c r="A33" s="1" t="s">
        <v>143</v>
      </c>
      <c r="B33" s="1" t="s">
        <v>143</v>
      </c>
    </row>
    <row r="34" spans="1:2">
      <c r="A34" s="1" t="s">
        <v>143</v>
      </c>
      <c r="B34" s="1" t="s">
        <v>143</v>
      </c>
    </row>
    <row r="35" spans="1:2">
      <c r="A35" s="1" t="s">
        <v>143</v>
      </c>
      <c r="B35" s="1" t="s">
        <v>143</v>
      </c>
    </row>
    <row r="36" spans="1:2">
      <c r="A36" s="1" t="s">
        <v>143</v>
      </c>
      <c r="B36" s="1" t="s">
        <v>143</v>
      </c>
    </row>
    <row r="37" spans="1:2">
      <c r="A37" s="1" t="s">
        <v>143</v>
      </c>
      <c r="B37" s="1" t="s">
        <v>143</v>
      </c>
    </row>
    <row r="38" spans="1:2">
      <c r="A38" s="1" t="s">
        <v>143</v>
      </c>
      <c r="B38" s="1" t="s">
        <v>143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5"/>
  <sheetViews>
    <sheetView workbookViewId="0">
      <pane ySplit="5" topLeftCell="A6" activePane="bottomLeft" state="frozen"/>
      <selection pane="bottomLeft" activeCell="I21" sqref="I21"/>
    </sheetView>
  </sheetViews>
  <sheetFormatPr defaultColWidth="9" defaultRowHeight="14.25"/>
  <cols>
    <col min="1" max="2" width="2.25" style="1" bestFit="1" customWidth="1"/>
    <col min="3" max="3" width="6.25" style="1" bestFit="1" customWidth="1"/>
    <col min="4" max="4" width="4.75" style="1" bestFit="1" customWidth="1"/>
    <col min="5" max="5" width="10.375" style="1" bestFit="1" customWidth="1"/>
    <col min="6" max="6" width="13" style="1" bestFit="1" customWidth="1"/>
    <col min="7" max="7" width="9.625" style="1" bestFit="1" customWidth="1"/>
    <col min="8" max="8" width="10" style="1" bestFit="1" customWidth="1"/>
    <col min="9" max="16384" width="9" style="1"/>
  </cols>
  <sheetData>
    <row r="1" spans="1:12">
      <c r="C1" s="1" t="s">
        <v>144</v>
      </c>
      <c r="E1" s="1" t="s">
        <v>144</v>
      </c>
      <c r="F1" s="1" t="s">
        <v>144</v>
      </c>
      <c r="G1" s="1" t="s">
        <v>144</v>
      </c>
      <c r="H1" s="1" t="s">
        <v>144</v>
      </c>
    </row>
    <row r="2" spans="1:12">
      <c r="C2" s="1" t="s">
        <v>144</v>
      </c>
      <c r="E2" s="1" t="s">
        <v>144</v>
      </c>
      <c r="F2" s="1" t="s">
        <v>144</v>
      </c>
      <c r="G2" s="1" t="s">
        <v>144</v>
      </c>
      <c r="H2" s="1" t="s">
        <v>144</v>
      </c>
    </row>
    <row r="3" spans="1:12" s="2" customFormat="1">
      <c r="C3" s="2" t="s">
        <v>130</v>
      </c>
      <c r="D3" s="2" t="s">
        <v>116</v>
      </c>
      <c r="E3" s="2" t="s">
        <v>117</v>
      </c>
      <c r="F3" s="2" t="s">
        <v>119</v>
      </c>
      <c r="G3" s="2" t="s">
        <v>118</v>
      </c>
      <c r="H3" s="2" t="s">
        <v>120</v>
      </c>
    </row>
    <row r="4" spans="1:12" s="3" customFormat="1">
      <c r="A4" s="3" t="s">
        <v>144</v>
      </c>
      <c r="B4" s="3" t="s">
        <v>144</v>
      </c>
      <c r="C4" s="3" t="s">
        <v>128</v>
      </c>
      <c r="D4" s="3" t="s">
        <v>122</v>
      </c>
      <c r="E4" s="3" t="s">
        <v>131</v>
      </c>
      <c r="F4" s="3" t="s">
        <v>132</v>
      </c>
      <c r="G4" s="3" t="s">
        <v>133</v>
      </c>
      <c r="H4" s="3" t="s">
        <v>41</v>
      </c>
      <c r="J4" s="4"/>
      <c r="L4" s="4"/>
    </row>
    <row r="5" spans="1:12" s="5" customFormat="1">
      <c r="A5" s="5" t="s">
        <v>144</v>
      </c>
      <c r="B5" s="5" t="s">
        <v>144</v>
      </c>
      <c r="C5" s="5" t="s">
        <v>123</v>
      </c>
      <c r="D5" s="5" t="s">
        <v>124</v>
      </c>
      <c r="E5" s="5" t="s">
        <v>124</v>
      </c>
      <c r="F5" s="5" t="s">
        <v>123</v>
      </c>
      <c r="G5" s="5" t="s">
        <v>123</v>
      </c>
      <c r="H5" s="5" t="s">
        <v>40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32"/>
  <sheetViews>
    <sheetView workbookViewId="0">
      <selection activeCell="E8" sqref="E8"/>
    </sheetView>
  </sheetViews>
  <sheetFormatPr defaultColWidth="9" defaultRowHeight="14.25"/>
  <cols>
    <col min="1" max="1" width="10.25" style="9" bestFit="1" customWidth="1"/>
    <col min="2" max="2" width="27.625" style="9" customWidth="1"/>
    <col min="3" max="3" width="35.375" style="9" customWidth="1"/>
    <col min="4" max="4" width="19" style="9" bestFit="1" customWidth="1"/>
    <col min="5" max="5" width="20.375" style="9" customWidth="1"/>
    <col min="6" max="6" width="39.625" style="9" customWidth="1"/>
    <col min="7" max="7" width="17.25" style="9" customWidth="1"/>
    <col min="8" max="16384" width="9" style="9"/>
  </cols>
  <sheetData>
    <row r="1" spans="1:8">
      <c r="A1" s="9" t="s">
        <v>184</v>
      </c>
      <c r="B1" s="9" t="s">
        <v>185</v>
      </c>
      <c r="C1" s="9" t="s">
        <v>188</v>
      </c>
      <c r="D1" s="9" t="s">
        <v>205</v>
      </c>
      <c r="E1" s="9" t="s">
        <v>58</v>
      </c>
      <c r="F1" s="9" t="s">
        <v>228</v>
      </c>
      <c r="G1" s="9" t="s">
        <v>323</v>
      </c>
      <c r="H1" s="11" t="s">
        <v>394</v>
      </c>
    </row>
    <row r="2" spans="1:8">
      <c r="A2" s="9">
        <f>1</f>
        <v>1</v>
      </c>
      <c r="B2" s="9" t="s">
        <v>362</v>
      </c>
      <c r="C2" s="9" t="s">
        <v>189</v>
      </c>
      <c r="D2" s="9" t="s">
        <v>204</v>
      </c>
      <c r="E2" s="9" t="s">
        <v>210</v>
      </c>
      <c r="F2" s="9" t="s">
        <v>213</v>
      </c>
      <c r="G2" s="9" t="s">
        <v>318</v>
      </c>
      <c r="H2" s="9" t="s">
        <v>1165</v>
      </c>
    </row>
    <row r="3" spans="1:8">
      <c r="A3" s="9">
        <f>A2*2</f>
        <v>2</v>
      </c>
      <c r="B3" s="9" t="s">
        <v>186</v>
      </c>
      <c r="C3" s="9" t="s">
        <v>190</v>
      </c>
      <c r="D3" s="9" t="s">
        <v>329</v>
      </c>
      <c r="E3" s="9" t="s">
        <v>1135</v>
      </c>
      <c r="F3" s="9" t="s">
        <v>214</v>
      </c>
      <c r="G3" s="9" t="s">
        <v>319</v>
      </c>
      <c r="H3" s="9" t="s">
        <v>1166</v>
      </c>
    </row>
    <row r="4" spans="1:8">
      <c r="A4" s="9">
        <f>A3*2</f>
        <v>4</v>
      </c>
      <c r="B4" s="9" t="s">
        <v>487</v>
      </c>
      <c r="C4" s="9" t="s">
        <v>191</v>
      </c>
      <c r="D4" s="9" t="s">
        <v>330</v>
      </c>
      <c r="E4" s="9" t="s">
        <v>1133</v>
      </c>
      <c r="F4" s="9" t="s">
        <v>406</v>
      </c>
      <c r="G4" s="9" t="s">
        <v>320</v>
      </c>
      <c r="H4" s="9" t="s">
        <v>1167</v>
      </c>
    </row>
    <row r="5" spans="1:8">
      <c r="A5" s="9">
        <f t="shared" ref="A5:A32" si="0">A4*2</f>
        <v>8</v>
      </c>
      <c r="B5" s="9" t="s">
        <v>488</v>
      </c>
      <c r="C5" s="9" t="s">
        <v>192</v>
      </c>
      <c r="D5" s="9" t="s">
        <v>331</v>
      </c>
      <c r="E5" s="9" t="s">
        <v>1131</v>
      </c>
      <c r="F5" s="9" t="s">
        <v>407</v>
      </c>
      <c r="G5" s="9" t="s">
        <v>321</v>
      </c>
      <c r="H5" s="9" t="s">
        <v>1168</v>
      </c>
    </row>
    <row r="6" spans="1:8">
      <c r="A6" s="9">
        <f t="shared" si="0"/>
        <v>16</v>
      </c>
      <c r="B6" s="9" t="s">
        <v>187</v>
      </c>
      <c r="C6" s="9" t="s">
        <v>193</v>
      </c>
      <c r="D6" s="9" t="s">
        <v>332</v>
      </c>
      <c r="E6" s="9" t="s">
        <v>1132</v>
      </c>
      <c r="F6" s="9" t="s">
        <v>443</v>
      </c>
      <c r="G6" s="9" t="s">
        <v>322</v>
      </c>
      <c r="H6" s="9" t="s">
        <v>1169</v>
      </c>
    </row>
    <row r="7" spans="1:8">
      <c r="A7" s="9">
        <f t="shared" si="0"/>
        <v>32</v>
      </c>
      <c r="B7" s="9" t="s">
        <v>361</v>
      </c>
      <c r="C7" s="9" t="s">
        <v>194</v>
      </c>
      <c r="D7" s="9" t="s">
        <v>346</v>
      </c>
      <c r="F7" s="9" t="s">
        <v>408</v>
      </c>
      <c r="G7" s="9" t="s">
        <v>333</v>
      </c>
      <c r="H7" s="9" t="s">
        <v>1170</v>
      </c>
    </row>
    <row r="8" spans="1:8">
      <c r="A8" s="9">
        <f t="shared" si="0"/>
        <v>64</v>
      </c>
      <c r="C8" s="9" t="s">
        <v>926</v>
      </c>
      <c r="D8" s="9" t="s">
        <v>347</v>
      </c>
      <c r="F8" s="9" t="s">
        <v>463</v>
      </c>
      <c r="G8" s="9" t="s">
        <v>336</v>
      </c>
      <c r="H8" s="9" t="s">
        <v>1171</v>
      </c>
    </row>
    <row r="9" spans="1:8">
      <c r="A9" s="9">
        <f t="shared" si="0"/>
        <v>128</v>
      </c>
      <c r="C9" s="9" t="s">
        <v>195</v>
      </c>
      <c r="D9" s="9" t="s">
        <v>348</v>
      </c>
      <c r="F9" s="9" t="s">
        <v>464</v>
      </c>
      <c r="G9" s="9" t="s">
        <v>475</v>
      </c>
      <c r="H9" s="9" t="s">
        <v>1172</v>
      </c>
    </row>
    <row r="10" spans="1:8">
      <c r="A10" s="9">
        <f t="shared" si="0"/>
        <v>256</v>
      </c>
      <c r="C10" s="9" t="s">
        <v>196</v>
      </c>
      <c r="D10" s="9" t="s">
        <v>773</v>
      </c>
      <c r="F10" s="9" t="s">
        <v>465</v>
      </c>
      <c r="G10" s="9" t="s">
        <v>337</v>
      </c>
      <c r="H10" s="9" t="s">
        <v>1173</v>
      </c>
    </row>
    <row r="11" spans="1:8">
      <c r="A11" s="9">
        <f t="shared" si="0"/>
        <v>512</v>
      </c>
      <c r="C11" s="9" t="s">
        <v>197</v>
      </c>
      <c r="F11" s="9" t="s">
        <v>466</v>
      </c>
      <c r="G11" s="9" t="s">
        <v>338</v>
      </c>
      <c r="H11" s="9" t="s">
        <v>1174</v>
      </c>
    </row>
    <row r="12" spans="1:8">
      <c r="A12" s="9">
        <f t="shared" si="0"/>
        <v>1024</v>
      </c>
      <c r="C12" s="9" t="s">
        <v>198</v>
      </c>
      <c r="F12" s="9" t="s">
        <v>215</v>
      </c>
      <c r="G12" s="9" t="s">
        <v>339</v>
      </c>
      <c r="H12" s="9" t="s">
        <v>1175</v>
      </c>
    </row>
    <row r="13" spans="1:8">
      <c r="A13" s="9">
        <f t="shared" si="0"/>
        <v>2048</v>
      </c>
      <c r="C13" s="9" t="s">
        <v>199</v>
      </c>
      <c r="F13" s="9" t="s">
        <v>216</v>
      </c>
      <c r="G13" s="9" t="s">
        <v>340</v>
      </c>
      <c r="H13" s="9" t="s">
        <v>1176</v>
      </c>
    </row>
    <row r="14" spans="1:8">
      <c r="A14" s="9">
        <f t="shared" si="0"/>
        <v>4096</v>
      </c>
      <c r="C14" s="9" t="s">
        <v>200</v>
      </c>
      <c r="F14" s="9" t="s">
        <v>217</v>
      </c>
      <c r="G14" s="9" t="s">
        <v>341</v>
      </c>
      <c r="H14" s="9" t="s">
        <v>1177</v>
      </c>
    </row>
    <row r="15" spans="1:8">
      <c r="A15" s="9">
        <f t="shared" si="0"/>
        <v>8192</v>
      </c>
      <c r="C15" s="9" t="s">
        <v>201</v>
      </c>
      <c r="F15" s="9" t="s">
        <v>218</v>
      </c>
      <c r="G15" s="9" t="s">
        <v>342</v>
      </c>
      <c r="H15" s="9" t="s">
        <v>1178</v>
      </c>
    </row>
    <row r="16" spans="1:8">
      <c r="A16" s="9">
        <f t="shared" si="0"/>
        <v>16384</v>
      </c>
      <c r="C16" s="9" t="s">
        <v>453</v>
      </c>
      <c r="F16" s="9" t="s">
        <v>467</v>
      </c>
      <c r="G16" s="9" t="s">
        <v>343</v>
      </c>
      <c r="H16" s="9" t="s">
        <v>1179</v>
      </c>
    </row>
    <row r="17" spans="1:8">
      <c r="A17" s="9">
        <f t="shared" si="0"/>
        <v>32768</v>
      </c>
      <c r="C17" s="9" t="s">
        <v>454</v>
      </c>
      <c r="F17" s="9" t="s">
        <v>468</v>
      </c>
      <c r="G17" s="9" t="s">
        <v>344</v>
      </c>
      <c r="H17" s="9" t="s">
        <v>1180</v>
      </c>
    </row>
    <row r="18" spans="1:8">
      <c r="A18" s="9">
        <f t="shared" si="0"/>
        <v>65536</v>
      </c>
      <c r="C18" s="9" t="s">
        <v>514</v>
      </c>
      <c r="F18" s="9" t="s">
        <v>469</v>
      </c>
      <c r="G18" s="9" t="s">
        <v>345</v>
      </c>
      <c r="H18" s="9" t="s">
        <v>1181</v>
      </c>
    </row>
    <row r="19" spans="1:8">
      <c r="A19" s="9">
        <f t="shared" si="0"/>
        <v>131072</v>
      </c>
      <c r="C19" s="9" t="s">
        <v>478</v>
      </c>
      <c r="F19" s="9" t="s">
        <v>470</v>
      </c>
      <c r="G19" s="9" t="s">
        <v>586</v>
      </c>
      <c r="H19" s="9" t="s">
        <v>1182</v>
      </c>
    </row>
    <row r="20" spans="1:8">
      <c r="A20" s="9">
        <f t="shared" si="0"/>
        <v>262144</v>
      </c>
      <c r="C20" s="9" t="s">
        <v>476</v>
      </c>
      <c r="F20" s="9" t="s">
        <v>471</v>
      </c>
      <c r="G20" s="9" t="s">
        <v>587</v>
      </c>
      <c r="H20" s="9" t="s">
        <v>1183</v>
      </c>
    </row>
    <row r="21" spans="1:8">
      <c r="A21" s="9">
        <f t="shared" si="0"/>
        <v>524288</v>
      </c>
      <c r="C21" s="9" t="s">
        <v>477</v>
      </c>
      <c r="F21" s="9" t="s">
        <v>472</v>
      </c>
      <c r="G21" s="42"/>
      <c r="H21" s="9" t="s">
        <v>1184</v>
      </c>
    </row>
    <row r="22" spans="1:8">
      <c r="A22" s="9">
        <f t="shared" si="0"/>
        <v>1048576</v>
      </c>
      <c r="C22" s="9" t="s">
        <v>491</v>
      </c>
      <c r="F22" s="9" t="s">
        <v>219</v>
      </c>
      <c r="H22" s="9" t="s">
        <v>1185</v>
      </c>
    </row>
    <row r="23" spans="1:8">
      <c r="A23" s="9">
        <f t="shared" si="0"/>
        <v>2097152</v>
      </c>
      <c r="C23" s="9" t="s">
        <v>492</v>
      </c>
      <c r="F23" s="9" t="s">
        <v>220</v>
      </c>
    </row>
    <row r="24" spans="1:8">
      <c r="A24" s="9">
        <f t="shared" si="0"/>
        <v>4194304</v>
      </c>
      <c r="C24" s="9" t="s">
        <v>593</v>
      </c>
      <c r="F24" s="9" t="s">
        <v>221</v>
      </c>
    </row>
    <row r="25" spans="1:8">
      <c r="A25" s="9">
        <f t="shared" si="0"/>
        <v>8388608</v>
      </c>
      <c r="C25" s="9" t="s">
        <v>594</v>
      </c>
      <c r="F25" s="9" t="s">
        <v>222</v>
      </c>
    </row>
    <row r="26" spans="1:8">
      <c r="A26" s="9">
        <f t="shared" si="0"/>
        <v>16777216</v>
      </c>
      <c r="C26" s="9" t="s">
        <v>1121</v>
      </c>
      <c r="F26" s="9" t="s">
        <v>223</v>
      </c>
    </row>
    <row r="27" spans="1:8">
      <c r="A27" s="9">
        <f t="shared" si="0"/>
        <v>33554432</v>
      </c>
      <c r="F27" s="9" t="s">
        <v>224</v>
      </c>
    </row>
    <row r="28" spans="1:8">
      <c r="A28" s="9">
        <f t="shared" si="0"/>
        <v>67108864</v>
      </c>
      <c r="F28" s="9" t="s">
        <v>225</v>
      </c>
    </row>
    <row r="29" spans="1:8">
      <c r="A29" s="9">
        <f t="shared" si="0"/>
        <v>134217728</v>
      </c>
      <c r="F29" s="9" t="s">
        <v>226</v>
      </c>
    </row>
    <row r="30" spans="1:8">
      <c r="A30" s="9">
        <f t="shared" si="0"/>
        <v>268435456</v>
      </c>
      <c r="F30" s="9" t="s">
        <v>227</v>
      </c>
    </row>
    <row r="31" spans="1:8">
      <c r="A31" s="9">
        <f t="shared" si="0"/>
        <v>536870912</v>
      </c>
    </row>
    <row r="32" spans="1:8">
      <c r="A32" s="9">
        <f t="shared" si="0"/>
        <v>1073741824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32"/>
  <sheetViews>
    <sheetView workbookViewId="0">
      <selection activeCell="F31" sqref="F31"/>
    </sheetView>
  </sheetViews>
  <sheetFormatPr defaultColWidth="9" defaultRowHeight="14.25"/>
  <cols>
    <col min="1" max="1" width="10.25" style="9" bestFit="1" customWidth="1"/>
    <col min="2" max="2" width="22.625" style="9" bestFit="1" customWidth="1"/>
    <col min="3" max="3" width="28" style="9" bestFit="1" customWidth="1"/>
    <col min="4" max="4" width="19.75" style="9" customWidth="1"/>
    <col min="5" max="5" width="17" style="9" customWidth="1"/>
    <col min="6" max="6" width="22" style="9" customWidth="1"/>
    <col min="7" max="16384" width="9" style="9"/>
  </cols>
  <sheetData>
    <row r="1" spans="1:6">
      <c r="A1" s="9" t="s">
        <v>184</v>
      </c>
      <c r="B1" s="9" t="s">
        <v>273</v>
      </c>
      <c r="C1" s="9" t="s">
        <v>271</v>
      </c>
      <c r="D1" s="9" t="s">
        <v>274</v>
      </c>
      <c r="E1" s="9" t="s">
        <v>272</v>
      </c>
      <c r="F1" s="9" t="s">
        <v>490</v>
      </c>
    </row>
    <row r="2" spans="1:6">
      <c r="A2" s="9">
        <f>1</f>
        <v>1</v>
      </c>
      <c r="B2" s="9" t="s">
        <v>275</v>
      </c>
      <c r="C2" s="9" t="s">
        <v>282</v>
      </c>
      <c r="D2" s="9" t="s">
        <v>299</v>
      </c>
      <c r="E2" s="1" t="s">
        <v>519</v>
      </c>
      <c r="F2" s="1" t="s">
        <v>519</v>
      </c>
    </row>
    <row r="3" spans="1:6">
      <c r="A3" s="9">
        <f>A2*2</f>
        <v>2</v>
      </c>
      <c r="B3" s="9" t="s">
        <v>276</v>
      </c>
      <c r="C3" s="9" t="s">
        <v>283</v>
      </c>
      <c r="D3" s="9" t="s">
        <v>757</v>
      </c>
      <c r="E3" s="1" t="s">
        <v>520</v>
      </c>
      <c r="F3" s="1" t="s">
        <v>520</v>
      </c>
    </row>
    <row r="4" spans="1:6">
      <c r="A4" s="9">
        <f>A3*2</f>
        <v>4</v>
      </c>
      <c r="B4" s="9" t="s">
        <v>277</v>
      </c>
      <c r="C4" s="9" t="s">
        <v>284</v>
      </c>
      <c r="D4" s="9" t="s">
        <v>300</v>
      </c>
      <c r="E4" s="1" t="s">
        <v>539</v>
      </c>
      <c r="F4" s="1" t="s">
        <v>539</v>
      </c>
    </row>
    <row r="5" spans="1:6">
      <c r="A5" s="9">
        <f t="shared" ref="A5:A32" si="0">A4*2</f>
        <v>8</v>
      </c>
      <c r="B5" s="9" t="s">
        <v>278</v>
      </c>
      <c r="C5" s="9" t="s">
        <v>285</v>
      </c>
      <c r="D5" s="9" t="s">
        <v>301</v>
      </c>
      <c r="E5" s="1" t="s">
        <v>521</v>
      </c>
      <c r="F5" s="1" t="s">
        <v>521</v>
      </c>
    </row>
    <row r="6" spans="1:6">
      <c r="A6" s="9">
        <f t="shared" si="0"/>
        <v>16</v>
      </c>
      <c r="B6" s="9" t="s">
        <v>279</v>
      </c>
      <c r="C6" s="9" t="s">
        <v>286</v>
      </c>
      <c r="D6" s="9" t="s">
        <v>302</v>
      </c>
      <c r="E6" s="1" t="s">
        <v>522</v>
      </c>
      <c r="F6" s="1" t="s">
        <v>522</v>
      </c>
    </row>
    <row r="7" spans="1:6">
      <c r="A7" s="9">
        <f t="shared" si="0"/>
        <v>32</v>
      </c>
      <c r="B7" s="9" t="s">
        <v>280</v>
      </c>
      <c r="C7" s="9" t="s">
        <v>287</v>
      </c>
      <c r="D7" s="9" t="s">
        <v>303</v>
      </c>
      <c r="E7" s="1" t="s">
        <v>523</v>
      </c>
      <c r="F7" s="1" t="s">
        <v>523</v>
      </c>
    </row>
    <row r="8" spans="1:6">
      <c r="A8" s="9">
        <f t="shared" si="0"/>
        <v>64</v>
      </c>
      <c r="B8" s="9" t="s">
        <v>281</v>
      </c>
      <c r="C8" s="9" t="s">
        <v>288</v>
      </c>
      <c r="D8" s="9" t="s">
        <v>304</v>
      </c>
      <c r="E8" s="1" t="s">
        <v>524</v>
      </c>
      <c r="F8" s="1" t="s">
        <v>524</v>
      </c>
    </row>
    <row r="9" spans="1:6">
      <c r="A9" s="9">
        <f t="shared" si="0"/>
        <v>128</v>
      </c>
      <c r="C9" s="9" t="s">
        <v>289</v>
      </c>
      <c r="D9" s="9" t="s">
        <v>305</v>
      </c>
      <c r="E9" s="1" t="s">
        <v>525</v>
      </c>
      <c r="F9" s="1" t="s">
        <v>525</v>
      </c>
    </row>
    <row r="10" spans="1:6">
      <c r="A10" s="9">
        <f t="shared" si="0"/>
        <v>256</v>
      </c>
      <c r="C10" s="9" t="s">
        <v>920</v>
      </c>
      <c r="D10" s="9" t="s">
        <v>445</v>
      </c>
      <c r="E10" s="1" t="s">
        <v>526</v>
      </c>
      <c r="F10" s="1" t="s">
        <v>526</v>
      </c>
    </row>
    <row r="11" spans="1:6">
      <c r="A11" s="9">
        <f t="shared" si="0"/>
        <v>512</v>
      </c>
      <c r="C11" s="9" t="s">
        <v>290</v>
      </c>
      <c r="D11" s="9" t="s">
        <v>515</v>
      </c>
      <c r="E11" s="1" t="s">
        <v>527</v>
      </c>
      <c r="F11" s="1" t="s">
        <v>527</v>
      </c>
    </row>
    <row r="12" spans="1:6">
      <c r="A12" s="9">
        <f t="shared" si="0"/>
        <v>1024</v>
      </c>
      <c r="C12" s="9" t="s">
        <v>291</v>
      </c>
      <c r="E12" s="1" t="s">
        <v>528</v>
      </c>
      <c r="F12" s="1" t="s">
        <v>528</v>
      </c>
    </row>
    <row r="13" spans="1:6">
      <c r="A13" s="9">
        <f t="shared" si="0"/>
        <v>2048</v>
      </c>
      <c r="C13" s="9" t="s">
        <v>292</v>
      </c>
      <c r="E13" s="1" t="s">
        <v>529</v>
      </c>
      <c r="F13" s="1" t="s">
        <v>529</v>
      </c>
    </row>
    <row r="14" spans="1:6">
      <c r="A14" s="9">
        <f t="shared" si="0"/>
        <v>4096</v>
      </c>
      <c r="C14" s="9" t="s">
        <v>293</v>
      </c>
      <c r="E14" s="1" t="s">
        <v>530</v>
      </c>
      <c r="F14" s="1" t="s">
        <v>530</v>
      </c>
    </row>
    <row r="15" spans="1:6">
      <c r="A15" s="9">
        <f t="shared" si="0"/>
        <v>8192</v>
      </c>
      <c r="C15" s="9" t="s">
        <v>294</v>
      </c>
      <c r="E15" s="1" t="s">
        <v>531</v>
      </c>
      <c r="F15" s="1" t="s">
        <v>531</v>
      </c>
    </row>
    <row r="16" spans="1:6">
      <c r="A16" s="9">
        <f t="shared" si="0"/>
        <v>16384</v>
      </c>
      <c r="C16" s="9" t="s">
        <v>295</v>
      </c>
      <c r="E16" s="1" t="s">
        <v>532</v>
      </c>
      <c r="F16" s="1" t="s">
        <v>532</v>
      </c>
    </row>
    <row r="17" spans="1:6">
      <c r="A17" s="9">
        <f t="shared" si="0"/>
        <v>32768</v>
      </c>
      <c r="C17" s="9" t="s">
        <v>296</v>
      </c>
      <c r="E17" s="1" t="s">
        <v>533</v>
      </c>
      <c r="F17" s="1" t="s">
        <v>533</v>
      </c>
    </row>
    <row r="18" spans="1:6">
      <c r="A18" s="9">
        <f t="shared" si="0"/>
        <v>65536</v>
      </c>
      <c r="C18" s="9" t="s">
        <v>297</v>
      </c>
      <c r="E18" s="1" t="s">
        <v>534</v>
      </c>
    </row>
    <row r="19" spans="1:6">
      <c r="A19" s="9">
        <f t="shared" si="0"/>
        <v>131072</v>
      </c>
      <c r="C19" s="9" t="s">
        <v>298</v>
      </c>
      <c r="E19" s="1" t="s">
        <v>535</v>
      </c>
    </row>
    <row r="20" spans="1:6">
      <c r="A20" s="9">
        <f t="shared" si="0"/>
        <v>262144</v>
      </c>
      <c r="C20" s="9" t="s">
        <v>483</v>
      </c>
      <c r="E20" s="1" t="s">
        <v>536</v>
      </c>
    </row>
    <row r="21" spans="1:6">
      <c r="A21" s="9">
        <f t="shared" si="0"/>
        <v>524288</v>
      </c>
      <c r="C21" s="9" t="s">
        <v>306</v>
      </c>
      <c r="E21" s="1" t="s">
        <v>537</v>
      </c>
    </row>
    <row r="22" spans="1:6">
      <c r="A22" s="9">
        <f t="shared" si="0"/>
        <v>1048576</v>
      </c>
      <c r="C22" s="9" t="s">
        <v>307</v>
      </c>
      <c r="E22" s="1" t="s">
        <v>538</v>
      </c>
    </row>
    <row r="23" spans="1:6">
      <c r="A23" s="9">
        <f t="shared" si="0"/>
        <v>2097152</v>
      </c>
      <c r="C23" s="9" t="s">
        <v>308</v>
      </c>
      <c r="E23" s="1"/>
    </row>
    <row r="24" spans="1:6">
      <c r="A24" s="9">
        <f t="shared" si="0"/>
        <v>4194304</v>
      </c>
      <c r="C24" s="9" t="s">
        <v>309</v>
      </c>
    </row>
    <row r="25" spans="1:6">
      <c r="A25" s="9">
        <f t="shared" si="0"/>
        <v>8388608</v>
      </c>
    </row>
    <row r="26" spans="1:6">
      <c r="A26" s="9">
        <f t="shared" si="0"/>
        <v>16777216</v>
      </c>
    </row>
    <row r="27" spans="1:6">
      <c r="A27" s="9">
        <f t="shared" si="0"/>
        <v>33554432</v>
      </c>
    </row>
    <row r="28" spans="1:6">
      <c r="A28" s="9">
        <f t="shared" si="0"/>
        <v>67108864</v>
      </c>
    </row>
    <row r="29" spans="1:6">
      <c r="A29" s="9">
        <f t="shared" si="0"/>
        <v>134217728</v>
      </c>
    </row>
    <row r="30" spans="1:6">
      <c r="A30" s="9">
        <f t="shared" si="0"/>
        <v>268435456</v>
      </c>
    </row>
    <row r="31" spans="1:6">
      <c r="A31" s="9">
        <f t="shared" si="0"/>
        <v>536870912</v>
      </c>
    </row>
    <row r="32" spans="1:6">
      <c r="A32" s="9">
        <f t="shared" si="0"/>
        <v>1073741824</v>
      </c>
    </row>
  </sheetData>
  <dataConsolidate/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64"/>
  <sheetViews>
    <sheetView topLeftCell="A61" workbookViewId="0">
      <selection activeCell="C64" sqref="C64"/>
    </sheetView>
  </sheetViews>
  <sheetFormatPr defaultRowHeight="14.25"/>
  <cols>
    <col min="1" max="1" width="20.5" style="36" bestFit="1" customWidth="1"/>
    <col min="2" max="2" width="9" style="37"/>
    <col min="3" max="3" width="81.375" style="40" customWidth="1"/>
    <col min="4" max="16384" width="9" style="37"/>
  </cols>
  <sheetData>
    <row r="1" spans="1:3" ht="26.25" customHeight="1">
      <c r="A1" s="36" t="s">
        <v>229</v>
      </c>
      <c r="B1" s="37">
        <v>1</v>
      </c>
      <c r="C1" s="39" t="s">
        <v>1004</v>
      </c>
    </row>
    <row r="2" spans="1:3" ht="21.75" customHeight="1">
      <c r="A2" s="36" t="s">
        <v>1005</v>
      </c>
      <c r="B2" s="37">
        <v>1</v>
      </c>
      <c r="C2" s="39" t="s">
        <v>1006</v>
      </c>
    </row>
    <row r="3" spans="1:3" ht="43.5" customHeight="1">
      <c r="A3" s="36" t="s">
        <v>45</v>
      </c>
      <c r="B3" s="37">
        <v>1</v>
      </c>
      <c r="C3" s="39" t="s">
        <v>1009</v>
      </c>
    </row>
    <row r="4" spans="1:3">
      <c r="A4" s="36" t="s">
        <v>1010</v>
      </c>
      <c r="B4" s="37">
        <v>1</v>
      </c>
      <c r="C4" s="39" t="s">
        <v>1011</v>
      </c>
    </row>
    <row r="5" spans="1:3">
      <c r="A5" s="36" t="s">
        <v>76</v>
      </c>
      <c r="B5" s="37">
        <v>1</v>
      </c>
      <c r="C5" s="40" t="s">
        <v>1012</v>
      </c>
    </row>
    <row r="6" spans="1:3">
      <c r="A6" s="36" t="s">
        <v>77</v>
      </c>
      <c r="B6" s="37">
        <v>1</v>
      </c>
      <c r="C6" s="40" t="s">
        <v>1014</v>
      </c>
    </row>
    <row r="7" spans="1:3">
      <c r="A7" s="36" t="s">
        <v>1186</v>
      </c>
      <c r="B7" s="37">
        <v>1</v>
      </c>
      <c r="C7" s="40" t="s">
        <v>1187</v>
      </c>
    </row>
    <row r="8" spans="1:3" ht="24.75" customHeight="1">
      <c r="A8" s="36" t="s">
        <v>1017</v>
      </c>
      <c r="B8" s="37">
        <v>1</v>
      </c>
      <c r="C8" s="39" t="s">
        <v>1016</v>
      </c>
    </row>
    <row r="9" spans="1:3" ht="28.5">
      <c r="A9" s="36" t="s">
        <v>1018</v>
      </c>
      <c r="B9" s="37">
        <v>1</v>
      </c>
      <c r="C9" s="39" t="s">
        <v>1019</v>
      </c>
    </row>
    <row r="10" spans="1:3">
      <c r="A10" s="36" t="s">
        <v>1020</v>
      </c>
      <c r="B10" s="37">
        <v>1</v>
      </c>
      <c r="C10" s="40" t="s">
        <v>1021</v>
      </c>
    </row>
    <row r="11" spans="1:3" ht="57">
      <c r="A11" s="36" t="s">
        <v>1023</v>
      </c>
      <c r="B11" s="37">
        <v>1</v>
      </c>
      <c r="C11" s="39" t="s">
        <v>1022</v>
      </c>
    </row>
    <row r="12" spans="1:3" ht="28.5">
      <c r="A12" s="36" t="s">
        <v>1025</v>
      </c>
      <c r="B12" s="37">
        <v>1</v>
      </c>
      <c r="C12" s="39" t="s">
        <v>1024</v>
      </c>
    </row>
    <row r="13" spans="1:3">
      <c r="A13" s="36" t="s">
        <v>1027</v>
      </c>
      <c r="B13" s="37">
        <v>1</v>
      </c>
      <c r="C13" s="40" t="s">
        <v>1026</v>
      </c>
    </row>
    <row r="14" spans="1:3" ht="111" customHeight="1">
      <c r="A14" s="36" t="s">
        <v>1028</v>
      </c>
      <c r="B14" s="37">
        <v>1</v>
      </c>
      <c r="C14" s="39" t="s">
        <v>1161</v>
      </c>
    </row>
    <row r="15" spans="1:3">
      <c r="A15" s="36" t="s">
        <v>59</v>
      </c>
      <c r="B15" s="37">
        <v>1</v>
      </c>
      <c r="C15" s="39" t="s">
        <v>1030</v>
      </c>
    </row>
    <row r="16" spans="1:3">
      <c r="A16" s="36" t="s">
        <v>60</v>
      </c>
      <c r="B16" s="37">
        <v>1</v>
      </c>
      <c r="C16" s="40" t="s">
        <v>1031</v>
      </c>
    </row>
    <row r="17" spans="1:3">
      <c r="A17" s="36" t="s">
        <v>61</v>
      </c>
      <c r="B17" s="37">
        <v>1</v>
      </c>
      <c r="C17" s="40" t="s">
        <v>1032</v>
      </c>
    </row>
    <row r="18" spans="1:3" ht="99.75">
      <c r="A18" s="36" t="s">
        <v>67</v>
      </c>
      <c r="B18" s="37">
        <v>1</v>
      </c>
      <c r="C18" s="39" t="s">
        <v>1033</v>
      </c>
    </row>
    <row r="19" spans="1:3">
      <c r="A19" s="36" t="s">
        <v>1035</v>
      </c>
      <c r="B19" s="37">
        <v>1</v>
      </c>
      <c r="C19" s="40" t="s">
        <v>1162</v>
      </c>
    </row>
    <row r="20" spans="1:3" ht="28.5">
      <c r="A20" s="36" t="s">
        <v>1038</v>
      </c>
      <c r="B20" s="37">
        <v>1</v>
      </c>
      <c r="C20" s="39" t="s">
        <v>1036</v>
      </c>
    </row>
    <row r="21" spans="1:3">
      <c r="A21" s="36" t="s">
        <v>70</v>
      </c>
      <c r="B21" s="37">
        <v>1</v>
      </c>
      <c r="C21" s="40" t="s">
        <v>1190</v>
      </c>
    </row>
    <row r="22" spans="1:3">
      <c r="A22" s="36" t="s">
        <v>1040</v>
      </c>
      <c r="B22" s="37">
        <v>1</v>
      </c>
      <c r="C22" s="40" t="s">
        <v>1039</v>
      </c>
    </row>
    <row r="23" spans="1:3">
      <c r="A23" s="36" t="s">
        <v>71</v>
      </c>
      <c r="B23" s="37">
        <v>1</v>
      </c>
      <c r="C23" s="40" t="s">
        <v>1041</v>
      </c>
    </row>
    <row r="24" spans="1:3">
      <c r="A24" s="36" t="s">
        <v>72</v>
      </c>
      <c r="B24" s="37">
        <v>1</v>
      </c>
      <c r="C24" s="40" t="s">
        <v>1042</v>
      </c>
    </row>
    <row r="25" spans="1:3" ht="185.25">
      <c r="A25" s="36" t="s">
        <v>1045</v>
      </c>
      <c r="B25" s="37">
        <v>1</v>
      </c>
      <c r="C25" s="39" t="s">
        <v>1044</v>
      </c>
    </row>
    <row r="26" spans="1:3" ht="85.5">
      <c r="A26" s="36" t="s">
        <v>1047</v>
      </c>
      <c r="B26" s="37">
        <v>1</v>
      </c>
      <c r="C26" s="39" t="s">
        <v>1046</v>
      </c>
    </row>
    <row r="27" spans="1:3" ht="28.5">
      <c r="A27" s="36" t="s">
        <v>1049</v>
      </c>
      <c r="B27" s="37">
        <v>1</v>
      </c>
      <c r="C27" s="39" t="s">
        <v>1048</v>
      </c>
    </row>
    <row r="28" spans="1:3">
      <c r="A28" s="36" t="s">
        <v>1051</v>
      </c>
      <c r="B28" s="37">
        <v>1</v>
      </c>
      <c r="C28" s="40" t="s">
        <v>1050</v>
      </c>
    </row>
    <row r="29" spans="1:3">
      <c r="A29" s="36" t="s">
        <v>1053</v>
      </c>
      <c r="B29" s="37">
        <v>1</v>
      </c>
      <c r="C29" s="40" t="s">
        <v>1052</v>
      </c>
    </row>
    <row r="30" spans="1:3">
      <c r="A30" s="36" t="s">
        <v>65</v>
      </c>
      <c r="B30" s="37">
        <v>1</v>
      </c>
      <c r="C30" s="40" t="s">
        <v>1052</v>
      </c>
    </row>
    <row r="31" spans="1:3">
      <c r="A31" s="36" t="s">
        <v>66</v>
      </c>
      <c r="B31" s="37">
        <v>1</v>
      </c>
      <c r="C31" s="40" t="s">
        <v>1052</v>
      </c>
    </row>
    <row r="32" spans="1:3">
      <c r="A32" s="36" t="s">
        <v>1055</v>
      </c>
      <c r="B32" s="37">
        <v>1</v>
      </c>
      <c r="C32" s="40" t="s">
        <v>1054</v>
      </c>
    </row>
    <row r="33" spans="1:3">
      <c r="A33" s="36" t="s">
        <v>1057</v>
      </c>
      <c r="B33" s="37">
        <v>1</v>
      </c>
      <c r="C33" s="40" t="s">
        <v>1056</v>
      </c>
    </row>
    <row r="34" spans="1:3" ht="71.25">
      <c r="A34" s="36" t="s">
        <v>1059</v>
      </c>
      <c r="B34" s="37">
        <v>1</v>
      </c>
      <c r="C34" s="39" t="s">
        <v>1058</v>
      </c>
    </row>
    <row r="35" spans="1:3" ht="28.5">
      <c r="A35" s="36" t="s">
        <v>323</v>
      </c>
      <c r="B35" s="37">
        <v>1</v>
      </c>
      <c r="C35" s="39" t="s">
        <v>1060</v>
      </c>
    </row>
    <row r="36" spans="1:3" ht="285.75" customHeight="1">
      <c r="A36" s="36" t="s">
        <v>1062</v>
      </c>
      <c r="B36" s="37">
        <v>1</v>
      </c>
      <c r="C36" s="39" t="s">
        <v>1061</v>
      </c>
    </row>
    <row r="37" spans="1:3" ht="28.5">
      <c r="A37" s="36" t="s">
        <v>1064</v>
      </c>
      <c r="B37" s="37">
        <v>1</v>
      </c>
      <c r="C37" s="39" t="s">
        <v>1063</v>
      </c>
    </row>
    <row r="38" spans="1:3">
      <c r="A38" s="36" t="s">
        <v>1065</v>
      </c>
      <c r="B38" s="37">
        <v>1</v>
      </c>
      <c r="C38" s="40" t="s">
        <v>1066</v>
      </c>
    </row>
    <row r="39" spans="1:3" ht="57">
      <c r="A39" s="36" t="s">
        <v>1068</v>
      </c>
      <c r="B39" s="37">
        <v>1</v>
      </c>
      <c r="C39" s="39" t="s">
        <v>1067</v>
      </c>
    </row>
    <row r="40" spans="1:3" ht="42.75">
      <c r="A40" s="36" t="s">
        <v>1070</v>
      </c>
      <c r="B40" s="37">
        <v>1</v>
      </c>
      <c r="C40" s="39" t="s">
        <v>1069</v>
      </c>
    </row>
    <row r="41" spans="1:3" ht="71.25">
      <c r="A41" s="36" t="s">
        <v>1072</v>
      </c>
      <c r="B41" s="37">
        <v>1</v>
      </c>
      <c r="C41" s="39" t="s">
        <v>1071</v>
      </c>
    </row>
    <row r="42" spans="1:3" ht="42.75">
      <c r="A42" s="36" t="s">
        <v>1073</v>
      </c>
      <c r="B42" s="37">
        <v>1</v>
      </c>
      <c r="C42" s="39" t="s">
        <v>1074</v>
      </c>
    </row>
    <row r="43" spans="1:3" ht="42.75">
      <c r="A43" s="36" t="s">
        <v>1076</v>
      </c>
      <c r="B43" s="37">
        <v>1</v>
      </c>
      <c r="C43" s="39" t="s">
        <v>1075</v>
      </c>
    </row>
    <row r="44" spans="1:3">
      <c r="A44" s="36" t="s">
        <v>1077</v>
      </c>
      <c r="B44" s="37">
        <v>1</v>
      </c>
      <c r="C44" s="40" t="s">
        <v>1079</v>
      </c>
    </row>
    <row r="45" spans="1:3">
      <c r="A45" s="36" t="s">
        <v>1078</v>
      </c>
      <c r="B45" s="37">
        <v>1</v>
      </c>
      <c r="C45" s="40" t="s">
        <v>1080</v>
      </c>
    </row>
    <row r="46" spans="1:3">
      <c r="A46" s="36" t="s">
        <v>1082</v>
      </c>
      <c r="B46" s="37">
        <v>1</v>
      </c>
      <c r="C46" s="40" t="s">
        <v>1081</v>
      </c>
    </row>
    <row r="47" spans="1:3">
      <c r="A47" s="36" t="s">
        <v>1084</v>
      </c>
      <c r="B47" s="37">
        <v>1</v>
      </c>
      <c r="C47" s="40" t="s">
        <v>1083</v>
      </c>
    </row>
    <row r="48" spans="1:3" ht="114">
      <c r="A48" s="36" t="s">
        <v>1086</v>
      </c>
      <c r="B48" s="37">
        <v>1</v>
      </c>
      <c r="C48" s="39" t="s">
        <v>1085</v>
      </c>
    </row>
    <row r="49" spans="1:3" ht="57">
      <c r="A49" s="36" t="s">
        <v>1088</v>
      </c>
      <c r="B49" s="37">
        <v>1</v>
      </c>
      <c r="C49" s="39" t="s">
        <v>1087</v>
      </c>
    </row>
    <row r="50" spans="1:3" ht="28.5">
      <c r="A50" s="36" t="s">
        <v>1090</v>
      </c>
      <c r="B50" s="37">
        <v>1</v>
      </c>
      <c r="C50" s="39" t="s">
        <v>1089</v>
      </c>
    </row>
    <row r="51" spans="1:3">
      <c r="A51" s="36" t="s">
        <v>1091</v>
      </c>
      <c r="B51" s="37">
        <v>1</v>
      </c>
      <c r="C51" s="40" t="s">
        <v>1092</v>
      </c>
    </row>
    <row r="52" spans="1:3" ht="28.5">
      <c r="A52" s="36" t="s">
        <v>1094</v>
      </c>
      <c r="B52" s="37">
        <v>1</v>
      </c>
      <c r="C52" s="39" t="s">
        <v>1093</v>
      </c>
    </row>
    <row r="53" spans="1:3">
      <c r="A53" s="36" t="s">
        <v>1105</v>
      </c>
      <c r="B53" s="37">
        <v>1</v>
      </c>
      <c r="C53" s="39" t="s">
        <v>1096</v>
      </c>
    </row>
    <row r="54" spans="1:3">
      <c r="A54" s="36" t="s">
        <v>1106</v>
      </c>
      <c r="B54" s="37">
        <v>1</v>
      </c>
      <c r="C54" s="40" t="s">
        <v>1095</v>
      </c>
    </row>
    <row r="55" spans="1:3" ht="256.5">
      <c r="A55" s="36" t="s">
        <v>1099</v>
      </c>
      <c r="B55" s="37">
        <v>1</v>
      </c>
      <c r="C55" s="39" t="s">
        <v>1097</v>
      </c>
    </row>
    <row r="56" spans="1:3" ht="256.5">
      <c r="A56" s="36" t="s">
        <v>1100</v>
      </c>
      <c r="B56" s="37">
        <v>1</v>
      </c>
      <c r="C56" s="39" t="s">
        <v>1097</v>
      </c>
    </row>
    <row r="57" spans="1:3">
      <c r="A57" s="36" t="s">
        <v>1101</v>
      </c>
      <c r="B57" s="37">
        <v>1</v>
      </c>
      <c r="C57" s="40" t="s">
        <v>1098</v>
      </c>
    </row>
    <row r="58" spans="1:3">
      <c r="A58" s="36" t="s">
        <v>1102</v>
      </c>
      <c r="B58" s="37">
        <v>1</v>
      </c>
      <c r="C58" s="40" t="s">
        <v>1103</v>
      </c>
    </row>
    <row r="59" spans="1:3">
      <c r="A59" s="36" t="s">
        <v>1104</v>
      </c>
      <c r="B59" s="37">
        <v>1</v>
      </c>
      <c r="C59" s="40" t="s">
        <v>1107</v>
      </c>
    </row>
    <row r="60" spans="1:3">
      <c r="A60" s="36" t="s">
        <v>1108</v>
      </c>
      <c r="B60" s="37">
        <v>1</v>
      </c>
      <c r="C60" s="40" t="s">
        <v>1118</v>
      </c>
    </row>
    <row r="61" spans="1:3">
      <c r="A61" s="36" t="s">
        <v>1141</v>
      </c>
      <c r="B61" s="37">
        <v>1</v>
      </c>
      <c r="C61" s="40" t="s">
        <v>1144</v>
      </c>
    </row>
    <row r="62" spans="1:3">
      <c r="A62" s="36" t="s">
        <v>1142</v>
      </c>
      <c r="B62" s="37">
        <v>1</v>
      </c>
      <c r="C62" s="40" t="s">
        <v>1143</v>
      </c>
    </row>
    <row r="63" spans="1:3">
      <c r="A63" s="36" t="s">
        <v>1149</v>
      </c>
      <c r="B63" s="37">
        <v>1</v>
      </c>
      <c r="C63" s="40" t="s">
        <v>1150</v>
      </c>
    </row>
    <row r="64" spans="1:3">
      <c r="A64" s="36" t="s">
        <v>1202</v>
      </c>
      <c r="B64" s="37">
        <v>1</v>
      </c>
      <c r="C64" s="40" t="s">
        <v>1204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3"/>
  <sheetViews>
    <sheetView workbookViewId="0">
      <selection activeCell="C3" sqref="C3"/>
    </sheetView>
  </sheetViews>
  <sheetFormatPr defaultRowHeight="14.25"/>
  <cols>
    <col min="1" max="1" width="9" style="36"/>
    <col min="2" max="2" width="9" style="37"/>
    <col min="3" max="3" width="122.25" style="37" customWidth="1"/>
    <col min="4" max="16384" width="9" style="37"/>
  </cols>
  <sheetData>
    <row r="1" spans="1:3">
      <c r="A1" s="36" t="s">
        <v>141</v>
      </c>
      <c r="B1" s="37">
        <v>1</v>
      </c>
      <c r="C1" s="38" t="s">
        <v>1199</v>
      </c>
    </row>
    <row r="2" spans="1:3" ht="28.5">
      <c r="A2" s="36" t="s">
        <v>1007</v>
      </c>
      <c r="B2" s="37">
        <v>1</v>
      </c>
      <c r="C2" s="38" t="s">
        <v>1200</v>
      </c>
    </row>
    <row r="3" spans="1:3" ht="99.75">
      <c r="A3" s="36" t="s">
        <v>96</v>
      </c>
      <c r="B3" s="37">
        <v>1</v>
      </c>
      <c r="C3" s="38" t="s">
        <v>1148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PlayerSkillData</vt:lpstr>
      <vt:lpstr>PlayerBuffData</vt:lpstr>
      <vt:lpstr>BuffGroup</vt:lpstr>
      <vt:lpstr>PlayerModifyDefine</vt:lpstr>
      <vt:lpstr>技能多选</vt:lpstr>
      <vt:lpstr>Buff多选</vt:lpstr>
      <vt:lpstr>SkillNotes</vt:lpstr>
      <vt:lpstr>BuffNotes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宋明昭</dc:creator>
  <cp:lastModifiedBy>刘明俊</cp:lastModifiedBy>
  <dcterms:created xsi:type="dcterms:W3CDTF">2006-09-16T00:00:00Z</dcterms:created>
  <dcterms:modified xsi:type="dcterms:W3CDTF">2019-01-24T07:24:37Z</dcterms:modified>
</cp:coreProperties>
</file>